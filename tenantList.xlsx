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ilysyscorp-my.sharepoint.com/personal/hussain_kutub_agilysys_com/Documents/"/>
    </mc:Choice>
  </mc:AlternateContent>
  <xr:revisionPtr revIDLastSave="1951" documentId="8_{279AF433-263D-6443-8224-23F2CCD3973B}" xr6:coauthVersionLast="47" xr6:coauthVersionMax="47" xr10:uidLastSave="{53FEB913-71D7-4686-B972-36E2779745EE}"/>
  <bookViews>
    <workbookView xWindow="0" yWindow="780" windowWidth="30240" windowHeight="18880" firstSheet="2" activeTab="2" xr2:uid="{D68D6EBA-BA6F-1040-8301-C6AF5751BF68}"/>
  </bookViews>
  <sheets>
    <sheet name="Detail1" sheetId="17" r:id="rId1"/>
    <sheet name="Summary" sheetId="8" r:id="rId2"/>
    <sheet name="PropertyList" sheetId="3" r:id="rId3"/>
    <sheet name="Sheet2" sheetId="7" r:id="rId4"/>
    <sheet name="Sheet1" sheetId="6" r:id="rId5"/>
    <sheet name="Sheet3" sheetId="16" r:id="rId6"/>
    <sheet name="Comtrol Properties List" sheetId="5" r:id="rId7"/>
    <sheet name="Exceptional Properties" sheetId="2" r:id="rId8"/>
    <sheet name="Property Name List" sheetId="4" r:id="rId9"/>
    <sheet name="Room Count" sheetId="18" r:id="rId10"/>
  </sheets>
  <definedNames>
    <definedName name="_xlnm._FilterDatabase" localSheetId="6" hidden="1">'Comtrol Properties List'!$A$1:$D$1</definedName>
    <definedName name="_xlnm._FilterDatabase" localSheetId="2" hidden="1">PropertyList!$A$1:$Q$2056</definedName>
  </definedNames>
  <calcPr calcId="191028"/>
  <pivotCaches>
    <pivotCache cacheId="1958" r:id="rId11"/>
    <pivotCache cacheId="195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" i="3"/>
  <c r="G4" i="16" l="1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3" i="16"/>
  <c r="G2" i="16"/>
  <c r="G1" i="16"/>
  <c r="B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1" i="16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084" i="3"/>
  <c r="E1085" i="3"/>
  <c r="J1085" i="3" s="1"/>
  <c r="E1086" i="3"/>
  <c r="J1086" i="3" s="1"/>
  <c r="E1087" i="3"/>
  <c r="J1087" i="3" s="1"/>
  <c r="E1088" i="3"/>
  <c r="J1088" i="3" s="1"/>
  <c r="E1089" i="3"/>
  <c r="J1089" i="3" s="1"/>
  <c r="E1090" i="3"/>
  <c r="J1090" i="3" s="1"/>
  <c r="E1091" i="3"/>
  <c r="J1091" i="3" s="1"/>
  <c r="E1092" i="3"/>
  <c r="J1092" i="3" s="1"/>
  <c r="E1093" i="3"/>
  <c r="J1093" i="3" s="1"/>
  <c r="E1094" i="3"/>
  <c r="J1094" i="3" s="1"/>
  <c r="E1095" i="3"/>
  <c r="J1095" i="3" s="1"/>
  <c r="E1096" i="3"/>
  <c r="J1096" i="3" s="1"/>
  <c r="E1097" i="3"/>
  <c r="J1097" i="3" s="1"/>
  <c r="E1098" i="3"/>
  <c r="J1098" i="3" s="1"/>
  <c r="E1099" i="3"/>
  <c r="J1099" i="3" s="1"/>
  <c r="E1084" i="3"/>
  <c r="J1084" i="3" s="1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084" i="3"/>
  <c r="L4" i="3" l="1"/>
  <c r="L6" i="3"/>
  <c r="G2" i="3"/>
  <c r="G3" i="3"/>
  <c r="G4" i="3"/>
  <c r="G5" i="3"/>
  <c r="L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35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352" i="3"/>
  <c r="G502" i="3"/>
  <c r="G503" i="3"/>
  <c r="G504" i="3"/>
  <c r="G505" i="3"/>
  <c r="G353" i="3"/>
  <c r="G506" i="3"/>
  <c r="G507" i="3"/>
  <c r="G508" i="3"/>
  <c r="G509" i="3"/>
  <c r="G510" i="3"/>
  <c r="G354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355" i="3"/>
  <c r="G552" i="3"/>
  <c r="G553" i="3"/>
  <c r="G554" i="3"/>
  <c r="G555" i="3"/>
  <c r="G556" i="3"/>
  <c r="G557" i="3"/>
  <c r="G558" i="3"/>
  <c r="G559" i="3"/>
  <c r="G356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35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358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359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360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L8" i="3" l="1"/>
  <c r="L7" i="3"/>
  <c r="L10" i="3"/>
  <c r="L9" i="3"/>
</calcChain>
</file>

<file path=xl/sharedStrings.xml><?xml version="1.0" encoding="utf-8"?>
<sst xmlns="http://schemas.openxmlformats.org/spreadsheetml/2006/main" count="16012" uniqueCount="3973">
  <si>
    <t>Details for Count of Property Name - GoLiveDate: 10/14/2025, New Opening: N, Iteration: 1 - BETA 1 (1) (+)</t>
  </si>
  <si>
    <t>Iteration</t>
  </si>
  <si>
    <t>PropertyCode</t>
  </si>
  <si>
    <t>TenantId</t>
  </si>
  <si>
    <t>TenantCode</t>
  </si>
  <si>
    <t>PropertyId</t>
  </si>
  <si>
    <t>Region</t>
  </si>
  <si>
    <t>Property Name</t>
  </si>
  <si>
    <t>GoLiveDate</t>
  </si>
  <si>
    <t>New Opening</t>
  </si>
  <si>
    <t>1 - BETA 1 (1)</t>
  </si>
  <si>
    <t>MCOWS</t>
  </si>
  <si>
    <t>US_EAST_1</t>
  </si>
  <si>
    <t>SpringHill Suites by Marriott Winter Park</t>
  </si>
  <si>
    <t>N</t>
  </si>
  <si>
    <t>(Multiple Items)</t>
  </si>
  <si>
    <t>Count of Property Name</t>
  </si>
  <si>
    <t>Column Labels</t>
  </si>
  <si>
    <t>Row Labels</t>
  </si>
  <si>
    <t>Sum of Room Count</t>
  </si>
  <si>
    <t>US_WEST3_1</t>
  </si>
  <si>
    <t>(blank)</t>
  </si>
  <si>
    <t>US_EAST_2</t>
  </si>
  <si>
    <t>US_EAST_4</t>
  </si>
  <si>
    <t>US_WEST3_2</t>
  </si>
  <si>
    <t>US_WEST3_4</t>
  </si>
  <si>
    <t>US_EAST_5</t>
  </si>
  <si>
    <t>US_WEST3_5</t>
  </si>
  <si>
    <t>US_EAST_6</t>
  </si>
  <si>
    <t>US_EAST_7</t>
  </si>
  <si>
    <t>US_WEST3_6</t>
  </si>
  <si>
    <t>US_EAST_8</t>
  </si>
  <si>
    <t>Grand Total</t>
  </si>
  <si>
    <t>11 - Wave 9 (3)</t>
  </si>
  <si>
    <t>2 - BETA 2 (4)</t>
  </si>
  <si>
    <t>3 - PILOT (20)</t>
  </si>
  <si>
    <t>4 - WAVE 1 (50)</t>
  </si>
  <si>
    <t>5 - Wave 4 (75)</t>
  </si>
  <si>
    <t>6 - Wave 40 (99)</t>
  </si>
  <si>
    <t>7 - Wave 5 (99)</t>
  </si>
  <si>
    <t>8 - Wave 6 (231)</t>
  </si>
  <si>
    <t>9 - Wave 7 (248)</t>
  </si>
  <si>
    <t>NA</t>
  </si>
  <si>
    <t>12 - Wave 10 (254)</t>
  </si>
  <si>
    <t>13- Wave 11 (169)</t>
  </si>
  <si>
    <t>14 - Wave 12 (22)</t>
  </si>
  <si>
    <t>15 - Wave 13 (171)</t>
  </si>
  <si>
    <t>16 - Wave 14 (171)</t>
  </si>
  <si>
    <t>17 - Wave 15 (170)</t>
  </si>
  <si>
    <t>10 - Wave 8 (245)</t>
  </si>
  <si>
    <t>Room Count</t>
  </si>
  <si>
    <t>Search By TenantId /Property Id/Property Code</t>
  </si>
  <si>
    <t>PITSS</t>
  </si>
  <si>
    <t>100027</t>
  </si>
  <si>
    <t>DTWSF</t>
  </si>
  <si>
    <t>CAESH</t>
  </si>
  <si>
    <t>Search Result</t>
  </si>
  <si>
    <t>BWISL</t>
  </si>
  <si>
    <t>CHIFO</t>
  </si>
  <si>
    <t>Property Code</t>
  </si>
  <si>
    <t>ALBTY</t>
  </si>
  <si>
    <t>BISCN</t>
  </si>
  <si>
    <t>MSPOX</t>
  </si>
  <si>
    <t>Go Live Date</t>
  </si>
  <si>
    <t>BZNAR</t>
  </si>
  <si>
    <t xml:space="preserve">Wave </t>
  </si>
  <si>
    <t>YYZAP</t>
  </si>
  <si>
    <t>YYBFI</t>
  </si>
  <si>
    <t>YSBFI</t>
  </si>
  <si>
    <t>WASAX</t>
  </si>
  <si>
    <t>TPAPC</t>
  </si>
  <si>
    <t>TIXFI</t>
  </si>
  <si>
    <t>RQSFO</t>
  </si>
  <si>
    <t>INDCU</t>
  </si>
  <si>
    <t>IAGCY</t>
  </si>
  <si>
    <t>FLOCS</t>
  </si>
  <si>
    <t>CVGMT</t>
  </si>
  <si>
    <t>AHNSH</t>
  </si>
  <si>
    <t>AVLAR</t>
  </si>
  <si>
    <t>AZOCY</t>
  </si>
  <si>
    <t>BNAAF</t>
  </si>
  <si>
    <t>BNAOX</t>
  </si>
  <si>
    <t>BTVFB</t>
  </si>
  <si>
    <t>BWIFD</t>
  </si>
  <si>
    <t>CAKCY</t>
  </si>
  <si>
    <t>CHOFI</t>
  </si>
  <si>
    <t>CLESH</t>
  </si>
  <si>
    <t>CLTFR</t>
  </si>
  <si>
    <t>BOSLT</t>
  </si>
  <si>
    <t>LEXLE</t>
  </si>
  <si>
    <t>AVLCB</t>
  </si>
  <si>
    <t>BWIBO</t>
  </si>
  <si>
    <t>SAVFN</t>
  </si>
  <si>
    <t>AIDFI</t>
  </si>
  <si>
    <t>AHNSE</t>
  </si>
  <si>
    <t>100101</t>
  </si>
  <si>
    <t>EWBFS</t>
  </si>
  <si>
    <t>DABPC</t>
  </si>
  <si>
    <t>PITFM</t>
  </si>
  <si>
    <t>CHAOW</t>
  </si>
  <si>
    <t>ABYAB</t>
  </si>
  <si>
    <t>BMGSH</t>
  </si>
  <si>
    <t>AHNGV</t>
  </si>
  <si>
    <t>CHSCS</t>
  </si>
  <si>
    <t>ORFOC</t>
  </si>
  <si>
    <t>CLECA</t>
  </si>
  <si>
    <t>AOOFI</t>
  </si>
  <si>
    <t>IPTFL</t>
  </si>
  <si>
    <t>WASWB</t>
  </si>
  <si>
    <t>EVVFJ</t>
  </si>
  <si>
    <t>ALBFY</t>
  </si>
  <si>
    <t>BWIAF</t>
  </si>
  <si>
    <t>AGSNW</t>
  </si>
  <si>
    <t>BWICO</t>
  </si>
  <si>
    <t>CLTFT</t>
  </si>
  <si>
    <t>ACYFA</t>
  </si>
  <si>
    <t>IADDL</t>
  </si>
  <si>
    <t>ATLES</t>
  </si>
  <si>
    <t>INTFI</t>
  </si>
  <si>
    <t>CAEFD</t>
  </si>
  <si>
    <t>BGMFI</t>
  </si>
  <si>
    <t>TPAFR</t>
  </si>
  <si>
    <t>CLTFN</t>
  </si>
  <si>
    <t>LEXNW</t>
  </si>
  <si>
    <t>CLTBY</t>
  </si>
  <si>
    <t>ALBWS</t>
  </si>
  <si>
    <t>CVGFC</t>
  </si>
  <si>
    <t>BWISI</t>
  </si>
  <si>
    <t>EWBPF</t>
  </si>
  <si>
    <t>BNAWO</t>
  </si>
  <si>
    <t>VKSCY</t>
  </si>
  <si>
    <t>BHMSG</t>
  </si>
  <si>
    <t>MSPNF</t>
  </si>
  <si>
    <t>BHMCO</t>
  </si>
  <si>
    <t>BNAFS</t>
  </si>
  <si>
    <t>CHIFH</t>
  </si>
  <si>
    <t>BHMGD</t>
  </si>
  <si>
    <t>DLHFD</t>
  </si>
  <si>
    <t>BZNFY</t>
  </si>
  <si>
    <t>ALOCL</t>
  </si>
  <si>
    <t>ATWCY</t>
  </si>
  <si>
    <t>OMAUF</t>
  </si>
  <si>
    <t>DSMSA</t>
  </si>
  <si>
    <t>YYTCY</t>
  </si>
  <si>
    <t>YYTFI</t>
  </si>
  <si>
    <t>YHZOX</t>
  </si>
  <si>
    <t>YHZCY</t>
  </si>
  <si>
    <t>DTWDR</t>
  </si>
  <si>
    <t>FAYSL</t>
  </si>
  <si>
    <t>HYAFI</t>
  </si>
  <si>
    <t>ORFNC</t>
  </si>
  <si>
    <t>HARFL</t>
  </si>
  <si>
    <t>TPACW</t>
  </si>
  <si>
    <t>FHKNY</t>
  </si>
  <si>
    <t>GFLFI</t>
  </si>
  <si>
    <t>YKFCY</t>
  </si>
  <si>
    <t>CAECS</t>
  </si>
  <si>
    <t>TPAHF</t>
  </si>
  <si>
    <t>ISPCY</t>
  </si>
  <si>
    <t>FLLAW</t>
  </si>
  <si>
    <t>MTHFI</t>
  </si>
  <si>
    <t>SHDFI</t>
  </si>
  <si>
    <t>PBISH</t>
  </si>
  <si>
    <t>HHHCY</t>
  </si>
  <si>
    <t>PVDLN</t>
  </si>
  <si>
    <t>SBYFI</t>
  </si>
  <si>
    <t>RSWFM</t>
  </si>
  <si>
    <t>YNGFS</t>
  </si>
  <si>
    <t>FLOSH</t>
  </si>
  <si>
    <t>LYHSH</t>
  </si>
  <si>
    <t>MGWMG</t>
  </si>
  <si>
    <t>YKFCK</t>
  </si>
  <si>
    <t>BWIMS</t>
  </si>
  <si>
    <t>HKYCY</t>
  </si>
  <si>
    <t>HVNFW</t>
  </si>
  <si>
    <t>MCOMS</t>
  </si>
  <si>
    <t>AVLCK</t>
  </si>
  <si>
    <t>RICFC</t>
  </si>
  <si>
    <t>PWMPT</t>
  </si>
  <si>
    <t>TPATT</t>
  </si>
  <si>
    <t>YYZSV</t>
  </si>
  <si>
    <t>AVLFA</t>
  </si>
  <si>
    <t>GRRCH</t>
  </si>
  <si>
    <t>RDUAA</t>
  </si>
  <si>
    <t>TPACR</t>
  </si>
  <si>
    <t>HHHBS</t>
  </si>
  <si>
    <t>ROCCD</t>
  </si>
  <si>
    <t>HARCA</t>
  </si>
  <si>
    <t>CMHOX</t>
  </si>
  <si>
    <t>PITMR</t>
  </si>
  <si>
    <t>ERISH</t>
  </si>
  <si>
    <t>CVGEG</t>
  </si>
  <si>
    <t>PBIFD</t>
  </si>
  <si>
    <t>CVGNP</t>
  </si>
  <si>
    <t>RDUAH</t>
  </si>
  <si>
    <t>100299</t>
  </si>
  <si>
    <t>LCIPL</t>
  </si>
  <si>
    <t>HARSH</t>
  </si>
  <si>
    <t>PITSC</t>
  </si>
  <si>
    <t>WASSP</t>
  </si>
  <si>
    <t>FLLMM</t>
  </si>
  <si>
    <t>MLBFI</t>
  </si>
  <si>
    <t>SWFFG</t>
  </si>
  <si>
    <t>CLTSD</t>
  </si>
  <si>
    <t>CHARM</t>
  </si>
  <si>
    <t>CLTHC</t>
  </si>
  <si>
    <t>FLLCO</t>
  </si>
  <si>
    <t>RSWNP</t>
  </si>
  <si>
    <t>FLLCP</t>
  </si>
  <si>
    <t>CAEOB</t>
  </si>
  <si>
    <t>CLTFV</t>
  </si>
  <si>
    <t>PVDFK</t>
  </si>
  <si>
    <t>MLBFP</t>
  </si>
  <si>
    <t>ORFNW</t>
  </si>
  <si>
    <t>MBSCB</t>
  </si>
  <si>
    <t>FLLLD</t>
  </si>
  <si>
    <t>ILGBW</t>
  </si>
  <si>
    <t>CLTHP</t>
  </si>
  <si>
    <t>INDST</t>
  </si>
  <si>
    <t>RDUSX</t>
  </si>
  <si>
    <t>FLLFN</t>
  </si>
  <si>
    <t>INDCV</t>
  </si>
  <si>
    <t>FLLDB</t>
  </si>
  <si>
    <t>100353</t>
  </si>
  <si>
    <t>HARFH</t>
  </si>
  <si>
    <t>CMHAC</t>
  </si>
  <si>
    <t>INDIF</t>
  </si>
  <si>
    <t>TTNCY</t>
  </si>
  <si>
    <t>CHSFN</t>
  </si>
  <si>
    <t>FLLCS</t>
  </si>
  <si>
    <t>AZOSP</t>
  </si>
  <si>
    <t>RSWSE</t>
  </si>
  <si>
    <t>CAKAM</t>
  </si>
  <si>
    <t>FLLAD</t>
  </si>
  <si>
    <t>MGMSM</t>
  </si>
  <si>
    <t>STCAL</t>
  </si>
  <si>
    <t>STCCY</t>
  </si>
  <si>
    <t>RSTFI</t>
  </si>
  <si>
    <t>DSMWF</t>
  </si>
  <si>
    <t>LSECY</t>
  </si>
  <si>
    <t>MSPWC</t>
  </si>
  <si>
    <t>MLIBC</t>
  </si>
  <si>
    <t>MEMSF</t>
  </si>
  <si>
    <t>MSPFB</t>
  </si>
  <si>
    <t>MSPRV</t>
  </si>
  <si>
    <t>PAHCY</t>
  </si>
  <si>
    <t>MEMGT</t>
  </si>
  <si>
    <t>DSMSH</t>
  </si>
  <si>
    <t>MKEFW</t>
  </si>
  <si>
    <t>PFNFI</t>
  </si>
  <si>
    <t>MKEKN</t>
  </si>
  <si>
    <t>GTRCY</t>
  </si>
  <si>
    <t>MOBCY</t>
  </si>
  <si>
    <t>GTRFI</t>
  </si>
  <si>
    <t>OWBCY</t>
  </si>
  <si>
    <t>SBMFI</t>
  </si>
  <si>
    <t>SCRFI</t>
  </si>
  <si>
    <t>YGKCY</t>
  </si>
  <si>
    <t>SDFLE</t>
  </si>
  <si>
    <t>YQMFI</t>
  </si>
  <si>
    <t>AUSBU</t>
  </si>
  <si>
    <t>MCIFG</t>
  </si>
  <si>
    <t>JACSH</t>
  </si>
  <si>
    <t>DENLF</t>
  </si>
  <si>
    <t>CYSFI</t>
  </si>
  <si>
    <t>YVEFI</t>
  </si>
  <si>
    <t>PDXNH</t>
  </si>
  <si>
    <t>YSNFI</t>
  </si>
  <si>
    <t>YXSCY</t>
  </si>
  <si>
    <t>YRVFI</t>
  </si>
  <si>
    <t>EATML</t>
  </si>
  <si>
    <t>BOIFW</t>
  </si>
  <si>
    <t>YQLFI</t>
  </si>
  <si>
    <t>LITSH</t>
  </si>
  <si>
    <t>DALSK</t>
  </si>
  <si>
    <t>AUSCP</t>
  </si>
  <si>
    <t>AUSNL</t>
  </si>
  <si>
    <t>BOICY</t>
  </si>
  <si>
    <t>OMASB</t>
  </si>
  <si>
    <t>LBFFI</t>
  </si>
  <si>
    <t>OKCAC</t>
  </si>
  <si>
    <t>HOTFA</t>
  </si>
  <si>
    <t>CGIFC</t>
  </si>
  <si>
    <t>MFRFK</t>
  </si>
  <si>
    <t>CNMFI</t>
  </si>
  <si>
    <t>AUSSM</t>
  </si>
  <si>
    <t>DENFW</t>
  </si>
  <si>
    <t>CRPFC</t>
  </si>
  <si>
    <t>LITCR</t>
  </si>
  <si>
    <t>SJTFI</t>
  </si>
  <si>
    <t>CHISN</t>
  </si>
  <si>
    <t>AUSCY</t>
  </si>
  <si>
    <t>CYSSH</t>
  </si>
  <si>
    <t>PHXMZ</t>
  </si>
  <si>
    <t>COSSM</t>
  </si>
  <si>
    <t>DENFL</t>
  </si>
  <si>
    <t>AUSWL</t>
  </si>
  <si>
    <t>COSSN</t>
  </si>
  <si>
    <t>BFFFI</t>
  </si>
  <si>
    <t>MAFLD</t>
  </si>
  <si>
    <t>BOIDT</t>
  </si>
  <si>
    <t>CHIFD</t>
  </si>
  <si>
    <t>AMADT</t>
  </si>
  <si>
    <t>MSYSD</t>
  </si>
  <si>
    <t>MHKCM</t>
  </si>
  <si>
    <t>SHVSH</t>
  </si>
  <si>
    <t>PNCST</t>
  </si>
  <si>
    <t>LNKSE</t>
  </si>
  <si>
    <t>LITCO</t>
  </si>
  <si>
    <t>LITAR</t>
  </si>
  <si>
    <t>AVLBS</t>
  </si>
  <si>
    <t>AVLFF</t>
  </si>
  <si>
    <t>AVLHV</t>
  </si>
  <si>
    <t>CAKSH</t>
  </si>
  <si>
    <t>CHOFC</t>
  </si>
  <si>
    <t>CLEMD</t>
  </si>
  <si>
    <t>CLTCG</t>
  </si>
  <si>
    <t>CLTLN</t>
  </si>
  <si>
    <t>CLTMR</t>
  </si>
  <si>
    <t>CLTPV</t>
  </si>
  <si>
    <t>CLTUT</t>
  </si>
  <si>
    <t>CMHFG</t>
  </si>
  <si>
    <t>100489</t>
  </si>
  <si>
    <t>CMHOS</t>
  </si>
  <si>
    <t>CSGAO</t>
  </si>
  <si>
    <t>CSGCA</t>
  </si>
  <si>
    <t>CVGCA</t>
  </si>
  <si>
    <t>CVGCM</t>
  </si>
  <si>
    <t>CVGCT</t>
  </si>
  <si>
    <t>DAYCS</t>
  </si>
  <si>
    <t>DAYFN</t>
  </si>
  <si>
    <t>DAYSN</t>
  </si>
  <si>
    <t>FLLLC</t>
  </si>
  <si>
    <t>FLOFS</t>
  </si>
  <si>
    <t>FSMCY</t>
  </si>
  <si>
    <t>FYVFA</t>
  </si>
  <si>
    <t>GNVFO</t>
  </si>
  <si>
    <t>GRRAR</t>
  </si>
  <si>
    <t>GRRFW</t>
  </si>
  <si>
    <t>GRRSH</t>
  </si>
  <si>
    <t>GSOAB</t>
  </si>
  <si>
    <t>GSOAP</t>
  </si>
  <si>
    <t>GSPFD</t>
  </si>
  <si>
    <t>GSPFF</t>
  </si>
  <si>
    <t>GSPPH</t>
  </si>
  <si>
    <t>HARFF</t>
  </si>
  <si>
    <t>HKYSB</t>
  </si>
  <si>
    <t>IADDH</t>
  </si>
  <si>
    <t>IADFR</t>
  </si>
  <si>
    <t>IADHE</t>
  </si>
  <si>
    <t>ILGNC</t>
  </si>
  <si>
    <t>ILMWC</t>
  </si>
  <si>
    <t>INDES</t>
  </si>
  <si>
    <t>INDFF</t>
  </si>
  <si>
    <t>INDFK</t>
  </si>
  <si>
    <t>INDFN</t>
  </si>
  <si>
    <t>INDML</t>
  </si>
  <si>
    <t>INDNB</t>
  </si>
  <si>
    <t>INDNW</t>
  </si>
  <si>
    <t>INDPF</t>
  </si>
  <si>
    <t>INDSP</t>
  </si>
  <si>
    <t>ISPCP</t>
  </si>
  <si>
    <t>MSNCY</t>
  </si>
  <si>
    <t>MSNME</t>
  </si>
  <si>
    <t>PHXSG</t>
  </si>
  <si>
    <t>PITRK</t>
  </si>
  <si>
    <t>PITUT</t>
  </si>
  <si>
    <t>PNSGS</t>
  </si>
  <si>
    <t>PSCCP</t>
  </si>
  <si>
    <t>PSCCY</t>
  </si>
  <si>
    <t>PVDDT</t>
  </si>
  <si>
    <t>PVDFM</t>
  </si>
  <si>
    <t>PVDSH</t>
  </si>
  <si>
    <t>RDUAD</t>
  </si>
  <si>
    <t>RDUSS</t>
  </si>
  <si>
    <t>RICCH</t>
  </si>
  <si>
    <t>RICOX</t>
  </si>
  <si>
    <t>RKHCY</t>
  </si>
  <si>
    <t>ROAFI</t>
  </si>
  <si>
    <t>RSWFI</t>
  </si>
  <si>
    <t>SATSS</t>
  </si>
  <si>
    <t>SBNFG</t>
  </si>
  <si>
    <t>SCECO</t>
  </si>
  <si>
    <t>SCESH</t>
  </si>
  <si>
    <t>SCHCY</t>
  </si>
  <si>
    <t>SDFFM</t>
  </si>
  <si>
    <t>SDFVF</t>
  </si>
  <si>
    <t>SHRFI</t>
  </si>
  <si>
    <t>SLCAC</t>
  </si>
  <si>
    <t>SLCCD</t>
  </si>
  <si>
    <t>SLCCW</t>
  </si>
  <si>
    <t>SLCFM</t>
  </si>
  <si>
    <t>SLCPS</t>
  </si>
  <si>
    <t>SLCSV</t>
  </si>
  <si>
    <t>SRQBT</t>
  </si>
  <si>
    <t>SRQFI</t>
  </si>
  <si>
    <t>TBNFR</t>
  </si>
  <si>
    <t>TCLSH</t>
  </si>
  <si>
    <t>TOLFC</t>
  </si>
  <si>
    <t>TPACE</t>
  </si>
  <si>
    <t>TPALK</t>
  </si>
  <si>
    <t>TPASD</t>
  </si>
  <si>
    <t>TPASH</t>
  </si>
  <si>
    <t>VPSDF</t>
  </si>
  <si>
    <t>VPSFC</t>
  </si>
  <si>
    <t>VPSFI</t>
  </si>
  <si>
    <t>WASGE</t>
  </si>
  <si>
    <t>WASSW</t>
  </si>
  <si>
    <t>YHMBU</t>
  </si>
  <si>
    <t>YHMCY</t>
  </si>
  <si>
    <t>JAXIL</t>
  </si>
  <si>
    <t>ATLZL</t>
  </si>
  <si>
    <t>ATL8</t>
  </si>
  <si>
    <t>JAXCY</t>
  </si>
  <si>
    <t>ATLYL</t>
  </si>
  <si>
    <t>MYRSO</t>
  </si>
  <si>
    <t>MYRCO</t>
  </si>
  <si>
    <t>SDFFD</t>
  </si>
  <si>
    <t>SDFSD</t>
  </si>
  <si>
    <t>NYCMW</t>
  </si>
  <si>
    <t>NYCSH</t>
  </si>
  <si>
    <t>HSVDF</t>
  </si>
  <si>
    <t>CHIOX</t>
  </si>
  <si>
    <t>200113</t>
  </si>
  <si>
    <t>DFWCA</t>
  </si>
  <si>
    <t>FSDNW</t>
  </si>
  <si>
    <t>ICTFE</t>
  </si>
  <si>
    <t>GPTSH</t>
  </si>
  <si>
    <t>BHMTV</t>
  </si>
  <si>
    <t>FOESH</t>
  </si>
  <si>
    <t>LAWFI</t>
  </si>
  <si>
    <t>GTRSV</t>
  </si>
  <si>
    <t>MHTDT</t>
  </si>
  <si>
    <t>ITHFC</t>
  </si>
  <si>
    <t>MCOFA</t>
  </si>
  <si>
    <t>JAXJS</t>
  </si>
  <si>
    <t>LANFW</t>
  </si>
  <si>
    <t>PHFCN</t>
  </si>
  <si>
    <t>LANDT</t>
  </si>
  <si>
    <t>MWDFI</t>
  </si>
  <si>
    <t>JAXCO</t>
  </si>
  <si>
    <t>PBIAP</t>
  </si>
  <si>
    <t>PHFHC</t>
  </si>
  <si>
    <t>MCOWF</t>
  </si>
  <si>
    <t>PGVCY</t>
  </si>
  <si>
    <t>OGSFI</t>
  </si>
  <si>
    <t>ORFDT</t>
  </si>
  <si>
    <t>MOBSA</t>
  </si>
  <si>
    <t>100645</t>
  </si>
  <si>
    <t>MEMSH</t>
  </si>
  <si>
    <t>MVNFI</t>
  </si>
  <si>
    <t>MSPDC</t>
  </si>
  <si>
    <t>MDWMU</t>
  </si>
  <si>
    <t>MLUFS</t>
  </si>
  <si>
    <t>OKCEL</t>
  </si>
  <si>
    <t>OWBFI</t>
  </si>
  <si>
    <t>LITBN</t>
  </si>
  <si>
    <t>MLUFE</t>
  </si>
  <si>
    <t>LFTCS</t>
  </si>
  <si>
    <t>BNAOP</t>
  </si>
  <si>
    <t>BNACO</t>
  </si>
  <si>
    <t>BNASM</t>
  </si>
  <si>
    <t>MSPMS</t>
  </si>
  <si>
    <t>LNKCY</t>
  </si>
  <si>
    <t>OMASW</t>
  </si>
  <si>
    <t>MSOFI</t>
  </si>
  <si>
    <t>100689</t>
  </si>
  <si>
    <t>BNAWE</t>
  </si>
  <si>
    <t>PHXFT</t>
  </si>
  <si>
    <t>PHXMP</t>
  </si>
  <si>
    <t>FNTFG</t>
  </si>
  <si>
    <t>INTCD</t>
  </si>
  <si>
    <t>LBESS</t>
  </si>
  <si>
    <t>ATLCB</t>
  </si>
  <si>
    <t>ATLGR</t>
  </si>
  <si>
    <t>JAXAE</t>
  </si>
  <si>
    <t>ATLDC</t>
  </si>
  <si>
    <t>DAYJV</t>
  </si>
  <si>
    <t>BOSNF</t>
  </si>
  <si>
    <t>CMHCP</t>
  </si>
  <si>
    <t>BQKFI</t>
  </si>
  <si>
    <t>BOSFT</t>
  </si>
  <si>
    <t>AUGFI</t>
  </si>
  <si>
    <t>CLTFM</t>
  </si>
  <si>
    <t>CHICH</t>
  </si>
  <si>
    <t>BNAMY</t>
  </si>
  <si>
    <t>BNAFM</t>
  </si>
  <si>
    <t>BNAAB</t>
  </si>
  <si>
    <t>ATWFA</t>
  </si>
  <si>
    <t>GNVSC</t>
  </si>
  <si>
    <t>ATLPR</t>
  </si>
  <si>
    <t>JAXBH</t>
  </si>
  <si>
    <t>GNVAC</t>
  </si>
  <si>
    <t>BDLCS</t>
  </si>
  <si>
    <t>AIYML</t>
  </si>
  <si>
    <t>JAXFW</t>
  </si>
  <si>
    <t>LANCY</t>
  </si>
  <si>
    <t>BWIMR</t>
  </si>
  <si>
    <t>DAYSH</t>
  </si>
  <si>
    <t>ATLFI</t>
  </si>
  <si>
    <t>MBSCY</t>
  </si>
  <si>
    <t>GNVSW</t>
  </si>
  <si>
    <t>CVGFW</t>
  </si>
  <si>
    <t>CHASH</t>
  </si>
  <si>
    <t>LGASH</t>
  </si>
  <si>
    <t>BTVWL</t>
  </si>
  <si>
    <t>BWIAS</t>
  </si>
  <si>
    <t>BEHFI</t>
  </si>
  <si>
    <t>BOSSR</t>
  </si>
  <si>
    <t>DTWSW</t>
  </si>
  <si>
    <t>GNVCL</t>
  </si>
  <si>
    <t>IADCA</t>
  </si>
  <si>
    <t>CMHSD</t>
  </si>
  <si>
    <t>ILGCY</t>
  </si>
  <si>
    <t>GSPCL</t>
  </si>
  <si>
    <t>LGAFI</t>
  </si>
  <si>
    <t>CVGHA</t>
  </si>
  <si>
    <t>GSOCY</t>
  </si>
  <si>
    <t>ATLFR</t>
  </si>
  <si>
    <t>FWAFF</t>
  </si>
  <si>
    <t>PGVGV</t>
  </si>
  <si>
    <t>LGAQA</t>
  </si>
  <si>
    <t>BOSAB</t>
  </si>
  <si>
    <t>ATLCH</t>
  </si>
  <si>
    <t>EWRWO</t>
  </si>
  <si>
    <t>CMHFC</t>
  </si>
  <si>
    <t>CMHCH</t>
  </si>
  <si>
    <t>BDRCY</t>
  </si>
  <si>
    <t>GRRFN</t>
  </si>
  <si>
    <t>CLTCD</t>
  </si>
  <si>
    <t>CHSOX</t>
  </si>
  <si>
    <t>AVLFM</t>
  </si>
  <si>
    <t>GTLFG</t>
  </si>
  <si>
    <t>ATLKB</t>
  </si>
  <si>
    <t>ISPJJ</t>
  </si>
  <si>
    <t>BDLHC</t>
  </si>
  <si>
    <t>ARBFY</t>
  </si>
  <si>
    <t>AVLAC</t>
  </si>
  <si>
    <t>ILMSH</t>
  </si>
  <si>
    <t>ATLXB</t>
  </si>
  <si>
    <t>HKYBN</t>
  </si>
  <si>
    <t>CMHYV</t>
  </si>
  <si>
    <t>CLTBT</t>
  </si>
  <si>
    <t>LANSL</t>
  </si>
  <si>
    <t>CLEFS</t>
  </si>
  <si>
    <t>CMHWT</t>
  </si>
  <si>
    <t>BOSDT</t>
  </si>
  <si>
    <t>ALBCO</t>
  </si>
  <si>
    <t>CVGDT</t>
  </si>
  <si>
    <t>ATLFB</t>
  </si>
  <si>
    <t>LANCO</t>
  </si>
  <si>
    <t>ATLFH</t>
  </si>
  <si>
    <t>ATLWF</t>
  </si>
  <si>
    <t>DTWFY</t>
  </si>
  <si>
    <t>HTSHN</t>
  </si>
  <si>
    <t>CLTSB</t>
  </si>
  <si>
    <t>CLTFH</t>
  </si>
  <si>
    <t>FWADT</t>
  </si>
  <si>
    <t>CVGSB</t>
  </si>
  <si>
    <t>INDMU</t>
  </si>
  <si>
    <t>ATLSE</t>
  </si>
  <si>
    <t>ATLFS</t>
  </si>
  <si>
    <t>ATLBM</t>
  </si>
  <si>
    <t>FAYSE</t>
  </si>
  <si>
    <t>ATLXM</t>
  </si>
  <si>
    <t>BOSNE</t>
  </si>
  <si>
    <t>HARGT</t>
  </si>
  <si>
    <t>ABECV</t>
  </si>
  <si>
    <t>CAECY</t>
  </si>
  <si>
    <t>GTLCY</t>
  </si>
  <si>
    <t>CAKAS</t>
  </si>
  <si>
    <t>HARCY</t>
  </si>
  <si>
    <t>LEXCE</t>
  </si>
  <si>
    <t>EWRBK</t>
  </si>
  <si>
    <t>DSMAD</t>
  </si>
  <si>
    <t>CWAFI</t>
  </si>
  <si>
    <t>BNAFV</t>
  </si>
  <si>
    <t>DTLFI</t>
  </si>
  <si>
    <t>FARCF</t>
  </si>
  <si>
    <t>BHMBB</t>
  </si>
  <si>
    <t>JANCJ</t>
  </si>
  <si>
    <t>CWACY</t>
  </si>
  <si>
    <t>BILFL</t>
  </si>
  <si>
    <t>BNAFN</t>
  </si>
  <si>
    <t>BILCY</t>
  </si>
  <si>
    <t>LBEFI</t>
  </si>
  <si>
    <t>ALWCY</t>
  </si>
  <si>
    <t>SCKSF</t>
  </si>
  <si>
    <t>SANBO</t>
  </si>
  <si>
    <t>SACGM</t>
  </si>
  <si>
    <t>VISFI</t>
  </si>
  <si>
    <t>SACRV</t>
  </si>
  <si>
    <t>CDCCY</t>
  </si>
  <si>
    <t>BOIFI</t>
  </si>
  <si>
    <t>PHXSL</t>
  </si>
  <si>
    <t>CDCSH</t>
  </si>
  <si>
    <t>AFOFI</t>
  </si>
  <si>
    <t>BOINP</t>
  </si>
  <si>
    <t>FSMFI</t>
  </si>
  <si>
    <t>LFTFS</t>
  </si>
  <si>
    <t>BTRCD</t>
  </si>
  <si>
    <t>SATSA</t>
  </si>
  <si>
    <t>AEXCY</t>
  </si>
  <si>
    <t>MAFOD</t>
  </si>
  <si>
    <t>ACTHF</t>
  </si>
  <si>
    <t>AUSSN</t>
  </si>
  <si>
    <t>OKCSW</t>
  </si>
  <si>
    <t>LITFI</t>
  </si>
  <si>
    <t>BROSP</t>
  </si>
  <si>
    <t>ADMSH</t>
  </si>
  <si>
    <t>FYVBN</t>
  </si>
  <si>
    <t>CLLHU</t>
  </si>
  <si>
    <t>MEMCG</t>
  </si>
  <si>
    <t>TPAOL</t>
  </si>
  <si>
    <t>SAVIN</t>
  </si>
  <si>
    <t>MIADR</t>
  </si>
  <si>
    <t>PITNV</t>
  </si>
  <si>
    <t>PITLE</t>
  </si>
  <si>
    <t>PWMNC</t>
  </si>
  <si>
    <t>NYCOS</t>
  </si>
  <si>
    <t>PITMV</t>
  </si>
  <si>
    <t>TOLCW</t>
  </si>
  <si>
    <t>ORFFC</t>
  </si>
  <si>
    <t>NYCXB</t>
  </si>
  <si>
    <t>PHFFW</t>
  </si>
  <si>
    <t>ORFOD</t>
  </si>
  <si>
    <t>PITCY</t>
  </si>
  <si>
    <t>PITEL</t>
  </si>
  <si>
    <t>SHDCY</t>
  </si>
  <si>
    <t>SDFFA</t>
  </si>
  <si>
    <t>TPAWA</t>
  </si>
  <si>
    <t>TVCFT</t>
  </si>
  <si>
    <t>RICAP</t>
  </si>
  <si>
    <t>PBICD</t>
  </si>
  <si>
    <t>MHTSH</t>
  </si>
  <si>
    <t>RDUFN</t>
  </si>
  <si>
    <t>MCOAL</t>
  </si>
  <si>
    <t>MIAOX</t>
  </si>
  <si>
    <t>NYCQC</t>
  </si>
  <si>
    <t>TYSFX</t>
  </si>
  <si>
    <t>SAVPO</t>
  </si>
  <si>
    <t>ORFFW</t>
  </si>
  <si>
    <t>RMGCY</t>
  </si>
  <si>
    <t>RDUAR</t>
  </si>
  <si>
    <t>NYCBL</t>
  </si>
  <si>
    <t>RSWFB</t>
  </si>
  <si>
    <t>RDUFW</t>
  </si>
  <si>
    <t>GSPAC</t>
  </si>
  <si>
    <t>FAYRH</t>
  </si>
  <si>
    <t>CHAOX</t>
  </si>
  <si>
    <t>FAYLB</t>
  </si>
  <si>
    <t>DBNFI</t>
  </si>
  <si>
    <t>EWNCY</t>
  </si>
  <si>
    <t>EYWFI</t>
  </si>
  <si>
    <t>DTWFL</t>
  </si>
  <si>
    <t>100537</t>
  </si>
  <si>
    <t>DXRCY</t>
  </si>
  <si>
    <t>DAYUD</t>
  </si>
  <si>
    <t>DTWFH</t>
  </si>
  <si>
    <t>DTWMB</t>
  </si>
  <si>
    <t>FAYDN</t>
  </si>
  <si>
    <t>EVVFW</t>
  </si>
  <si>
    <t>DSMFD</t>
  </si>
  <si>
    <t>DSMFO</t>
  </si>
  <si>
    <t>DLHFW</t>
  </si>
  <si>
    <t>DSMTO</t>
  </si>
  <si>
    <t>FLGSH</t>
  </si>
  <si>
    <t>IGMSH</t>
  </si>
  <si>
    <t>PDXPF</t>
  </si>
  <si>
    <t>LAXCY</t>
  </si>
  <si>
    <t>LAXAB</t>
  </si>
  <si>
    <t>MFRCY</t>
  </si>
  <si>
    <t>LAXAM</t>
  </si>
  <si>
    <t>LAXMO</t>
  </si>
  <si>
    <t>200749</t>
  </si>
  <si>
    <t>LAXCE</t>
  </si>
  <si>
    <t>LAXMP</t>
  </si>
  <si>
    <t>OTSFS</t>
  </si>
  <si>
    <t>LAXAE</t>
  </si>
  <si>
    <t>PHXDT</t>
  </si>
  <si>
    <t>DALIR</t>
  </si>
  <si>
    <t>MSNMW</t>
  </si>
  <si>
    <t>HOUIC</t>
  </si>
  <si>
    <t>FOECY</t>
  </si>
  <si>
    <t>BTRRO</t>
  </si>
  <si>
    <t>AUSFS</t>
  </si>
  <si>
    <t>BHMFP</t>
  </si>
  <si>
    <t>JANSH</t>
  </si>
  <si>
    <t>PFNCY</t>
  </si>
  <si>
    <t>MSPST</t>
  </si>
  <si>
    <t>HOUPS</t>
  </si>
  <si>
    <t>HOULN</t>
  </si>
  <si>
    <t>DALLL</t>
  </si>
  <si>
    <t>BNAFL</t>
  </si>
  <si>
    <t>SATNE</t>
  </si>
  <si>
    <t>DFWDN</t>
  </si>
  <si>
    <t>TCLCY</t>
  </si>
  <si>
    <t>RFDBL</t>
  </si>
  <si>
    <t>ALOFW</t>
  </si>
  <si>
    <t>HOUCW</t>
  </si>
  <si>
    <t>TULMK</t>
  </si>
  <si>
    <t>HOUWK</t>
  </si>
  <si>
    <t>DALCD</t>
  </si>
  <si>
    <t>HOUPL</t>
  </si>
  <si>
    <t>CGICY</t>
  </si>
  <si>
    <t>MCILB</t>
  </si>
  <si>
    <t>HOUPD</t>
  </si>
  <si>
    <t>DALEH</t>
  </si>
  <si>
    <t>GRIGI</t>
  </si>
  <si>
    <t>CHICR</t>
  </si>
  <si>
    <t>DALAD</t>
  </si>
  <si>
    <t>DFWSI</t>
  </si>
  <si>
    <t>DALVL</t>
  </si>
  <si>
    <t>AUSAA</t>
  </si>
  <si>
    <t>OKCAW</t>
  </si>
  <si>
    <t>DALQD</t>
  </si>
  <si>
    <t>SATPT</t>
  </si>
  <si>
    <t>ICTFD</t>
  </si>
  <si>
    <t>DFWAT</t>
  </si>
  <si>
    <t>TCLFI</t>
  </si>
  <si>
    <t>PNSCY</t>
  </si>
  <si>
    <t>ABISN</t>
  </si>
  <si>
    <t>LITRV</t>
  </si>
  <si>
    <t>AUSST</t>
  </si>
  <si>
    <t>CHIFS</t>
  </si>
  <si>
    <t>DALWF</t>
  </si>
  <si>
    <t>PNSFF</t>
  </si>
  <si>
    <t>PNSCW</t>
  </si>
  <si>
    <t>CRPFW</t>
  </si>
  <si>
    <t>HOUKW</t>
  </si>
  <si>
    <t>HOUKF</t>
  </si>
  <si>
    <t>HOUFC</t>
  </si>
  <si>
    <t>MSNAC</t>
  </si>
  <si>
    <t>BNASY</t>
  </si>
  <si>
    <t>HOUZN</t>
  </si>
  <si>
    <t>LRDFI</t>
  </si>
  <si>
    <t>HOUBT</t>
  </si>
  <si>
    <t>SLNCY</t>
  </si>
  <si>
    <t>BHMBF</t>
  </si>
  <si>
    <t>MEIFI</t>
  </si>
  <si>
    <t>DALWD</t>
  </si>
  <si>
    <t>SOSFI</t>
  </si>
  <si>
    <t>ATLCT</t>
  </si>
  <si>
    <t>BOSMF</t>
  </si>
  <si>
    <t>OCWFI</t>
  </si>
  <si>
    <t>HKYFY</t>
  </si>
  <si>
    <t>EWBFI</t>
  </si>
  <si>
    <t>LGAEW</t>
  </si>
  <si>
    <t>CAEFN</t>
  </si>
  <si>
    <t>RDUFM</t>
  </si>
  <si>
    <t>PHLIG</t>
  </si>
  <si>
    <t>RDURL</t>
  </si>
  <si>
    <t>OKKCY</t>
  </si>
  <si>
    <t>PHLVF</t>
  </si>
  <si>
    <t>TYSKE</t>
  </si>
  <si>
    <t>AVPCY</t>
  </si>
  <si>
    <t>RDUNW</t>
  </si>
  <si>
    <t>BTLCY</t>
  </si>
  <si>
    <t>EWRPP</t>
  </si>
  <si>
    <t>AHNFH</t>
  </si>
  <si>
    <t>GSPGD</t>
  </si>
  <si>
    <t>ATLSH</t>
  </si>
  <si>
    <t>PBGFI</t>
  </si>
  <si>
    <t>BOSBG</t>
  </si>
  <si>
    <t>PHLDF</t>
  </si>
  <si>
    <t>MIADT</t>
  </si>
  <si>
    <t>NYCBF</t>
  </si>
  <si>
    <t>DTTSD</t>
  </si>
  <si>
    <t>RICFW</t>
  </si>
  <si>
    <t>AVPFI</t>
  </si>
  <si>
    <t>RDUWT</t>
  </si>
  <si>
    <t>ATLLL</t>
  </si>
  <si>
    <t>MCOMA</t>
  </si>
  <si>
    <t>ATLGY</t>
  </si>
  <si>
    <t>TPACY</t>
  </si>
  <si>
    <t>EWRSA</t>
  </si>
  <si>
    <t>MGWCY</t>
  </si>
  <si>
    <t>AYSFI</t>
  </si>
  <si>
    <t>SDFDT</t>
  </si>
  <si>
    <t>ORFVA</t>
  </si>
  <si>
    <t>MHTKN</t>
  </si>
  <si>
    <t>MCOCW</t>
  </si>
  <si>
    <t>AHNCO</t>
  </si>
  <si>
    <t>TYSFA</t>
  </si>
  <si>
    <t>ITHFL</t>
  </si>
  <si>
    <t>DTWCF</t>
  </si>
  <si>
    <t>DAYCF</t>
  </si>
  <si>
    <t>PITWM</t>
  </si>
  <si>
    <t>ARTFI</t>
  </si>
  <si>
    <t>ROABL</t>
  </si>
  <si>
    <t>MCOCM</t>
  </si>
  <si>
    <t>PHLSR</t>
  </si>
  <si>
    <t>RSWAC</t>
  </si>
  <si>
    <t>TPAFH</t>
  </si>
  <si>
    <t>MCNCW</t>
  </si>
  <si>
    <t>HGRSC</t>
  </si>
  <si>
    <t>PWMFH</t>
  </si>
  <si>
    <t>CLTCM</t>
  </si>
  <si>
    <t>MDTCH</t>
  </si>
  <si>
    <t>CLTHB</t>
  </si>
  <si>
    <t>RICSD</t>
  </si>
  <si>
    <t>ANDFI</t>
  </si>
  <si>
    <t>TPASK</t>
  </si>
  <si>
    <t>TRIAB</t>
  </si>
  <si>
    <t>ROARS</t>
  </si>
  <si>
    <t>RICCY</t>
  </si>
  <si>
    <t>CAEFE</t>
  </si>
  <si>
    <t>RMGHO</t>
  </si>
  <si>
    <t>YYZTO</t>
  </si>
  <si>
    <t>WASTN</t>
  </si>
  <si>
    <t>IAGNY</t>
  </si>
  <si>
    <t>ABEEH</t>
  </si>
  <si>
    <t>200473</t>
  </si>
  <si>
    <t>CAENE</t>
  </si>
  <si>
    <t>GSOHA</t>
  </si>
  <si>
    <t>MCOUC</t>
  </si>
  <si>
    <t>ATOFI</t>
  </si>
  <si>
    <t>NYCSK</t>
  </si>
  <si>
    <t>YYZBP</t>
  </si>
  <si>
    <t>BLFFP</t>
  </si>
  <si>
    <t>BDLFE</t>
  </si>
  <si>
    <t>HARET</t>
  </si>
  <si>
    <t>CHSSN</t>
  </si>
  <si>
    <t>BOSSD</t>
  </si>
  <si>
    <t>INTDW</t>
  </si>
  <si>
    <t>BMGCF</t>
  </si>
  <si>
    <t>GRRGS</t>
  </si>
  <si>
    <t>SOSFK</t>
  </si>
  <si>
    <t>PVDWF</t>
  </si>
  <si>
    <t>PITMO</t>
  </si>
  <si>
    <t>ISPMF</t>
  </si>
  <si>
    <t>INDCF</t>
  </si>
  <si>
    <t>ILMFS</t>
  </si>
  <si>
    <t>ABEFA</t>
  </si>
  <si>
    <t>ELMFI</t>
  </si>
  <si>
    <t>BGMVS</t>
  </si>
  <si>
    <t>EWRAB</t>
  </si>
  <si>
    <t>ATLSW</t>
  </si>
  <si>
    <t>MBSFM</t>
  </si>
  <si>
    <t>SBNCE</t>
  </si>
  <si>
    <t>INTCY</t>
  </si>
  <si>
    <t>CHSCY</t>
  </si>
  <si>
    <t>TRIFK</t>
  </si>
  <si>
    <t>BDLNH</t>
  </si>
  <si>
    <t>JXNAB</t>
  </si>
  <si>
    <t>ATLWO</t>
  </si>
  <si>
    <t>DTWFT</t>
  </si>
  <si>
    <t>ATLVN</t>
  </si>
  <si>
    <t>FLLWM</t>
  </si>
  <si>
    <t>WASAE</t>
  </si>
  <si>
    <t>YYZFS</t>
  </si>
  <si>
    <t>NYCFC</t>
  </si>
  <si>
    <t>PBIFE</t>
  </si>
  <si>
    <t>YYZVN</t>
  </si>
  <si>
    <t>RQSFI</t>
  </si>
  <si>
    <t>TLHFI</t>
  </si>
  <si>
    <t>ATLPF</t>
  </si>
  <si>
    <t>SBNMS</t>
  </si>
  <si>
    <t>FLLPE</t>
  </si>
  <si>
    <t>ARBCH</t>
  </si>
  <si>
    <t>FAYCS</t>
  </si>
  <si>
    <t>ABYFX</t>
  </si>
  <si>
    <t>DUJFI</t>
  </si>
  <si>
    <t>ELMHH</t>
  </si>
  <si>
    <t>DTWFR</t>
  </si>
  <si>
    <t>BKWFF</t>
  </si>
  <si>
    <t>NYCFT</t>
  </si>
  <si>
    <t>NYCOX</t>
  </si>
  <si>
    <t>CMHWE</t>
  </si>
  <si>
    <t>BOSPO</t>
  </si>
  <si>
    <t>FAYFN</t>
  </si>
  <si>
    <t>200355</t>
  </si>
  <si>
    <t>ATLCF</t>
  </si>
  <si>
    <t>MBSSH</t>
  </si>
  <si>
    <t>FNTFF</t>
  </si>
  <si>
    <t>SBNND</t>
  </si>
  <si>
    <t>SDFFV</t>
  </si>
  <si>
    <t>TPAPA</t>
  </si>
  <si>
    <t>CHAFL</t>
  </si>
  <si>
    <t>GBRCY</t>
  </si>
  <si>
    <t>PITAR</t>
  </si>
  <si>
    <t>JAXAP</t>
  </si>
  <si>
    <t>200335</t>
  </si>
  <si>
    <t>GSOSH</t>
  </si>
  <si>
    <t>EWRFI</t>
  </si>
  <si>
    <t>NYCFF</t>
  </si>
  <si>
    <t>GNVSH</t>
  </si>
  <si>
    <t>PHLFA</t>
  </si>
  <si>
    <t>AGSAF</t>
  </si>
  <si>
    <t>WASUS</t>
  </si>
  <si>
    <t>YYZMS</t>
  </si>
  <si>
    <t>ELMCH</t>
  </si>
  <si>
    <t>IAGIF</t>
  </si>
  <si>
    <t>YAMFI</t>
  </si>
  <si>
    <t>MCNMD</t>
  </si>
  <si>
    <t>MHTCN</t>
  </si>
  <si>
    <t>TPAYC</t>
  </si>
  <si>
    <t>LEXHS</t>
  </si>
  <si>
    <t>RICNT</t>
  </si>
  <si>
    <t>BGMWB</t>
  </si>
  <si>
    <t>ILMCY</t>
  </si>
  <si>
    <t>PITGB</t>
  </si>
  <si>
    <t>PDXLA</t>
  </si>
  <si>
    <t>SNAPK</t>
  </si>
  <si>
    <t>RALFI</t>
  </si>
  <si>
    <t>SACFR</t>
  </si>
  <si>
    <t>ONTSB</t>
  </si>
  <si>
    <t>SFORD</t>
  </si>
  <si>
    <t>SJCFN</t>
  </si>
  <si>
    <t>SJCCP</t>
  </si>
  <si>
    <t>SJCYA</t>
  </si>
  <si>
    <t>SACFO</t>
  </si>
  <si>
    <t>SFOME</t>
  </si>
  <si>
    <t>SJCSF</t>
  </si>
  <si>
    <t>SNAAI</t>
  </si>
  <si>
    <t>SEACA</t>
  </si>
  <si>
    <t>SEASB</t>
  </si>
  <si>
    <t>SFOBM</t>
  </si>
  <si>
    <t>SFOPF</t>
  </si>
  <si>
    <t>SNADT</t>
  </si>
  <si>
    <t>SFOCP</t>
  </si>
  <si>
    <t>STSAW</t>
  </si>
  <si>
    <t>SEAOC</t>
  </si>
  <si>
    <t>SFOYA</t>
  </si>
  <si>
    <t>SBPCY</t>
  </si>
  <si>
    <t>SFOVN</t>
  </si>
  <si>
    <t>ONTRV</t>
  </si>
  <si>
    <t>SJCAC</t>
  </si>
  <si>
    <t>SANSU</t>
  </si>
  <si>
    <t>SNAAO</t>
  </si>
  <si>
    <t>LAXSF</t>
  </si>
  <si>
    <t>SACFV</t>
  </si>
  <si>
    <t>IDARX</t>
  </si>
  <si>
    <t>SLCLE</t>
  </si>
  <si>
    <t>DENBT</t>
  </si>
  <si>
    <t>PGAKS</t>
  </si>
  <si>
    <t>SUNFI</t>
  </si>
  <si>
    <t>TUSOR</t>
  </si>
  <si>
    <t>BNAOV</t>
  </si>
  <si>
    <t>LBLFI</t>
  </si>
  <si>
    <t>CMPFI</t>
  </si>
  <si>
    <t>OKCDF</t>
  </si>
  <si>
    <t>MKEMS</t>
  </si>
  <si>
    <t>CHICO</t>
  </si>
  <si>
    <t>STLFE</t>
  </si>
  <si>
    <t>MAFOC</t>
  </si>
  <si>
    <t>LBBFW</t>
  </si>
  <si>
    <t>MLIFD</t>
  </si>
  <si>
    <t>BNACC</t>
  </si>
  <si>
    <t>YQRFI</t>
  </si>
  <si>
    <t>LITCW</t>
  </si>
  <si>
    <t>LBBFI</t>
  </si>
  <si>
    <t>MVCFI</t>
  </si>
  <si>
    <t>CMPCY</t>
  </si>
  <si>
    <t>IERFI</t>
  </si>
  <si>
    <t>COUSH</t>
  </si>
  <si>
    <t>GHMDK</t>
  </si>
  <si>
    <t>BNALB</t>
  </si>
  <si>
    <t>RSTSH</t>
  </si>
  <si>
    <t>TULCT</t>
  </si>
  <si>
    <t>LITCN</t>
  </si>
  <si>
    <t>MKEFG</t>
  </si>
  <si>
    <t>HBGFI</t>
  </si>
  <si>
    <t>LGVFI</t>
  </si>
  <si>
    <t>PNSOB</t>
  </si>
  <si>
    <t>EVVCY</t>
  </si>
  <si>
    <t>RSTCY</t>
  </si>
  <si>
    <t>MPRFI</t>
  </si>
  <si>
    <t>UOXCY</t>
  </si>
  <si>
    <t>MSPAC</t>
  </si>
  <si>
    <t>HSVFI</t>
  </si>
  <si>
    <t>AUSRR</t>
  </si>
  <si>
    <t>BPTFI</t>
  </si>
  <si>
    <t>BBCFI</t>
  </si>
  <si>
    <t>MDWFI</t>
  </si>
  <si>
    <t>YQRCY</t>
  </si>
  <si>
    <t>JMSFI</t>
  </si>
  <si>
    <t>HOUST</t>
  </si>
  <si>
    <t>MSYLF</t>
  </si>
  <si>
    <t>MSPAW</t>
  </si>
  <si>
    <t>MGMTR</t>
  </si>
  <si>
    <t>COTFI</t>
  </si>
  <si>
    <t>ILECY</t>
  </si>
  <si>
    <t>ICTCY</t>
  </si>
  <si>
    <t>HSVFC</t>
  </si>
  <si>
    <t>HSVAT</t>
  </si>
  <si>
    <t>ABRFI</t>
  </si>
  <si>
    <t>COUFS</t>
  </si>
  <si>
    <t>JANAP</t>
  </si>
  <si>
    <t>DSMCW</t>
  </si>
  <si>
    <t>AUSGT</t>
  </si>
  <si>
    <t>OKCED</t>
  </si>
  <si>
    <t>OKCMO</t>
  </si>
  <si>
    <t>DSMNF</t>
  </si>
  <si>
    <t>LITFS</t>
  </si>
  <si>
    <t>MSNOX</t>
  </si>
  <si>
    <t>MOBFI</t>
  </si>
  <si>
    <t>BMIFB</t>
  </si>
  <si>
    <t>TULDT</t>
  </si>
  <si>
    <t>GFKEG</t>
  </si>
  <si>
    <t>BHMFC</t>
  </si>
  <si>
    <t>MKLSH</t>
  </si>
  <si>
    <t>EVVIN</t>
  </si>
  <si>
    <t>BHMNP</t>
  </si>
  <si>
    <t>CHIWD</t>
  </si>
  <si>
    <t>CHIWR</t>
  </si>
  <si>
    <t>DSMAI</t>
  </si>
  <si>
    <t>JANAC</t>
  </si>
  <si>
    <t>MKTCY</t>
  </si>
  <si>
    <t>JANFA</t>
  </si>
  <si>
    <t>BNAGH</t>
  </si>
  <si>
    <t>BNAFC</t>
  </si>
  <si>
    <t>MSYHO</t>
  </si>
  <si>
    <t>HOTCY</t>
  </si>
  <si>
    <t>CHIFN</t>
  </si>
  <si>
    <t>DSMUD</t>
  </si>
  <si>
    <t>YWGAP</t>
  </si>
  <si>
    <t>LCHSL</t>
  </si>
  <si>
    <t>CHIEL</t>
  </si>
  <si>
    <t>VRPFI</t>
  </si>
  <si>
    <t>OMASH</t>
  </si>
  <si>
    <t>MSPFO</t>
  </si>
  <si>
    <t>MGMAP</t>
  </si>
  <si>
    <t>BWGFB</t>
  </si>
  <si>
    <t>MSYHF</t>
  </si>
  <si>
    <t>STJFI</t>
  </si>
  <si>
    <t>CHITP</t>
  </si>
  <si>
    <t>MKECY</t>
  </si>
  <si>
    <t>HSVAV</t>
  </si>
  <si>
    <t>BWGCY</t>
  </si>
  <si>
    <t>110235</t>
  </si>
  <si>
    <t>MKEFD</t>
  </si>
  <si>
    <t>DFWWS</t>
  </si>
  <si>
    <t>OKCDT</t>
  </si>
  <si>
    <t>BHMFO</t>
  </si>
  <si>
    <t>MLURU</t>
  </si>
  <si>
    <t>BGMON</t>
  </si>
  <si>
    <t>LEXNO</t>
  </si>
  <si>
    <t>ORFSU</t>
  </si>
  <si>
    <t>MLBCB</t>
  </si>
  <si>
    <t>GSPSM</t>
  </si>
  <si>
    <t>CSGSH</t>
  </si>
  <si>
    <t>GRRPA</t>
  </si>
  <si>
    <t>ALBPK</t>
  </si>
  <si>
    <t>IADFC</t>
  </si>
  <si>
    <t>WASPG</t>
  </si>
  <si>
    <t>WASFA</t>
  </si>
  <si>
    <t>MBSFR</t>
  </si>
  <si>
    <t>MYRCN</t>
  </si>
  <si>
    <t>CBEFI</t>
  </si>
  <si>
    <t>PBIJP</t>
  </si>
  <si>
    <t>BWIPF</t>
  </si>
  <si>
    <t>ROANO</t>
  </si>
  <si>
    <t>CLTCT</t>
  </si>
  <si>
    <t>INDMN</t>
  </si>
  <si>
    <t>YOWFA</t>
  </si>
  <si>
    <t>INTSR</t>
  </si>
  <si>
    <t>LYHCY</t>
  </si>
  <si>
    <t>WGOSH</t>
  </si>
  <si>
    <t>EWRFW</t>
  </si>
  <si>
    <t>ROCFA</t>
  </si>
  <si>
    <t>SMECY</t>
  </si>
  <si>
    <t>CHSNE</t>
  </si>
  <si>
    <t>MBSSM</t>
  </si>
  <si>
    <t>LEXFF</t>
  </si>
  <si>
    <t>PITLT</t>
  </si>
  <si>
    <t>MHTNC</t>
  </si>
  <si>
    <t>MMIFI</t>
  </si>
  <si>
    <t>TPAFW</t>
  </si>
  <si>
    <t>INDAV</t>
  </si>
  <si>
    <t>BOSSY</t>
  </si>
  <si>
    <t>CAECD</t>
  </si>
  <si>
    <t>CMHCG</t>
  </si>
  <si>
    <t>BDLTH</t>
  </si>
  <si>
    <t>TPABN</t>
  </si>
  <si>
    <t>EWRMA</t>
  </si>
  <si>
    <t>PITBT</t>
  </si>
  <si>
    <t>ROASH</t>
  </si>
  <si>
    <t>WASNY</t>
  </si>
  <si>
    <t>LNSCY</t>
  </si>
  <si>
    <t>CHAEH</t>
  </si>
  <si>
    <t>TRIJC</t>
  </si>
  <si>
    <t>CLEBW</t>
  </si>
  <si>
    <t>GLRFI</t>
  </si>
  <si>
    <t>DTWBR</t>
  </si>
  <si>
    <t>CKBCY</t>
  </si>
  <si>
    <t>CVGBC</t>
  </si>
  <si>
    <t>PSMAC</t>
  </si>
  <si>
    <t>PHLNC</t>
  </si>
  <si>
    <t>JENSH</t>
  </si>
  <si>
    <t>CAKCN</t>
  </si>
  <si>
    <t>SBNEH</t>
  </si>
  <si>
    <t>CVGDX</t>
  </si>
  <si>
    <t>WASFC</t>
  </si>
  <si>
    <t>AVLSH</t>
  </si>
  <si>
    <t>BQKKG</t>
  </si>
  <si>
    <t>INDWF</t>
  </si>
  <si>
    <t>LEXSF</t>
  </si>
  <si>
    <t>TOLMU</t>
  </si>
  <si>
    <t>SRQBD</t>
  </si>
  <si>
    <t>MCOYC</t>
  </si>
  <si>
    <t>EYWCY</t>
  </si>
  <si>
    <t>INDSW</t>
  </si>
  <si>
    <t>SAVHV</t>
  </si>
  <si>
    <t>GNVCY</t>
  </si>
  <si>
    <t>GRDFI</t>
  </si>
  <si>
    <t>FLOCY</t>
  </si>
  <si>
    <t>BTVCY</t>
  </si>
  <si>
    <t>BWISU</t>
  </si>
  <si>
    <t>ROCFI</t>
  </si>
  <si>
    <t>WASBA</t>
  </si>
  <si>
    <t>SCEHD</t>
  </si>
  <si>
    <t>DAYNP</t>
  </si>
  <si>
    <t>RDGFI</t>
  </si>
  <si>
    <t>HVNUN</t>
  </si>
  <si>
    <t>ROCFG</t>
  </si>
  <si>
    <t>CSGAC</t>
  </si>
  <si>
    <t>CLEWB</t>
  </si>
  <si>
    <t>GSPCM</t>
  </si>
  <si>
    <t>CLEAC</t>
  </si>
  <si>
    <t>MHTFA</t>
  </si>
  <si>
    <t>GSODV</t>
  </si>
  <si>
    <t>DABFI</t>
  </si>
  <si>
    <t>JAXBS</t>
  </si>
  <si>
    <t>TLHEC</t>
  </si>
  <si>
    <t>JAXBB</t>
  </si>
  <si>
    <t>CHACL</t>
  </si>
  <si>
    <t>INDSF</t>
  </si>
  <si>
    <t>GSOSA</t>
  </si>
  <si>
    <t>HARYK</t>
  </si>
  <si>
    <t>YNGFA</t>
  </si>
  <si>
    <t>PGVKS</t>
  </si>
  <si>
    <t>DOVFI</t>
  </si>
  <si>
    <t>GSOGW</t>
  </si>
  <si>
    <t>MYRCF</t>
  </si>
  <si>
    <t>PHLMH</t>
  </si>
  <si>
    <t>AVLCY</t>
  </si>
  <si>
    <t>PKBFI</t>
  </si>
  <si>
    <t>MCOUS</t>
  </si>
  <si>
    <t>MLBVB</t>
  </si>
  <si>
    <t>DAYTH</t>
  </si>
  <si>
    <t>CHSCN</t>
  </si>
  <si>
    <t>BDLFI</t>
  </si>
  <si>
    <t>DAYML</t>
  </si>
  <si>
    <t>JAXNE</t>
  </si>
  <si>
    <t>GBRFI</t>
  </si>
  <si>
    <t>CAKCC</t>
  </si>
  <si>
    <t>CAKMT</t>
  </si>
  <si>
    <t>TYSKD</t>
  </si>
  <si>
    <t>MCIPO</t>
  </si>
  <si>
    <t>RDUCL</t>
  </si>
  <si>
    <t>TLHAL</t>
  </si>
  <si>
    <t>ATLMO</t>
  </si>
  <si>
    <t>Y</t>
  </si>
  <si>
    <t>LNKYF</t>
  </si>
  <si>
    <t>INDLF</t>
  </si>
  <si>
    <t>ABQLF</t>
  </si>
  <si>
    <t>YOWOX</t>
  </si>
  <si>
    <t>SAVPA</t>
  </si>
  <si>
    <t>BOSSF</t>
  </si>
  <si>
    <t>DENNC</t>
  </si>
  <si>
    <t>CLESU</t>
  </si>
  <si>
    <t>SMFDA</t>
  </si>
  <si>
    <t>YYZBF</t>
  </si>
  <si>
    <t>DAYFS</t>
  </si>
  <si>
    <t>DALMN</t>
  </si>
  <si>
    <t>ORFNF</t>
  </si>
  <si>
    <t>DTWSH</t>
  </si>
  <si>
    <t>DENGH</t>
  </si>
  <si>
    <t>NYCQJ</t>
  </si>
  <si>
    <t>Courtyard by Marriott New York Queens/Jamaica</t>
  </si>
  <si>
    <t>NYCFJ</t>
  </si>
  <si>
    <t>Fairfield by Marriott Inn &amp; Suites New York Queens/Jamaica</t>
  </si>
  <si>
    <t>PRHFI</t>
  </si>
  <si>
    <t>Fairfield Inn Port Huron</t>
  </si>
  <si>
    <t>NYCTM</t>
  </si>
  <si>
    <t>Fairfield by Marriott Inn &amp; Suites New York Manhattan/Fifth Avenue</t>
  </si>
  <si>
    <t>HPNNB</t>
  </si>
  <si>
    <t>Courtyard by Marriott Newburgh Stewart Airport</t>
  </si>
  <si>
    <t>PWMCD</t>
  </si>
  <si>
    <t>Courtyard by Marriott Portland Downtown/Waterfront</t>
  </si>
  <si>
    <t>EWRPX</t>
  </si>
  <si>
    <t>Fairfield by Marriott Inn &amp; Suites Paramus</t>
  </si>
  <si>
    <t>EWRWK</t>
  </si>
  <si>
    <t>Courtyard by Marriott North Brunswick</t>
  </si>
  <si>
    <t>PHLRO</t>
  </si>
  <si>
    <t>Fairfield by Marriott Inn &amp; Suites Philadelphia Broomall/Newtown Square</t>
  </si>
  <si>
    <t>PBIFF</t>
  </si>
  <si>
    <t>Fairfield by Marriott Inn &amp; Suites Palm Beach</t>
  </si>
  <si>
    <t>PITDF</t>
  </si>
  <si>
    <t>Fairfield by Marriott Inn &amp; Suites Pittsburgh Downtown</t>
  </si>
  <si>
    <t>TYSKW</t>
  </si>
  <si>
    <t>SpringHill Suites by Marriott Knoxville at Turkey Creek</t>
  </si>
  <si>
    <t>PHLCV</t>
  </si>
  <si>
    <t>Courtyard by Marriott Philadelphia Coatesville Exton</t>
  </si>
  <si>
    <t>EWRFS</t>
  </si>
  <si>
    <t>Fairfield by Marriott Inn &amp; Suites Newark Liberty International Airport</t>
  </si>
  <si>
    <t>CRWCY</t>
  </si>
  <si>
    <t>Courtyard by Marriott Charleston Downtown/Civic Center</t>
  </si>
  <si>
    <t>NYCTW</t>
  </si>
  <si>
    <t>Fairfield by Marriott Inn &amp; Suites New York Manhattan/Chelsea</t>
  </si>
  <si>
    <t>NYCQS</t>
  </si>
  <si>
    <t>SpringHill Suites by Marriott New York JFK Airport/Jamaica</t>
  </si>
  <si>
    <t>EWRSW</t>
  </si>
  <si>
    <t>SpringHill Suites by Marriott East Rutherford Meadowlands/Carlstadt</t>
  </si>
  <si>
    <t>EWRML</t>
  </si>
  <si>
    <t>Courtyard by Marriott Lyndhurst Meadowlands</t>
  </si>
  <si>
    <t>EWRUF</t>
  </si>
  <si>
    <t>Fairfield by Marriott Inn &amp; Suites Union</t>
  </si>
  <si>
    <t>UKTSH</t>
  </si>
  <si>
    <t>SpringHill Suites by Marriott Quakertown</t>
  </si>
  <si>
    <t>ATLDU</t>
  </si>
  <si>
    <t>Courtyard by Marriott Atlanta NE/Duluth Sugarloaf</t>
  </si>
  <si>
    <t>ATLCN</t>
  </si>
  <si>
    <t>AC Hotel Atlanta Midtown</t>
  </si>
  <si>
    <t>ATLOX</t>
  </si>
  <si>
    <t>Moxy Atlanta Midtown</t>
  </si>
  <si>
    <t>EWRED</t>
  </si>
  <si>
    <t>Courtyard by Marriott Edison Woodbridge</t>
  </si>
  <si>
    <t>PHLQC</t>
  </si>
  <si>
    <t>AC Hotel Newtown Square</t>
  </si>
  <si>
    <t>ATLKE</t>
  </si>
  <si>
    <t>Courtyard by Marriott Atlanta Kennesaw</t>
  </si>
  <si>
    <t>ILGUD</t>
  </si>
  <si>
    <t>Courtyard by Marriott Newark-University of Delaware</t>
  </si>
  <si>
    <t>MIAGB</t>
  </si>
  <si>
    <t>Courtyard by Marriott Miami Coral Gables</t>
  </si>
  <si>
    <t>PITML</t>
  </si>
  <si>
    <t>SpringHill Suites by Marriott Pittsburgh Mills</t>
  </si>
  <si>
    <t>PHLCC</t>
  </si>
  <si>
    <t>Fairfield by Marriott Inn &amp; Suites Philadelphia Downtown/Center City</t>
  </si>
  <si>
    <t>ATLYN</t>
  </si>
  <si>
    <t>Courtyard by Marriott Atlanta Dunwoody</t>
  </si>
  <si>
    <t>RDUCX</t>
  </si>
  <si>
    <t>Courtyard by Marriott Raleigh Cary Crossroads</t>
  </si>
  <si>
    <t>PBIBB</t>
  </si>
  <si>
    <t>Courtyard by Marriott Boynton Beach</t>
  </si>
  <si>
    <t>BOSAR</t>
  </si>
  <si>
    <t>AC Hotel Boston Cambridge</t>
  </si>
  <si>
    <t>NYCOT</t>
  </si>
  <si>
    <t>Moxy NYC East Village</t>
  </si>
  <si>
    <t>ATLSS</t>
  </si>
  <si>
    <t>SpringHill Suites by Marriott Atlanta Alpharetta</t>
  </si>
  <si>
    <t>PHLMM</t>
  </si>
  <si>
    <t>Courtyard by Marriott Philadelphia Montgomeryville</t>
  </si>
  <si>
    <t>PHLVO</t>
  </si>
  <si>
    <t>SpringHill Suites by Marriott Voorhees Mt. Laurel/Cherry Hill</t>
  </si>
  <si>
    <t>RDUAY</t>
  </si>
  <si>
    <t>Fairfield by Marriott Inn &amp; Suites Raleigh Cary</t>
  </si>
  <si>
    <t>ATLVG</t>
  </si>
  <si>
    <t>Courtyard by Marriott Atlanta Vinings/Galleria</t>
  </si>
  <si>
    <t>EWRMY</t>
  </si>
  <si>
    <t>Courtyard by Marriott Mahwah</t>
  </si>
  <si>
    <t>PKBCB</t>
  </si>
  <si>
    <t>Fairfield by Marriott Inn &amp; Suites Cambridge</t>
  </si>
  <si>
    <t>PITFA</t>
  </si>
  <si>
    <t>Fairfield by Marriott Inn &amp; Suites Washington Casino Area</t>
  </si>
  <si>
    <t>NYCQN</t>
  </si>
  <si>
    <t>Fairfield by Marriott Inn &amp; Suites New York Queens/Queensboro Bridge</t>
  </si>
  <si>
    <t>LYHSB</t>
  </si>
  <si>
    <t>Fairfield by Marriott Inn &amp; Suites South Boston</t>
  </si>
  <si>
    <t>EWRSD</t>
  </si>
  <si>
    <t>SpringHill Suites by Marriott Woodbridge</t>
  </si>
  <si>
    <t>MIADO</t>
  </si>
  <si>
    <t>Fairfield by Marriott Inn &amp; Suites Miami Airport West/Doral</t>
  </si>
  <si>
    <t>EWRFM</t>
  </si>
  <si>
    <t>Fairfield by Marriott Inn &amp; Suites Mahwah</t>
  </si>
  <si>
    <t>NYCFM</t>
  </si>
  <si>
    <t>Fairfield by Marriott Inn &amp; Suites New York Manhattan/Downtown East</t>
  </si>
  <si>
    <t>YYZMD</t>
  </si>
  <si>
    <t>Courtyard by Marriott Toronto Mississauga/West</t>
  </si>
  <si>
    <t>NYCMA</t>
  </si>
  <si>
    <t>AC Hotel New York Times Square</t>
  </si>
  <si>
    <t>NYCLM</t>
  </si>
  <si>
    <t>Fairfield by Marriott Inn &amp; Suites New York Manhattan/Financial District</t>
  </si>
  <si>
    <t>MIAMS</t>
  </si>
  <si>
    <t>SpringHill Suites by Marriott Miami Doral</t>
  </si>
  <si>
    <t>PBIWI</t>
  </si>
  <si>
    <t>SpringHill Suites by Marriott West Palm Beach I-95</t>
  </si>
  <si>
    <t>NYCOM</t>
  </si>
  <si>
    <t>Moxy NYC Lower East Side</t>
  </si>
  <si>
    <t>MIAPT</t>
  </si>
  <si>
    <t>Fairfield by Marriott Inn &amp; Suites Miami Airport South</t>
  </si>
  <si>
    <t>PHLGF</t>
  </si>
  <si>
    <t>Courtyard by Marriott Philadelphia Springfield</t>
  </si>
  <si>
    <t>PBICY</t>
  </si>
  <si>
    <t>Courtyard by Marriott West Palm Beach Airport</t>
  </si>
  <si>
    <t>BOSYW</t>
  </si>
  <si>
    <t>Courtyard by Marriott Boston Dedham/Westwood</t>
  </si>
  <si>
    <t>NYCJJ</t>
  </si>
  <si>
    <t>Courtyard by Marriott New York Manhattan/Midtown West</t>
  </si>
  <si>
    <t>YYZTM</t>
  </si>
  <si>
    <t>Fairfield by Marriott Inn &amp; Suites Toronto Mississauga</t>
  </si>
  <si>
    <t>EWRWN</t>
  </si>
  <si>
    <t>Courtyard by Marriott Wayne Fairfield</t>
  </si>
  <si>
    <t>BOSPY</t>
  </si>
  <si>
    <t>SpringHill Suites by Marriott Boston Peabody</t>
  </si>
  <si>
    <t>MCOAB</t>
  </si>
  <si>
    <t>AC Hotel Orlando Lake Buena Vista</t>
  </si>
  <si>
    <t>SOSCY</t>
  </si>
  <si>
    <t>Courtyard by Marriott Somerset</t>
  </si>
  <si>
    <t>EWRNB</t>
  </si>
  <si>
    <t>Fairfield by Marriott Inn &amp; Suites North Bergen</t>
  </si>
  <si>
    <t>PITAC</t>
  </si>
  <si>
    <t>AC Hotel Pittsburgh Southpointe</t>
  </si>
  <si>
    <t>SAVFH</t>
  </si>
  <si>
    <t>Fairfield by Marriott Inn &amp; Suites Hardeeville I-95 North</t>
  </si>
  <si>
    <t>PHLPT</t>
  </si>
  <si>
    <t>Courtyard by Marriott Deptford</t>
  </si>
  <si>
    <t>NYCPS</t>
  </si>
  <si>
    <t>Fairfield by Marriott Inn &amp; Suites New York Midtown Manhattan/Penn Station</t>
  </si>
  <si>
    <t>PHLSX</t>
  </si>
  <si>
    <t>SpringHill Suites by Marriott Philadelphia West Chester/Exton</t>
  </si>
  <si>
    <t>PHLAV</t>
  </si>
  <si>
    <t>Courtyard by Marriott Philadelphia City Avenue</t>
  </si>
  <si>
    <t>ATLSG</t>
  </si>
  <si>
    <t>SpringHill Suites by Marriott Atlanta Northwest</t>
  </si>
  <si>
    <t>PBIFP</t>
  </si>
  <si>
    <t>Fairfield by Marriott Inn &amp; Suites West Palm Beach</t>
  </si>
  <si>
    <t>NYCWF</t>
  </si>
  <si>
    <t>SpringHill Suites by Marriott New York Manhattan Times Square</t>
  </si>
  <si>
    <t>MIAON</t>
  </si>
  <si>
    <t>Moxy Miami Wynwood</t>
  </si>
  <si>
    <t>BOSFW</t>
  </si>
  <si>
    <t>Fairfield Inn Boston Woburn/Burlington</t>
  </si>
  <si>
    <t>MIALG</t>
  </si>
  <si>
    <t>SpringHill Suites by Marriott Miami Airport South Blue Lagoon Area</t>
  </si>
  <si>
    <t>ATLSD</t>
  </si>
  <si>
    <t>SpringHill Suites by Marriott Atlanta Downtown</t>
  </si>
  <si>
    <t>HPNTR</t>
  </si>
  <si>
    <t>SpringHill Suites by Marriott Tarrytown Westchester County</t>
  </si>
  <si>
    <t>BOSLA</t>
  </si>
  <si>
    <t>Courtyard by Marriott Boston Logan Airport</t>
  </si>
  <si>
    <t>PHLSM</t>
  </si>
  <si>
    <t>SpringHill Suites by Marriott Mt. Laurel Cherry Hill</t>
  </si>
  <si>
    <t>ILGSS</t>
  </si>
  <si>
    <t>SpringHill Suites by Marriott Newark Downtown</t>
  </si>
  <si>
    <t>MIAHS</t>
  </si>
  <si>
    <t>Courtyard by Marriott Miami Homestead</t>
  </si>
  <si>
    <t>UOXBV</t>
  </si>
  <si>
    <t>Fairfield by Marriott Inn &amp; Suites Batesville</t>
  </si>
  <si>
    <t>MSNSH</t>
  </si>
  <si>
    <t>SpringHill Suites by Marriott Wisconsin Dells</t>
  </si>
  <si>
    <t>MSPCD</t>
  </si>
  <si>
    <t>Courtyard by Marriott St. Paul Downtown</t>
  </si>
  <si>
    <t>SUXCY</t>
  </si>
  <si>
    <t>Courtyard by Marriott Sioux City Downtown/Convention Center</t>
  </si>
  <si>
    <t>MSPAP</t>
  </si>
  <si>
    <t>Fairfield by Marriott Inn &amp; Suites Minneapolis-St. Paul Airport</t>
  </si>
  <si>
    <t>TUPFI</t>
  </si>
  <si>
    <t>Fairfield by Marriott Inn &amp; Suites Tupelo</t>
  </si>
  <si>
    <t>MSPBL</t>
  </si>
  <si>
    <t>Fairfield by Marriott Inn &amp; Suites Minneapolis Bloomington/Mall of America</t>
  </si>
  <si>
    <t>MSNWD</t>
  </si>
  <si>
    <t>Fairfield by Marriott Inn &amp; Suites Wisconsin Dells</t>
  </si>
  <si>
    <t>PHLGB</t>
  </si>
  <si>
    <t>Courtyard by Marriott Glassboro Rowan University</t>
  </si>
  <si>
    <t>TRXFI</t>
  </si>
  <si>
    <t>Fairfield by Marriott Inn &amp; Suites Chillicothe</t>
  </si>
  <si>
    <t>TULCR</t>
  </si>
  <si>
    <t>Fairfield by Marriott Inn &amp; Suites Tulsa South Medical District</t>
  </si>
  <si>
    <t>HOUFR</t>
  </si>
  <si>
    <t>Fairfield by Marriott Inn &amp; Suites Houston Richmond</t>
  </si>
  <si>
    <t>SATSW</t>
  </si>
  <si>
    <t>Fairfield by Marriott Inn &amp; Suites San Antonio SeaWorld®/Westover Hills</t>
  </si>
  <si>
    <t>DALFK</t>
  </si>
  <si>
    <t>Fairfield by Marriott Inn &amp; Suites Dallas McKinney</t>
  </si>
  <si>
    <t>MWAFI</t>
  </si>
  <si>
    <t>Fairfield by Marriott Inn &amp; Suites Marion</t>
  </si>
  <si>
    <t>VCTCY</t>
  </si>
  <si>
    <t>Courtyard by Marriott Victoria</t>
  </si>
  <si>
    <t>SPISH</t>
  </si>
  <si>
    <t>SpringHill Suites by Marriott Springfield Southwest</t>
  </si>
  <si>
    <t>HOUYP</t>
  </si>
  <si>
    <t>Courtyard by Marriott Houston Northwest/Cypress</t>
  </si>
  <si>
    <t>OKCDC</t>
  </si>
  <si>
    <t>SpringHill Suites by Marriott Oklahoma City Midwest City/Del City</t>
  </si>
  <si>
    <t>MCISO</t>
  </si>
  <si>
    <t>SpringHill Suites by Marriott Overland Park Leawood</t>
  </si>
  <si>
    <t>DALMC</t>
  </si>
  <si>
    <t>Fairfield by Marriott Inn &amp; Suites Dallas Medical/Market Center</t>
  </si>
  <si>
    <t>DALXC</t>
  </si>
  <si>
    <t>Courtyard by Marriott Dallas Plano/Richardson</t>
  </si>
  <si>
    <t>HOUHK</t>
  </si>
  <si>
    <t>Fairfield by Marriott Inn &amp; Suites Houston Katy</t>
  </si>
  <si>
    <t>TULWE</t>
  </si>
  <si>
    <t>SpringHill Suites by Marriott Tulsa at Tulsa Hills</t>
  </si>
  <si>
    <t>HOUBS</t>
  </si>
  <si>
    <t>Courtyard by Marriott Houston Rice University</t>
  </si>
  <si>
    <t>MCISM</t>
  </si>
  <si>
    <t>Courtyard by Marriott Kansas City Shawnee</t>
  </si>
  <si>
    <t>DALFE</t>
  </si>
  <si>
    <t>Fairfield by Marriott Inn &amp; Suites Dallas East</t>
  </si>
  <si>
    <t>DFWSU</t>
  </si>
  <si>
    <t>SpringHill Suites by Marriott Dallas DFW Airport South/CentrePort</t>
  </si>
  <si>
    <t>HOUCO</t>
  </si>
  <si>
    <t>Courtyard by Marriott Houston Northeast</t>
  </si>
  <si>
    <t>MCILS</t>
  </si>
  <si>
    <t>Fairfield by Marriott Inn &amp; Suites Kansas City Lee's Summit</t>
  </si>
  <si>
    <t>DALNW</t>
  </si>
  <si>
    <t>Courtyard by Marriott Dallas Northwest</t>
  </si>
  <si>
    <t>DALRW</t>
  </si>
  <si>
    <t>SpringHill Suites by Marriott Dallas Rockwall</t>
  </si>
  <si>
    <t>DALIV</t>
  </si>
  <si>
    <t>Courtyard by Marriott Dallas DFW Airport South/Irving</t>
  </si>
  <si>
    <t>DALPH</t>
  </si>
  <si>
    <t>SpringHill Suites by Marriott Dallas Richardson/University Area</t>
  </si>
  <si>
    <t>TULFC</t>
  </si>
  <si>
    <t>Fairfield by Marriott Inn &amp; Suites Tulsa Central</t>
  </si>
  <si>
    <t>DALFD</t>
  </si>
  <si>
    <t>Fairfield by Marriott Inn &amp; Suites Dallas Love Field</t>
  </si>
  <si>
    <t>MCISS</t>
  </si>
  <si>
    <t>SpringHill Suites by Marriott Kansas City Overland Park</t>
  </si>
  <si>
    <t>HOUCN</t>
  </si>
  <si>
    <t>Courtyard by Marriott Houston NW/290 Corridor</t>
  </si>
  <si>
    <t>HOUTW</t>
  </si>
  <si>
    <t>Fairfield by Marriott Inn &amp; Suites Houston The Woodlands</t>
  </si>
  <si>
    <t>DALAN</t>
  </si>
  <si>
    <t>Courtyard by Marriott Dallas Allen at the Event Center</t>
  </si>
  <si>
    <t>SATCW</t>
  </si>
  <si>
    <t>Courtyard by Marriott San Antonio SeaWorld®/Westover Hills</t>
  </si>
  <si>
    <t>DFWAC</t>
  </si>
  <si>
    <t>AC Hotel Fort Worth Downtown</t>
  </si>
  <si>
    <t>HOUFM</t>
  </si>
  <si>
    <t>Fairfield by Marriott Inn &amp; Suites Houston Missouri City</t>
  </si>
  <si>
    <t>HOUFE</t>
  </si>
  <si>
    <t>Fairfield by Marriott Inn &amp; Suites Houston Memorial City Area</t>
  </si>
  <si>
    <t>DFWSH</t>
  </si>
  <si>
    <t>SpringHill Suites by Marriott Dallas Arlington North</t>
  </si>
  <si>
    <t>DALMO</t>
  </si>
  <si>
    <t>Courtyard by Marriott Dallas Flower Mound</t>
  </si>
  <si>
    <t>DFWCY</t>
  </si>
  <si>
    <t>Courtyard by Marriott Dallas DFW Airport North/Irving</t>
  </si>
  <si>
    <t>IAHFW</t>
  </si>
  <si>
    <t>Fairfield by Marriott Inn &amp; Suites Waller</t>
  </si>
  <si>
    <t>PNCSH</t>
  </si>
  <si>
    <t>SpringHill Suites by Marriott Stillwater</t>
  </si>
  <si>
    <t>DFWNO</t>
  </si>
  <si>
    <t>Fairfield by Marriott Inn &amp; Suites Fort Worth Alliance Airport</t>
  </si>
  <si>
    <t>WCOSW</t>
  </si>
  <si>
    <t>SpringHill Suites by Marriott Waco</t>
  </si>
  <si>
    <t>DALDF</t>
  </si>
  <si>
    <t>Courtyard by Marriott Dallas Frisco</t>
  </si>
  <si>
    <t>DALFN</t>
  </si>
  <si>
    <t>Fairfield by Marriott Inn &amp; Suites Dallas Plano North</t>
  </si>
  <si>
    <t>STLXC</t>
  </si>
  <si>
    <t>Courtyard by Marriott St Louis Chesterfield</t>
  </si>
  <si>
    <t>HOURP</t>
  </si>
  <si>
    <t>SpringHill Suites by Marriott Houston Medical Center/NRG Park</t>
  </si>
  <si>
    <t>DALSS</t>
  </si>
  <si>
    <t>SpringHill Suites by Marriott Dallas NW Highway at Stemmons/I-35E</t>
  </si>
  <si>
    <t>DALEF</t>
  </si>
  <si>
    <t>Fairfield by Marriott Inn &amp; Suites DeSoto Dallas South</t>
  </si>
  <si>
    <t>STLFD</t>
  </si>
  <si>
    <t>Fairfield by Marriott Inn &amp; Suites St. Louis Downtown</t>
  </si>
  <si>
    <t>HOUCR</t>
  </si>
  <si>
    <t>Fairfield by Marriott Inn &amp; Suites Houston Conroe Near The Woodlands®</t>
  </si>
  <si>
    <t>DALSF</t>
  </si>
  <si>
    <t>SpringHill Suites by Marriott Dallas Mansfield</t>
  </si>
  <si>
    <t>DALWE</t>
  </si>
  <si>
    <t>SpringHill Suites by Marriott Dallas Downtown/West End</t>
  </si>
  <si>
    <t>HOUCF</t>
  </si>
  <si>
    <t>Courtyard by Marriott Houston Sugar Land/Lake Pointe</t>
  </si>
  <si>
    <t>MCIUN</t>
  </si>
  <si>
    <t>Fairfield Inn Kansas City Downtown/Union Hill</t>
  </si>
  <si>
    <t>CRPRP</t>
  </si>
  <si>
    <t>Fairfield by Marriott Inn &amp; Suites Rockport</t>
  </si>
  <si>
    <t>HOUOX</t>
  </si>
  <si>
    <t>Moxy Houston Downtown</t>
  </si>
  <si>
    <t>SATDW</t>
  </si>
  <si>
    <t>Fairfield by Marriott Inn &amp; Suites San Antonio Alamo Plaza/Convention Center</t>
  </si>
  <si>
    <t>SATDS</t>
  </si>
  <si>
    <t>SpringHill Suites by Marriott San Antonio Alamo Plaza/Convention Center</t>
  </si>
  <si>
    <t>HOURB</t>
  </si>
  <si>
    <t>SpringHill Suites by Marriott Houston Rosenberg</t>
  </si>
  <si>
    <t>DALCG</t>
  </si>
  <si>
    <t>Courtyard by Marriott Dallas Grand Prairie</t>
  </si>
  <si>
    <t>DFWMS</t>
  </si>
  <si>
    <t>Courtyard by Marriott Fort Worth Downtown/Blackstone</t>
  </si>
  <si>
    <t>HOUSS</t>
  </si>
  <si>
    <t>SpringHill Suites by Marriott Houston Sugar Land</t>
  </si>
  <si>
    <t>DALCH</t>
  </si>
  <si>
    <t>Courtyard by Marriott Dallas Medical/Market Center</t>
  </si>
  <si>
    <t>DALGV</t>
  </si>
  <si>
    <t>SpringHill Suites by Marriott Dallas DFW Airport North/Grapevine</t>
  </si>
  <si>
    <t>HOUMD</t>
  </si>
  <si>
    <t>Courtyard by Marriott Houston Medical Center/NRG Park</t>
  </si>
  <si>
    <t>MCIMT</t>
  </si>
  <si>
    <t>SpringHill Suites by Marriott Kansas City Plaza</t>
  </si>
  <si>
    <t>DALTE</t>
  </si>
  <si>
    <t>Fairfield by Marriott Inn &amp; Suites Terrell</t>
  </si>
  <si>
    <t>MTOEF</t>
  </si>
  <si>
    <t>Fairfield by Marriott Inn &amp; Suites Effingham</t>
  </si>
  <si>
    <t>MCICO</t>
  </si>
  <si>
    <t>Courtyard by Marriott Kansas City Olathe</t>
  </si>
  <si>
    <t>WCTNW</t>
  </si>
  <si>
    <t>Fairfield by Marriott Inn &amp; Suites Wichita Falls Northwest</t>
  </si>
  <si>
    <t>DALFC</t>
  </si>
  <si>
    <t>Fairfield by Marriott Inn &amp; Suites Dallas DFW Airport North/Coppell Grapevine</t>
  </si>
  <si>
    <t>MCISN</t>
  </si>
  <si>
    <t>SpringHill Suites by Marriott Kansas City Northeast</t>
  </si>
  <si>
    <t>DFWOS</t>
  </si>
  <si>
    <t>SpringHill Suites by Marriott Fort Worth Fossil Creek</t>
  </si>
  <si>
    <t>HOUSH</t>
  </si>
  <si>
    <t>SpringHill Suites by Marriott Houston Brookhollow</t>
  </si>
  <si>
    <t>MCIXA</t>
  </si>
  <si>
    <t>SpringHill Suites by Marriott Kansas City Lenexa/City Center</t>
  </si>
  <si>
    <t>DALSX</t>
  </si>
  <si>
    <t>SpringHill Suites by Marriott Dallas Central Expressway</t>
  </si>
  <si>
    <t>DFWFI</t>
  </si>
  <si>
    <t>Fairfield by Marriott Inn &amp; Suites Fort Worth Southwest at Cityview</t>
  </si>
  <si>
    <t>DFWFD</t>
  </si>
  <si>
    <t>Fairfield by Marriott Inn &amp; Suites Fort Worth Downtown/Convention Center</t>
  </si>
  <si>
    <t>MCIKW</t>
  </si>
  <si>
    <t>Fairfield by Marriott Inn &amp; Suites Kansas City Shawnee</t>
  </si>
  <si>
    <t>DFWBU</t>
  </si>
  <si>
    <t>Fairfield by Marriott Inn &amp; Suites Fort Worth South/Burleson</t>
  </si>
  <si>
    <t>MCINR</t>
  </si>
  <si>
    <t>SpringHill Suites by Marriott Kansas City Airport</t>
  </si>
  <si>
    <t>DFWSD</t>
  </si>
  <si>
    <t>SpringHill Suites by Marriott Denton</t>
  </si>
  <si>
    <t>DFWDE</t>
  </si>
  <si>
    <t>Courtyard by Marriott Denton</t>
  </si>
  <si>
    <t>HOUSE</t>
  </si>
  <si>
    <t>SpringHill Suites by Marriott Houston NASA/Seabrook</t>
  </si>
  <si>
    <t>HOUNA</t>
  </si>
  <si>
    <t>Fairfield by Marriott Inn &amp; Suites Houston NASA/Webster</t>
  </si>
  <si>
    <t>DFWFR</t>
  </si>
  <si>
    <t>Fairfield by Marriott Inn &amp; Suites Fort Worth Northeast</t>
  </si>
  <si>
    <t>PNCFI</t>
  </si>
  <si>
    <t>Fairfield by Marriott Inn &amp; Suites Ponca City</t>
  </si>
  <si>
    <t>MCIFE</t>
  </si>
  <si>
    <t>Fairfield by Marriott Inn &amp; Suites Kansas City Belton</t>
  </si>
  <si>
    <t>DFWFN</t>
  </si>
  <si>
    <t>Fairfield by Marriott Inn &amp; Suites Dallas DFW Airport North/ Irving</t>
  </si>
  <si>
    <t>HOUFX</t>
  </si>
  <si>
    <t>Fairfield by Marriott Inn &amp; Suites Houston Northwest/Willowbrook</t>
  </si>
  <si>
    <t>LGVCY</t>
  </si>
  <si>
    <t>Courtyard by Marriott Longview North</t>
  </si>
  <si>
    <t>MCIFL</t>
  </si>
  <si>
    <t>Fairfield by Marriott Inn &amp; Suites Kansas City at The Legends</t>
  </si>
  <si>
    <t>DALFA</t>
  </si>
  <si>
    <t>Fairfield by Marriott Inn &amp; Suites Dallas Arlington South</t>
  </si>
  <si>
    <t>ELPFI</t>
  </si>
  <si>
    <t>Fairfield by Marriott Inn &amp; Suites El Paso</t>
  </si>
  <si>
    <t>YYCAD</t>
  </si>
  <si>
    <t>Fairfield by Marriott Inn &amp; Suites Airdrie</t>
  </si>
  <si>
    <t>LRUCY</t>
  </si>
  <si>
    <t>Courtyard by Marriott Las Cruces at NMSU</t>
  </si>
  <si>
    <t>SAFCY</t>
  </si>
  <si>
    <t>Courtyard by Marriott Santa Fe</t>
  </si>
  <si>
    <t>ABQFN</t>
  </si>
  <si>
    <t>Fairfield by Marriott Inn &amp; Suites Albuquerque North</t>
  </si>
  <si>
    <t>SLCJO</t>
  </si>
  <si>
    <t>SpringHill Suites by Marriott Salt Lake City-South Jordan</t>
  </si>
  <si>
    <t>TUSAD</t>
  </si>
  <si>
    <t>AC Hotel Tucson Downtown</t>
  </si>
  <si>
    <t>ALSFI</t>
  </si>
  <si>
    <t>Fairfield by Marriott Inn &amp; Suites Alamosa</t>
  </si>
  <si>
    <t>VBOFI</t>
  </si>
  <si>
    <t>Fairfield by Marriott Inn &amp; Suites Boulder Longmont</t>
  </si>
  <si>
    <t>PUBCY</t>
  </si>
  <si>
    <t>Courtyard by Marriott Pueblo Downtown</t>
  </si>
  <si>
    <t>COSCS</t>
  </si>
  <si>
    <t>Courtyard by Marriott Colorado Springs South</t>
  </si>
  <si>
    <t>RWLFI</t>
  </si>
  <si>
    <t>Fairfield by Marriott Inn &amp; Suites Rawlins</t>
  </si>
  <si>
    <t>PHXAS</t>
  </si>
  <si>
    <t>Fairfield by Marriott Inn &amp; Suites Phoenix Midtown</t>
  </si>
  <si>
    <t>ABQFA</t>
  </si>
  <si>
    <t>Fairfield by Marriott Inn &amp; Suites Albuquerque Airport</t>
  </si>
  <si>
    <t>PRCSH</t>
  </si>
  <si>
    <t>SpringHill Suites by Marriott Prescott</t>
  </si>
  <si>
    <t>DROFI</t>
  </si>
  <si>
    <t>Fairfield by Marriott Inn &amp; Suites Durango</t>
  </si>
  <si>
    <t>LAXCW</t>
  </si>
  <si>
    <t>Courtyard by Marriott Los Angeles Woodland Hills</t>
  </si>
  <si>
    <t>SEADA</t>
  </si>
  <si>
    <t>AC Hotel Seattle Downtown</t>
  </si>
  <si>
    <t>SEAXS</t>
  </si>
  <si>
    <t>SpringHill Suites by Marriott Seattle Issaquah</t>
  </si>
  <si>
    <t>FATHF</t>
  </si>
  <si>
    <t>Fairfield by Marriott Inn &amp; Suites Hanford</t>
  </si>
  <si>
    <t>SNAAD</t>
  </si>
  <si>
    <t>SpringHill Suites by Marriott at Anaheim Resort/Convention Center</t>
  </si>
  <si>
    <t>LGBCL</t>
  </si>
  <si>
    <t>Courtyard by Marriott Long Beach Airport</t>
  </si>
  <si>
    <t>SEADT</t>
  </si>
  <si>
    <t>SpringHill Suites by Marriott Seattle Downtown/South Lake Union</t>
  </si>
  <si>
    <t>SEAOX</t>
  </si>
  <si>
    <t>Moxy Seattle Downtown</t>
  </si>
  <si>
    <t>SFOFA</t>
  </si>
  <si>
    <t>Fairfield by Marriott Inn &amp; Suites San Francisco Airport Oyster Point Area</t>
  </si>
  <si>
    <t>PDXAC</t>
  </si>
  <si>
    <t>AC Hotel Vancouver Waterfront</t>
  </si>
  <si>
    <t>LAXSD</t>
  </si>
  <si>
    <t>SpringHill Suites by Marriott Los Angeles Downey</t>
  </si>
  <si>
    <t>BURPA</t>
  </si>
  <si>
    <t>AC Hotel Pasadena</t>
  </si>
  <si>
    <t>LASHD</t>
  </si>
  <si>
    <t>SpringHill Suites by Marriott Las Vegas Henderson</t>
  </si>
  <si>
    <t>ONTFC</t>
  </si>
  <si>
    <t>Fairfield by Marriott Inn &amp; Suites Chino</t>
  </si>
  <si>
    <t>SEATC</t>
  </si>
  <si>
    <t>Courtyard by Marriott Seattle Kirkland</t>
  </si>
  <si>
    <t>LAXXL</t>
  </si>
  <si>
    <t>Fairfield by Marriott Inn &amp; Suites Los Angeles LAX/El Segundo</t>
  </si>
  <si>
    <t>MFRAP</t>
  </si>
  <si>
    <t>SpringHill Suites by Marriott Medford Airport</t>
  </si>
  <si>
    <t>SEAAR</t>
  </si>
  <si>
    <t>AC Hotel Seattle Bellevue/Downtown</t>
  </si>
  <si>
    <t>SEAWV</t>
  </si>
  <si>
    <t>Courtyard by Marriott Seattle Sea-Tac Area</t>
  </si>
  <si>
    <t>SJCCR</t>
  </si>
  <si>
    <t>Fairfield by Marriott Inn &amp; Suites Santa Cruz</t>
  </si>
  <si>
    <t>SNAFA</t>
  </si>
  <si>
    <t>Fairfield by Marriott Inn &amp; Suites Anaheim Los Alamitos</t>
  </si>
  <si>
    <t>LGBCP</t>
  </si>
  <si>
    <t>Courtyard by Marriott Cypress Anaheim/Orange County</t>
  </si>
  <si>
    <t>RALFM</t>
  </si>
  <si>
    <t>Fairfield by Marriott Inn &amp; Suites Riverside Moreno Valley</t>
  </si>
  <si>
    <t>OAKPS</t>
  </si>
  <si>
    <t>SpringHill Suites by Marriott Pleasanton</t>
  </si>
  <si>
    <t>SEATA</t>
  </si>
  <si>
    <t>Fairfield by Marriott Inn &amp; Suites Seattle Sea-Tac Airport</t>
  </si>
  <si>
    <t>SEAEV</t>
  </si>
  <si>
    <t>Courtyard by Marriott Seattle Everett Downtown</t>
  </si>
  <si>
    <t>FATMD</t>
  </si>
  <si>
    <t>SpringHill Suites by Marriott Madera</t>
  </si>
  <si>
    <t>SEANG</t>
  </si>
  <si>
    <t>Courtyard by Marriott Seattle Northgate</t>
  </si>
  <si>
    <t>SNAAP</t>
  </si>
  <si>
    <t>SpringHill Suites by Marriott Irvine John Wayne Airport/Orange County</t>
  </si>
  <si>
    <t>SEAFQ</t>
  </si>
  <si>
    <t>Fairfield Inn Issaquah</t>
  </si>
  <si>
    <t>LASVN</t>
  </si>
  <si>
    <t>SpringHill Suites by Marriott Las Vegas North Speedway</t>
  </si>
  <si>
    <t>SFOBC</t>
  </si>
  <si>
    <t>Courtyard by Marriott San Francisco Airport Burlingame</t>
  </si>
  <si>
    <t>SNAVO</t>
  </si>
  <si>
    <t>Fairfield Inn Mission Viejo Orange County</t>
  </si>
  <si>
    <t>OAKSP</t>
  </si>
  <si>
    <t>SpringHill Suites by Marriott Oakland Airport</t>
  </si>
  <si>
    <t>SEALN</t>
  </si>
  <si>
    <t>Courtyard by Marriott Seattle North/Lynnwood Everett</t>
  </si>
  <si>
    <t>BURCY</t>
  </si>
  <si>
    <t>Courtyard by Marriott Los Angeles Burbank Airport</t>
  </si>
  <si>
    <t>SEAAA</t>
  </si>
  <si>
    <t>Skybridge Seattle Airport Hotel</t>
  </si>
  <si>
    <t>MFRSH</t>
  </si>
  <si>
    <t>SpringHill Suites by Marriott Medford</t>
  </si>
  <si>
    <t>YLWFE</t>
  </si>
  <si>
    <t>Fairfield by Marriott Inn &amp; Suites Penticton</t>
  </si>
  <si>
    <t>PDXVS</t>
  </si>
  <si>
    <t>SpringHill Suites by Marriott Portland Vancouver</t>
  </si>
  <si>
    <t>LAXCV</t>
  </si>
  <si>
    <t>Courtyard by Marriott Culver City Los Angeles</t>
  </si>
  <si>
    <t>PDXOX</t>
  </si>
  <si>
    <t>Moxy Portland Downtown</t>
  </si>
  <si>
    <t>LAXFR</t>
  </si>
  <si>
    <t>Fairfield by Marriott Inn &amp; Suites Los Angeles Rosemead</t>
  </si>
  <si>
    <t>SNAOG</t>
  </si>
  <si>
    <t>Courtyard by Marriott Santa Ana Orange County</t>
  </si>
  <si>
    <t>SEAFC</t>
  </si>
  <si>
    <t>Fairfield by Marriott Inn &amp; Suites Seattle Downtown/Seattle Center</t>
  </si>
  <si>
    <t>SACWN</t>
  </si>
  <si>
    <t>Fairfield by Marriott Inn &amp; Suites Sacramento Airport Natomas</t>
  </si>
  <si>
    <t>SFOLV</t>
  </si>
  <si>
    <t>Fairfield by Marriott Inn &amp; Suites Livermore</t>
  </si>
  <si>
    <t>SNASF</t>
  </si>
  <si>
    <t>SpringHill Suites by Marriott Irvine Lake Forest</t>
  </si>
  <si>
    <t>SEAFO</t>
  </si>
  <si>
    <t>Fairfield by Marriott Inn &amp; Suites Seattle Poulsbo</t>
  </si>
  <si>
    <t>LASSA</t>
  </si>
  <si>
    <t>SpringHill Suites by Marriott Las Vegas Airport</t>
  </si>
  <si>
    <t>RNODT</t>
  </si>
  <si>
    <t>Courtyard by Marriott Reno Downtown/Riverfront</t>
  </si>
  <si>
    <t>ABICY</t>
  </si>
  <si>
    <t>Courtyard By Marriott Abilene Southwest/Abilene Mall South</t>
  </si>
  <si>
    <t>ABQNJ</t>
  </si>
  <si>
    <t>SpringHill Suites By Marriott Albuquerque North/Journal Center</t>
  </si>
  <si>
    <t>AMACY</t>
  </si>
  <si>
    <t>Courtyard By Marriott Amarillo West/Medical Center</t>
  </si>
  <si>
    <t>AMAFI</t>
  </si>
  <si>
    <t>Fairfield Inn &amp; Suites Amarillo West/Medical Center</t>
  </si>
  <si>
    <t>AUSAT</t>
  </si>
  <si>
    <t>AC Hotel Austin Hill Country</t>
  </si>
  <si>
    <t>AUSFI</t>
  </si>
  <si>
    <t>Fairfield Inn &amp; Suites Austin-University Area</t>
  </si>
  <si>
    <t>BMICY</t>
  </si>
  <si>
    <t>Courtyard By Marriott Bloomington Normal</t>
  </si>
  <si>
    <t>CNYFI</t>
  </si>
  <si>
    <t>Fairfield Inn &amp; Suites Moab</t>
  </si>
  <si>
    <t>CNYMS</t>
  </si>
  <si>
    <t>SpringHill Suites By Marriott Moab</t>
  </si>
  <si>
    <t>GJTFI</t>
  </si>
  <si>
    <t>Fairfield Inn &amp; Suites Grand Junction Downtown/Historic Main Street</t>
  </si>
  <si>
    <t>GJTSH</t>
  </si>
  <si>
    <t>SpringHill Suites By Marriott Grand Junction Downtown/Historic Main Street</t>
  </si>
  <si>
    <t>MLUCY</t>
  </si>
  <si>
    <t>Courtyard By Marriott Monroe Airport</t>
  </si>
  <si>
    <t>OLMRO</t>
  </si>
  <si>
    <t>Fairfield Inn &amp; Suites Grand Mound Centralia</t>
  </si>
  <si>
    <t>ONTRT</t>
  </si>
  <si>
    <t>Fairfield Inn &amp; Suites Temecula</t>
  </si>
  <si>
    <t>ONTST</t>
  </si>
  <si>
    <t>SpringHill Suites By Marriott Temecula Valley Wine Country</t>
  </si>
  <si>
    <t>PDXCA</t>
  </si>
  <si>
    <t>Courtyard By Marriott Portland Airport</t>
  </si>
  <si>
    <t>PDXFI</t>
  </si>
  <si>
    <t>Fairfield Inn &amp; Suites Portland Airport</t>
  </si>
  <si>
    <t>RDMFI</t>
  </si>
  <si>
    <t>Fairfield Inn &amp; Suites Bend Downtown</t>
  </si>
  <si>
    <t>SATCY</t>
  </si>
  <si>
    <t>Courtyard By Marriott San Antonio Airport/North Star Mall</t>
  </si>
  <si>
    <t>SATFA</t>
  </si>
  <si>
    <t>Fairfield Inn &amp; Suites San Antonio Airport/North Star Mall</t>
  </si>
  <si>
    <t>STSUK</t>
  </si>
  <si>
    <t>Fairfield Inn &amp; Suites Ukiah Mendocino County</t>
  </si>
  <si>
    <t>WMCFI</t>
  </si>
  <si>
    <t>Fairfield Inn &amp; Suites Winnemucca</t>
  </si>
  <si>
    <t>ALOCY</t>
  </si>
  <si>
    <t>Courtyard By Marriott Waterloo Cedar Falls</t>
  </si>
  <si>
    <t>BDLWL</t>
  </si>
  <si>
    <t>SpringHill Suites By Marriott Hartford Airport/Windsor Locks</t>
  </si>
  <si>
    <t>BOSBR</t>
  </si>
  <si>
    <t>Courtyard By Marriott Boston Westborough</t>
  </si>
  <si>
    <t>BTLFI</t>
  </si>
  <si>
    <t>Fairfield Inn By Marriott Battle Creek</t>
  </si>
  <si>
    <t>BTVAC</t>
  </si>
  <si>
    <t>AC Hotel Burlington</t>
  </si>
  <si>
    <t>BTVWB</t>
  </si>
  <si>
    <t>Fairfield Inn &amp; Suites Waterbury Stowe</t>
  </si>
  <si>
    <t>BUFCY</t>
  </si>
  <si>
    <t>Courtyard By Marriott Buffalo Amherst/University</t>
  </si>
  <si>
    <t>BWIAB</t>
  </si>
  <si>
    <t>SpringHill Suites By Marriott Edgewood Aberdeen</t>
  </si>
  <si>
    <t>BWIDT</t>
  </si>
  <si>
    <t>Courtyard By Marriott Baltimore Downtown/Inner Harbor</t>
  </si>
  <si>
    <t>CAEFS</t>
  </si>
  <si>
    <t>Fairfield Inn &amp; Suites Columbia Northeast</t>
  </si>
  <si>
    <t>CAEMT</t>
  </si>
  <si>
    <t>SpringHill Suites By Marriott Sumter</t>
  </si>
  <si>
    <t>CAKDT</t>
  </si>
  <si>
    <t>Courtyard By Marriott Akron Downtown</t>
  </si>
  <si>
    <t>CAKFC</t>
  </si>
  <si>
    <t>Fairfield Inn &amp; Suites Canton South</t>
  </si>
  <si>
    <t>CHADL</t>
  </si>
  <si>
    <t>Courtyard By Marriott Dalton</t>
  </si>
  <si>
    <t>CHASE</t>
  </si>
  <si>
    <t>Fairfield Inn &amp; Suites Chattanooga South/East Ridge</t>
  </si>
  <si>
    <t>CHATF</t>
  </si>
  <si>
    <t>Fairfield Inn &amp; Suites Chattanooga I-24/Lookout Mountain</t>
  </si>
  <si>
    <t>CHODT</t>
  </si>
  <si>
    <t>Courtyard By Marriott Charlottesville - University Medical Center</t>
  </si>
  <si>
    <t>CHSCO</t>
  </si>
  <si>
    <t>Courtyard By Marriott Charleston-North Charleston</t>
  </si>
  <si>
    <t>CHSFD</t>
  </si>
  <si>
    <t>Fairfield by Marriott Inn &amp; Suites Charleston Downtown</t>
  </si>
  <si>
    <t>CHSMT</t>
  </si>
  <si>
    <t>SpringHill Suites By Marriott Charleston Mount Pleasant</t>
  </si>
  <si>
    <t>CLEAV</t>
  </si>
  <si>
    <t>Fairfield Inn &amp; Suites Cleveland Avon</t>
  </si>
  <si>
    <t>CLEIP</t>
  </si>
  <si>
    <t>SpringHill Suites By Marriott Cleveland Independence</t>
  </si>
  <si>
    <t>CLTBL</t>
  </si>
  <si>
    <t>Courtyard By Marriott Charlotte Ballantyne Area</t>
  </si>
  <si>
    <t>CLTGS</t>
  </si>
  <si>
    <t>Fairfield Inn By Marriott Charlotte Gastonia</t>
  </si>
  <si>
    <t>CLTSO</t>
  </si>
  <si>
    <t>SpringHill Suites By Marriott Charlotte Southwest</t>
  </si>
  <si>
    <t>CMHCY</t>
  </si>
  <si>
    <t>Courtyard By Marriott Columbus Downtown</t>
  </si>
  <si>
    <t>CMHDF</t>
  </si>
  <si>
    <t>Fairfield Inn &amp; Suites Columbus Dublin</t>
  </si>
  <si>
    <t>CMHRY</t>
  </si>
  <si>
    <t>Fairfield Inn &amp; Suites Columbus East</t>
  </si>
  <si>
    <t>CMHWG</t>
  </si>
  <si>
    <t>Courtyard By Marriott Columbus OSU</t>
  </si>
  <si>
    <t>CMHWS</t>
  </si>
  <si>
    <t>SpringHill Suites By Marriott Columbus West</t>
  </si>
  <si>
    <t>CSGCH</t>
  </si>
  <si>
    <t>Courtyard By Marriott Columbus</t>
  </si>
  <si>
    <t>CSGFI</t>
  </si>
  <si>
    <t>Fairfield Inn &amp; Suites Columbus</t>
  </si>
  <si>
    <t>CSGLG</t>
  </si>
  <si>
    <t>Courtyard By Marriott LaGrange</t>
  </si>
  <si>
    <t>CVGCI</t>
  </si>
  <si>
    <t>AC Hotel Cincinnati at Liberty Center</t>
  </si>
  <si>
    <t>CVGFL</t>
  </si>
  <si>
    <t>Courtyard By Marriott Cincinnati Airport South/Florence</t>
  </si>
  <si>
    <t>CVGFP</t>
  </si>
  <si>
    <t>SpringHill Suites By Marriott Cincinnati North/Forest Park</t>
  </si>
  <si>
    <t>CVGOF</t>
  </si>
  <si>
    <t>Fairfield by Marriott Inn &amp; Suites Oxford</t>
  </si>
  <si>
    <t>CVGSF</t>
  </si>
  <si>
    <t>SpringHill Suites By Marriott Cincinnati Airport South</t>
  </si>
  <si>
    <t>DAYCL</t>
  </si>
  <si>
    <t>Courtyard By Marriott Lima</t>
  </si>
  <si>
    <t>DAYCN</t>
  </si>
  <si>
    <t>Courtyard By Marriott Dayton North</t>
  </si>
  <si>
    <t>DTWAS</t>
  </si>
  <si>
    <t>SpringHill Suites By Marriott Detroit Metro Airport Romulus</t>
  </si>
  <si>
    <t>DTWSS</t>
  </si>
  <si>
    <t>SpringHill Suites By Marriott Detroit Sterling Heights</t>
  </si>
  <si>
    <t>ERIFI</t>
  </si>
  <si>
    <t>Fairfield Inn By Marriott Erie Millcreek Mall</t>
  </si>
  <si>
    <t>ESNFI</t>
  </si>
  <si>
    <t>Fairfield Inn &amp; Suites Easton</t>
  </si>
  <si>
    <t>EWNSH</t>
  </si>
  <si>
    <t>SpringHill Suites By Marriott New Bern</t>
  </si>
  <si>
    <t>EWRFB</t>
  </si>
  <si>
    <t>Fairfield Inn &amp; Suites Bridgewater Branchburg/Somerville</t>
  </si>
  <si>
    <t>FAYSH</t>
  </si>
  <si>
    <t>SpringHill Suites By Marriott Pinehurst Southern Pines</t>
  </si>
  <si>
    <t>FKBFI</t>
  </si>
  <si>
    <t>Fairfield Inn &amp; Suites Fredericksburg</t>
  </si>
  <si>
    <t>GONSH</t>
  </si>
  <si>
    <t>SpringHill Suites By Marriott Mystic Waterford</t>
  </si>
  <si>
    <t>GRRCY</t>
  </si>
  <si>
    <t>Courtyard By Marriott Grand Rapids Airport</t>
  </si>
  <si>
    <t>GRRDT</t>
  </si>
  <si>
    <t>Courtyard By Marriott Grand Rapids Downtown</t>
  </si>
  <si>
    <t>GRRSL</t>
  </si>
  <si>
    <t>SpringHill Suites By Marriott Holland</t>
  </si>
  <si>
    <t>GSOBR</t>
  </si>
  <si>
    <t>Courtyard By Marriott Burlington</t>
  </si>
  <si>
    <t>GSOHH</t>
  </si>
  <si>
    <t>SpringHill Suites by Marriott High Point Downtown</t>
  </si>
  <si>
    <t>GSPPF</t>
  </si>
  <si>
    <t>Fairfield by Marriott Inn &amp; Suites Piedmont Greenville</t>
  </si>
  <si>
    <t>GSPPR</t>
  </si>
  <si>
    <t>Fairfield Inn By Marriott Greenville-Spartanburg Airport</t>
  </si>
  <si>
    <t>HARNC</t>
  </si>
  <si>
    <t>Fairfield Inn &amp; Suites Harrisburg West</t>
  </si>
  <si>
    <t>HARSB</t>
  </si>
  <si>
    <t>Courtyard By Marriott Shippensburg</t>
  </si>
  <si>
    <t>HARWM</t>
  </si>
  <si>
    <t>Courtyard By Marriott Harrisburg West/Mechanicsburg</t>
  </si>
  <si>
    <t>HHHHS</t>
  </si>
  <si>
    <t>SpringHill Suites By Marriott Hilton Head Island</t>
  </si>
  <si>
    <t>HVNCO</t>
  </si>
  <si>
    <t>Courtyard By Marriott New Haven Orange/Milford</t>
  </si>
  <si>
    <t>HVNCY</t>
  </si>
  <si>
    <t>Courtyard By Marriott Waterbury Downtown</t>
  </si>
  <si>
    <t>HYACY</t>
  </si>
  <si>
    <t>Courtyard By Marriott Cape Cod Hyannis</t>
  </si>
  <si>
    <t>ILMCB</t>
  </si>
  <si>
    <t>Courtyard By Marriott Carolina Beach Oceanfront</t>
  </si>
  <si>
    <t>ILMWE</t>
  </si>
  <si>
    <t>Fairfield Inn &amp; Suites Wilmington/Wrightsville Beach</t>
  </si>
  <si>
    <t>INDTH</t>
  </si>
  <si>
    <t>Fairfield Inn &amp; Suites Terre Haute</t>
  </si>
  <si>
    <t>INTJE</t>
  </si>
  <si>
    <t>Fairfield Inn &amp; Suites Elkin Jonesville</t>
  </si>
  <si>
    <t>IPTLH</t>
  </si>
  <si>
    <t>Fairfield Inn &amp; Suites Lock Haven</t>
  </si>
  <si>
    <t>ISPSH</t>
  </si>
  <si>
    <t>SpringHill Suites By Marriott Long Island Brookhaven</t>
  </si>
  <si>
    <t>ITHFI</t>
  </si>
  <si>
    <t>Fairfield Inn &amp; Suites Ithaca</t>
  </si>
  <si>
    <t>JAXCB</t>
  </si>
  <si>
    <t>Courtyard By Marriott St. Augustine Beach</t>
  </si>
  <si>
    <t>JAXCP</t>
  </si>
  <si>
    <t>Fairfield Inn &amp; Suites Jacksonville West/Chaffee Point</t>
  </si>
  <si>
    <t>JXNCY</t>
  </si>
  <si>
    <t>Courtyard By Marriott Jackson</t>
  </si>
  <si>
    <t>LAFCY</t>
  </si>
  <si>
    <t>Courtyard By Marriott Lafayette</t>
  </si>
  <si>
    <t>LAFFI</t>
  </si>
  <si>
    <t>Fairfield Inn &amp; Suites Lafayette</t>
  </si>
  <si>
    <t>LANCL</t>
  </si>
  <si>
    <t>Courtyard by Marriott Lansing Downtown</t>
  </si>
  <si>
    <t>LEXKN</t>
  </si>
  <si>
    <t>Courtyard By Marriott Lexington Keeneland/Airport</t>
  </si>
  <si>
    <t>LWBFI</t>
  </si>
  <si>
    <t>Fairfield Inn &amp; Suites Lewisburg</t>
  </si>
  <si>
    <t>LYHFI</t>
  </si>
  <si>
    <t>Fairfield Inn &amp; Suites Lynchburg Liberty University</t>
  </si>
  <si>
    <t>MBSFI</t>
  </si>
  <si>
    <t>Fairfield Inn &amp; Suites Saginaw</t>
  </si>
  <si>
    <t>MCNSH</t>
  </si>
  <si>
    <t>SpringHill Suites By Marriott Macon</t>
  </si>
  <si>
    <t>MCNWR</t>
  </si>
  <si>
    <t>Fairfield Inn &amp; Suites Warner Robins</t>
  </si>
  <si>
    <t>MCOFV</t>
  </si>
  <si>
    <t>Fairfield Inn &amp; Suites Orlando Lake Buena Vista</t>
  </si>
  <si>
    <t>MCOKK</t>
  </si>
  <si>
    <t>SpringHill Suites By Marriott Orlando Lake Buena Vista South</t>
  </si>
  <si>
    <t>MCOLL</t>
  </si>
  <si>
    <t>Courtyard By Marriott Orlando Altamonte Springs/Maitland</t>
  </si>
  <si>
    <t>MCOLM</t>
  </si>
  <si>
    <t>Courtyard By Marriott Orlando Lake Mary/North</t>
  </si>
  <si>
    <t>MCOOF</t>
  </si>
  <si>
    <t>Fairfield Inn &amp; Suites Orlando Ocoee</t>
  </si>
  <si>
    <t>MCOSA</t>
  </si>
  <si>
    <t>SpringHill Suites By Marriott Orlando Airport</t>
  </si>
  <si>
    <t>MCOSH</t>
  </si>
  <si>
    <t>SpringHill Suites By Marriott Orlando North/Sanford</t>
  </si>
  <si>
    <t>MHTHO</t>
  </si>
  <si>
    <t>Fairfield Inn &amp; Suites Manchester South/Hooksett</t>
  </si>
  <si>
    <t>MIAFH</t>
  </si>
  <si>
    <t>Fairfield Inn &amp; Suites Homestead Florida City</t>
  </si>
  <si>
    <t>MKGNS</t>
  </si>
  <si>
    <t>Fairfield Inn &amp; Suites Muskegon Norton Shores</t>
  </si>
  <si>
    <t>MLBFV</t>
  </si>
  <si>
    <t>Fairfield Inn &amp; Suites Melbourne Viera Town Center</t>
  </si>
  <si>
    <t>MLBSC</t>
  </si>
  <si>
    <t>SpringHill Suites By Marriott Cape Canaveral Cocoa Beach</t>
  </si>
  <si>
    <t>MNZCY</t>
  </si>
  <si>
    <t>Courtyard By Marriott Stafford Quantico</t>
  </si>
  <si>
    <t>MNZFS</t>
  </si>
  <si>
    <t>Fairfield Inn &amp; Suites Quantico Stafford</t>
  </si>
  <si>
    <t>MOBSF</t>
  </si>
  <si>
    <t>Courtyard By Marriott Mobile Daphne/Eastern Shore</t>
  </si>
  <si>
    <t>MOBSP</t>
  </si>
  <si>
    <t>Fairfield Inn &amp; Suites Mobile Daphne/Eastern Shore</t>
  </si>
  <si>
    <t>ORFFV</t>
  </si>
  <si>
    <t>Fairfield by Marriott Inn &amp; Suites Virginia Beach/Norfolk Airport</t>
  </si>
  <si>
    <t>ORFVO</t>
  </si>
  <si>
    <t>SpringHill Suites By Marriott Virginia Beach Oceanfront</t>
  </si>
  <si>
    <t>ORFVX</t>
  </si>
  <si>
    <t>Moxy Virginia Beach Oceanfront</t>
  </si>
  <si>
    <t>PBICP</t>
  </si>
  <si>
    <t>Courtyard by Marriott Port St. Lucie Tradition</t>
  </si>
  <si>
    <t>PBIST</t>
  </si>
  <si>
    <t>Courtyard By Marriott Stuart</t>
  </si>
  <si>
    <t>PGVWF</t>
  </si>
  <si>
    <t>Fairfield by Marriott Inn &amp; Suites Weldon</t>
  </si>
  <si>
    <t>PITHW</t>
  </si>
  <si>
    <t>Courtyard By Marriott Pittsburgh West Homestead/Waterfront</t>
  </si>
  <si>
    <t>PITSR</t>
  </si>
  <si>
    <t>Courtyard By Marriott Pittsburgh Airport Settlers Ridge</t>
  </si>
  <si>
    <t>PITWH</t>
  </si>
  <si>
    <t>SpringHill Suites By Marriott Wheeling Triadelphia Area</t>
  </si>
  <si>
    <t>PITWS</t>
  </si>
  <si>
    <t>SpringHill Suites By Marriott Pittsburgh Washington</t>
  </si>
  <si>
    <t>PLNCY</t>
  </si>
  <si>
    <t>Courtyard By Marriott Petoskey at Victories Square</t>
  </si>
  <si>
    <t>PSMCY</t>
  </si>
  <si>
    <t>Courtyard By Marriott Portsmouth</t>
  </si>
  <si>
    <t>PSMFI</t>
  </si>
  <si>
    <t>Fairfield Inn By Marriott Portsmouth Seacoast</t>
  </si>
  <si>
    <t>PSMSH</t>
  </si>
  <si>
    <t>SpringHill Suites By Marriott Hampton Portsmouth</t>
  </si>
  <si>
    <t>PVDAP</t>
  </si>
  <si>
    <t>Courtyard By Marriott Providence Warwick</t>
  </si>
  <si>
    <t>PWMBW</t>
  </si>
  <si>
    <t>Fairfield Inn &amp; Suites Brunswick Freeport</t>
  </si>
  <si>
    <t>RDUCH</t>
  </si>
  <si>
    <t>Courtyard By Marriott Chapel Hill</t>
  </si>
  <si>
    <t>RDUSF</t>
  </si>
  <si>
    <t>Fairfield Inn &amp; Suites Smithfield Selma/I-95</t>
  </si>
  <si>
    <t>RICFI</t>
  </si>
  <si>
    <t>Fairfield by Marriott Inn &amp; Suites Richmond Innsbrook</t>
  </si>
  <si>
    <t>RICGA</t>
  </si>
  <si>
    <t>Courtyard By Marriott Richmond North/Glen Allen</t>
  </si>
  <si>
    <t>RICRA</t>
  </si>
  <si>
    <t>Fairfield Inn &amp; Suites Richmond Ashland</t>
  </si>
  <si>
    <t>RICSC</t>
  </si>
  <si>
    <t>SpringHill Suites by Marriott Chester</t>
  </si>
  <si>
    <t>RSWCH</t>
  </si>
  <si>
    <t>Courtyard By Marriott Fort Myers Cape Coral</t>
  </si>
  <si>
    <t>RSWFS</t>
  </si>
  <si>
    <t>Fairfield Inn &amp; Suites Naples</t>
  </si>
  <si>
    <t>SBNCB</t>
  </si>
  <si>
    <t>Courtyard By Marriott St. Joseph Benton Harbor</t>
  </si>
  <si>
    <t>SBNCD</t>
  </si>
  <si>
    <t>Courtyard By Marriott South Bend Downtown</t>
  </si>
  <si>
    <t>SBNSD</t>
  </si>
  <si>
    <t>SpringHill Suites By Marriott St. Joseph Benton Harbor</t>
  </si>
  <si>
    <t>SBYCI</t>
  </si>
  <si>
    <t>Fairfield Inn &amp; Suites Chincoteague Island Waterfront</t>
  </si>
  <si>
    <t>SBYFS</t>
  </si>
  <si>
    <t>SpringHill Suites By Marriott Frederica</t>
  </si>
  <si>
    <t>SCECY</t>
  </si>
  <si>
    <t>Courtyard By Marriott State College</t>
  </si>
  <si>
    <t>SDFFB</t>
  </si>
  <si>
    <t>Fairfield by Marriott Inn &amp; Suites Bardstown</t>
  </si>
  <si>
    <t>SDFFY</t>
  </si>
  <si>
    <t>Fairfield by Marriott Inn &amp; Suites Louisville New Albany, IN</t>
  </si>
  <si>
    <t>SEGFI</t>
  </si>
  <si>
    <t>Fairfield Inn &amp; Suites Selinsgrove</t>
  </si>
  <si>
    <t>SHDFS</t>
  </si>
  <si>
    <t>Fairfield Inn &amp; Suites Staunton</t>
  </si>
  <si>
    <t>SMEFI</t>
  </si>
  <si>
    <t>Fairfield Inn &amp; Suites London</t>
  </si>
  <si>
    <t>SRQSR</t>
  </si>
  <si>
    <t>SpringHill Suites By Marriott Bradenton Downtown/Riverfront</t>
  </si>
  <si>
    <t>SWFCY</t>
  </si>
  <si>
    <t>Courtyard By Marriott Middletown Goshen</t>
  </si>
  <si>
    <t>TLHCT</t>
  </si>
  <si>
    <t>Courtyard by Marriott Thomasville Downtown</t>
  </si>
  <si>
    <t>TOLBG</t>
  </si>
  <si>
    <t>Fairfield Inn &amp; Suites Bowling Green</t>
  </si>
  <si>
    <t>TPAEF</t>
  </si>
  <si>
    <t>Fairfield Inn &amp; Suites Tampa Fairgrounds/Casino</t>
  </si>
  <si>
    <t>TPAMB</t>
  </si>
  <si>
    <t>Courtyard By Marriott St. Petersburg Clearwater/Madeira Beach</t>
  </si>
  <si>
    <t>TPASN</t>
  </si>
  <si>
    <t>Fairfield Inn &amp; Suites St. Petersburg North</t>
  </si>
  <si>
    <t>TYSCP</t>
  </si>
  <si>
    <t>Courtyard By Marriott Pigeon Forge</t>
  </si>
  <si>
    <t>TYSFN</t>
  </si>
  <si>
    <t>Fairfield Inn &amp; Suites Knoxville Northwest</t>
  </si>
  <si>
    <t>VLDCY</t>
  </si>
  <si>
    <t>Courtyard By Marriott Valdosta</t>
  </si>
  <si>
    <t>YGKFI</t>
  </si>
  <si>
    <t>Fairfield Inn &amp; Suites Belleville</t>
  </si>
  <si>
    <t>YNGCY</t>
  </si>
  <si>
    <t>Courtyard By Marriott Youngstown Canfield</t>
  </si>
  <si>
    <t>YNGFI</t>
  </si>
  <si>
    <t>Fairfield Inn &amp; Suites Youngstown Boardman/Poland</t>
  </si>
  <si>
    <t>YYZFO</t>
  </si>
  <si>
    <t>Fairfield by Marriott Inn &amp; Suites Newmarket</t>
  </si>
  <si>
    <t>AUSSA</t>
  </si>
  <si>
    <t>Aloft Austin South</t>
  </si>
  <si>
    <t>DENAL</t>
  </si>
  <si>
    <t>Aloft Broomfield Denver</t>
  </si>
  <si>
    <t>DENAN</t>
  </si>
  <si>
    <t>Aloft Denver North Westminster</t>
  </si>
  <si>
    <t>ELPAL</t>
  </si>
  <si>
    <t>Aloft El Paso Downtown</t>
  </si>
  <si>
    <t>LASHA</t>
  </si>
  <si>
    <t>Aloft Henderson</t>
  </si>
  <si>
    <t>MFEAL</t>
  </si>
  <si>
    <t>Aloft McAllen</t>
  </si>
  <si>
    <t>OKCAQ</t>
  </si>
  <si>
    <t>Aloft Oklahoma City Quail Springs</t>
  </si>
  <si>
    <t>SATNA</t>
  </si>
  <si>
    <t>Aloft San Antonio UTSA Area</t>
  </si>
  <si>
    <t>YYFFP</t>
  </si>
  <si>
    <t>Four Points by Sheraton Penticton at the Convention Centre</t>
  </si>
  <si>
    <t>ATWFP</t>
  </si>
  <si>
    <t>Four Points by Sheraton Appleton</t>
  </si>
  <si>
    <t>BHMAL</t>
  </si>
  <si>
    <t>Aloft Birmingham Soho Square</t>
  </si>
  <si>
    <t>CLTAL</t>
  </si>
  <si>
    <t>Aloft Charlotte Ballantyne</t>
  </si>
  <si>
    <t>CLTUL</t>
  </si>
  <si>
    <t>Aloft Charlotte City Center</t>
  </si>
  <si>
    <t>FLLAA</t>
  </si>
  <si>
    <t>Aloft Fort Lauderdale Airport</t>
  </si>
  <si>
    <t>GNVAL</t>
  </si>
  <si>
    <t>Aloft Gainesville University Area</t>
  </si>
  <si>
    <t>INDAL</t>
  </si>
  <si>
    <t>Aloft Indianapolis Downtown</t>
  </si>
  <si>
    <t>MKEAL</t>
  </si>
  <si>
    <t>Aloft Milwaukee Downtown</t>
  </si>
  <si>
    <t>MKEFP</t>
  </si>
  <si>
    <t>Four Points by Sheraton Milwaukee North Shore</t>
  </si>
  <si>
    <t>PWMAL</t>
  </si>
  <si>
    <t>Aloft Portland Downtown Waterfront ME</t>
  </si>
  <si>
    <t>RDULA</t>
  </si>
  <si>
    <t>Four Points by Sheraton Raleigh Arena</t>
  </si>
  <si>
    <t>SBYAL</t>
  </si>
  <si>
    <t>Aloft Ocean City</t>
  </si>
  <si>
    <t>TYSAL</t>
  </si>
  <si>
    <t>Aloft Knoxville West</t>
  </si>
  <si>
    <t>COSFI</t>
  </si>
  <si>
    <t>Fairfield Inn &amp; Suites Colorado Springs Air Force Academy</t>
  </si>
  <si>
    <t>DENDA</t>
  </si>
  <si>
    <t>SpringHill Suites By Marriott Denver Airport</t>
  </si>
  <si>
    <t>DENFA</t>
  </si>
  <si>
    <t>Fairfield Inn &amp; Suites Denver Airport</t>
  </si>
  <si>
    <t>FTCGR</t>
  </si>
  <si>
    <t>Fairfield Inn &amp; Suites Greeley</t>
  </si>
  <si>
    <t>GEGFA</t>
  </si>
  <si>
    <t>Fairfield by Marriott Inn &amp; Suites Spokane Airport</t>
  </si>
  <si>
    <t>GEGSH</t>
  </si>
  <si>
    <t>SpringHill Suites By Marriott Spokane Airport</t>
  </si>
  <si>
    <t>LAWDU</t>
  </si>
  <si>
    <t>Fairfield by Marriott Inn &amp; Suites Duncan</t>
  </si>
  <si>
    <t>LBBCY</t>
  </si>
  <si>
    <t>Courtyard By Marriott Lubbock</t>
  </si>
  <si>
    <t>LBBDT</t>
  </si>
  <si>
    <t>Courtyard By Marriott Lubbock Downtown/University Area</t>
  </si>
  <si>
    <t>LCHSH</t>
  </si>
  <si>
    <t>SpringHill Suites By Marriott Lake Charles</t>
  </si>
  <si>
    <t>LFKCY</t>
  </si>
  <si>
    <t>Courtyard By Marriott Lufkin</t>
  </si>
  <si>
    <t>LFTCY</t>
  </si>
  <si>
    <t>Courtyard By Marriott Lafayette Airport</t>
  </si>
  <si>
    <t>LGVFS</t>
  </si>
  <si>
    <t>Fairfield Inn &amp; Suites Marshall</t>
  </si>
  <si>
    <t>LITDT</t>
  </si>
  <si>
    <t>Courtyard By Marriott Little Rock Downtown</t>
  </si>
  <si>
    <t>LJNCY</t>
  </si>
  <si>
    <t>Courtyard By Marriott Lake Jackson</t>
  </si>
  <si>
    <t>MLUWM</t>
  </si>
  <si>
    <t>Fairfield Inn &amp; Suites West Monroe</t>
  </si>
  <si>
    <t>MSYFD</t>
  </si>
  <si>
    <t>Fairfield Inn &amp; Suites New Orleans Downtown/French Quarter Area</t>
  </si>
  <si>
    <t>MSYFM</t>
  </si>
  <si>
    <t>Fairfield Inn &amp; Suites New Orleans Metairie</t>
  </si>
  <si>
    <t>MSYGR</t>
  </si>
  <si>
    <t>Courtyard By Marriott New Orleans Westbank/Gretna</t>
  </si>
  <si>
    <t>MSYLL</t>
  </si>
  <si>
    <t>Fairfield Inn &amp; Suites Cut Off-Galliano</t>
  </si>
  <si>
    <t>OMALV</t>
  </si>
  <si>
    <t>Courtyard By Marriott Omaha La Vista</t>
  </si>
  <si>
    <t>OMAOX</t>
  </si>
  <si>
    <t>Moxy Omaha Downtown</t>
  </si>
  <si>
    <t>PDXFH</t>
  </si>
  <si>
    <t>Fairfield Inn &amp; Suites Portland West/Beaverton</t>
  </si>
  <si>
    <t>PDXOW</t>
  </si>
  <si>
    <t>Fairfield Inn &amp; Suites Portland South/Lake Oswego</t>
  </si>
  <si>
    <t>PHXCF</t>
  </si>
  <si>
    <t>PHX2</t>
  </si>
  <si>
    <t>Courtyard By Marriott Phoenix Chandler/Fashion Center</t>
  </si>
  <si>
    <t>PHXFF</t>
  </si>
  <si>
    <t>Fairfield Inn &amp; Suites Phoenix Chandler/Fashion Center</t>
  </si>
  <si>
    <t>PNXCY</t>
  </si>
  <si>
    <t>Courtyard By Marriott Sherman</t>
  </si>
  <si>
    <t>RDDRE</t>
  </si>
  <si>
    <t>Fairfield Inn &amp; Suites Redding</t>
  </si>
  <si>
    <t>RFDCH</t>
  </si>
  <si>
    <t>Courtyard By Marriott Rockford</t>
  </si>
  <si>
    <t>RFDRF</t>
  </si>
  <si>
    <t>Fairfield Inn &amp; Suites Rockford</t>
  </si>
  <si>
    <t>RNOCC</t>
  </si>
  <si>
    <t>Courtyard By Marriott Carson City</t>
  </si>
  <si>
    <t>RNOCS</t>
  </si>
  <si>
    <t>Courtyard By Marriott Reno Sparks</t>
  </si>
  <si>
    <t>RNOCY</t>
  </si>
  <si>
    <t>Courtyard By Marriott Reno</t>
  </si>
  <si>
    <t>RNOFI</t>
  </si>
  <si>
    <t>Fairfield Inn &amp; Suites Reno Sparks</t>
  </si>
  <si>
    <t>RNOSO</t>
  </si>
  <si>
    <t>SpringHill Suites By Marriott Reno</t>
  </si>
  <si>
    <t>RNOSU</t>
  </si>
  <si>
    <t>SpringHill Suites by Marriott Truckee Lake Tahoe</t>
  </si>
  <si>
    <t>ROGFI</t>
  </si>
  <si>
    <t>Fairfield Inn &amp; Suites Bentonville Rogers</t>
  </si>
  <si>
    <t>SACCY</t>
  </si>
  <si>
    <t>Courtyard By Marriott Sacramento Midtown</t>
  </si>
  <si>
    <t>SACFL</t>
  </si>
  <si>
    <t>Fairfield Inn &amp; Suites Sacramento Folsom</t>
  </si>
  <si>
    <t>SACFS</t>
  </si>
  <si>
    <t>Fairfield Inn &amp; Suites Sacramento Rancho Cordova</t>
  </si>
  <si>
    <t>SACSH</t>
  </si>
  <si>
    <t>SpringHill Suites By Marriott Sacramento Natomas</t>
  </si>
  <si>
    <t>SACSR</t>
  </si>
  <si>
    <t>SpringHill Suites By Marriott Sacramento Roseville</t>
  </si>
  <si>
    <t>SACSW</t>
  </si>
  <si>
    <t>SpringHill Suites By Marriott West Sacramento</t>
  </si>
  <si>
    <t>SACVA</t>
  </si>
  <si>
    <t>Courtyard By Marriott Vacaville</t>
  </si>
  <si>
    <t>SACWI</t>
  </si>
  <si>
    <t>Fairfield by Marriott Inn &amp; Suites Winters Davis</t>
  </si>
  <si>
    <t>SACWO</t>
  </si>
  <si>
    <t>Fairfield Inn &amp; Suites Sacramento Airport Woodland</t>
  </si>
  <si>
    <t>SAFFE</t>
  </si>
  <si>
    <t>Fairfield Inn &amp; Suites Santa Fe</t>
  </si>
  <si>
    <t>SANAL</t>
  </si>
  <si>
    <t>Courtyard By Marriott San Diego Airport/Liberty Station</t>
  </si>
  <si>
    <t>SANCD</t>
  </si>
  <si>
    <t>Courtyard By Marriott San Diego Downtown</t>
  </si>
  <si>
    <t>SANCG</t>
  </si>
  <si>
    <t>Courtyard By Marriott San Diego Gaslamp/Convention Center</t>
  </si>
  <si>
    <t>SANCM</t>
  </si>
  <si>
    <t>Courtyard By Marriott San Diego Mission Valley/Hotel Circle</t>
  </si>
  <si>
    <t>SANCR</t>
  </si>
  <si>
    <t>Courtyard By Marriott San Diego Miramar</t>
  </si>
  <si>
    <t>SANCS</t>
  </si>
  <si>
    <t>Courtyard By Marriott San Diego Carlsbad</t>
  </si>
  <si>
    <t>SANCY</t>
  </si>
  <si>
    <t>Courtyard By Marriott San Diego Central</t>
  </si>
  <si>
    <t>SANEC</t>
  </si>
  <si>
    <t>Courtyard By Marriott San Diego El Cajon</t>
  </si>
  <si>
    <t>SANES</t>
  </si>
  <si>
    <t>Fairfield Inn &amp; Suites San Diego North/San Marcos</t>
  </si>
  <si>
    <t>SANFD</t>
  </si>
  <si>
    <t>Fairfield Inn &amp; Suites San Diego Carlsbad</t>
  </si>
  <si>
    <t>SANFI</t>
  </si>
  <si>
    <t>Fairfield Inn &amp; Suites San Diego Old Town</t>
  </si>
  <si>
    <t>SANOD</t>
  </si>
  <si>
    <t>SpringHill Suites by Marriott Oceanside Beach</t>
  </si>
  <si>
    <t>SANOT</t>
  </si>
  <si>
    <t>Courtyard By Marriott San Diego Old Town</t>
  </si>
  <si>
    <t>SANOX</t>
  </si>
  <si>
    <t>Moxy San Diego Downtown/Gaslamp Quarter</t>
  </si>
  <si>
    <t>SANSB</t>
  </si>
  <si>
    <t>Courtyard By Marriott San Diego Del Mar/Solana Beach</t>
  </si>
  <si>
    <t>SANSC</t>
  </si>
  <si>
    <t>SpringHill Suites By Marriott San Diego Carlsbad</t>
  </si>
  <si>
    <t>SANSD</t>
  </si>
  <si>
    <t>SpringHill Suites By Marriott San Diego Escondido/Downtown</t>
  </si>
  <si>
    <t>SANSM</t>
  </si>
  <si>
    <t>SpringHill Suites By Marriott San Diego Mission Valley</t>
  </si>
  <si>
    <t>SATBF</t>
  </si>
  <si>
    <t>Fairfield Inn &amp; Suites New Braunfels</t>
  </si>
  <si>
    <t>SATFM</t>
  </si>
  <si>
    <t>Fairfield Inn &amp; Suites San Antonio Medical Center</t>
  </si>
  <si>
    <t>SATNB</t>
  </si>
  <si>
    <t>Courtyard By Marriott New Braunfels River Village</t>
  </si>
  <si>
    <t>SBPAF</t>
  </si>
  <si>
    <t>Fairfield by Marriott Inn &amp; Suites Atascadero</t>
  </si>
  <si>
    <t>SBPPR</t>
  </si>
  <si>
    <t>Courtyard By Marriott Paso Robles</t>
  </si>
  <si>
    <t>SBPSH</t>
  </si>
  <si>
    <t>SpringHill Suites By Marriott Paso Robles Atascadero</t>
  </si>
  <si>
    <t>SCKFI</t>
  </si>
  <si>
    <t>Fairfield by Marriott Inn &amp; Suites Lodi</t>
  </si>
  <si>
    <t>SCKLF</t>
  </si>
  <si>
    <t>Fairfield Inn &amp; Suites Stockton Lathrop</t>
  </si>
  <si>
    <t>SFOAC</t>
  </si>
  <si>
    <t>Fairfield Inn &amp; Suites Napa American Canyon</t>
  </si>
  <si>
    <t>SFONS</t>
  </si>
  <si>
    <t>SpringHill Suites By Marriott Napa Valley</t>
  </si>
  <si>
    <t>SFOVL</t>
  </si>
  <si>
    <t>Courtyard By Marriott Vallejo Napa Valley</t>
  </si>
  <si>
    <t>SGUFI</t>
  </si>
  <si>
    <t>Fairfield Inn By Marriott St. George</t>
  </si>
  <si>
    <t>SGUZI</t>
  </si>
  <si>
    <t>SpringHill Suites By Marriott Springdale Zion National Park</t>
  </si>
  <si>
    <t>SLCAD</t>
  </si>
  <si>
    <t>AC Hotel Salt Lake City Downtown</t>
  </si>
  <si>
    <t>SLCAP</t>
  </si>
  <si>
    <t>Courtyard By Marriott Salt Lake City Airport</t>
  </si>
  <si>
    <t>SLCCL</t>
  </si>
  <si>
    <t>Courtyard By Marriott Salt Lake City Layton</t>
  </si>
  <si>
    <t>SLCFD</t>
  </si>
  <si>
    <t>Fairfield Inn &amp; Suites Salt Lake City Downtown</t>
  </si>
  <si>
    <t>SLCFI</t>
  </si>
  <si>
    <t>Fairfield Inn &amp; Suites Salt Lake City South</t>
  </si>
  <si>
    <t>SLCFR</t>
  </si>
  <si>
    <t>Fairfield Inn &amp; Suites Richfield</t>
  </si>
  <si>
    <t>SLCFW</t>
  </si>
  <si>
    <t>Fairfield by Marriott Inn &amp; Suites Salt Lake City Cottonwood</t>
  </si>
  <si>
    <t>SLCLG</t>
  </si>
  <si>
    <t>SpringHill Suites By Marriott Logan</t>
  </si>
  <si>
    <t>SLCOP</t>
  </si>
  <si>
    <t>Courtyard by Marriott Orem University Place</t>
  </si>
  <si>
    <t>SLCSA</t>
  </si>
  <si>
    <t>SpringHill Suites By Marriott Salt Lake City Airport</t>
  </si>
  <si>
    <t>SLCSD</t>
  </si>
  <si>
    <t>Courtyard By Marriott Salt Lake City Sandy</t>
  </si>
  <si>
    <t>SLCSH</t>
  </si>
  <si>
    <t>SpringHill Suites By Marriott Salt Lake City Downtown</t>
  </si>
  <si>
    <t>SLCSO</t>
  </si>
  <si>
    <t>SpringHill Suites By Marriott Salt Lake City Sugar House</t>
  </si>
  <si>
    <t>SMFAC</t>
  </si>
  <si>
    <t>AC Hotel Sacramento</t>
  </si>
  <si>
    <t>SMFWC</t>
  </si>
  <si>
    <t>Courtyard By Marriott Woodland</t>
  </si>
  <si>
    <t>STLCA</t>
  </si>
  <si>
    <t>AC Hotel St. Louis Chesterfield</t>
  </si>
  <si>
    <t>STSCY</t>
  </si>
  <si>
    <t>Courtyard By Marriott Santa Rosa</t>
  </si>
  <si>
    <t>STSFI</t>
  </si>
  <si>
    <t>Fairfield Inn &amp; Suites Santa Rosa Rohnert Park</t>
  </si>
  <si>
    <t>TCCFI</t>
  </si>
  <si>
    <t>Fairfield Inn &amp; Suites Tucumcari</t>
  </si>
  <si>
    <t>VISVT</t>
  </si>
  <si>
    <t>Fairfield Inn &amp; Suites Visalia Tulare</t>
  </si>
  <si>
    <t>WCOCY</t>
  </si>
  <si>
    <t>Courtyard By Marriott Waco</t>
  </si>
  <si>
    <t>WJFFI</t>
  </si>
  <si>
    <t>Fairfield Inn &amp; Suites Palmdale West</t>
  </si>
  <si>
    <t>XNAFX</t>
  </si>
  <si>
    <t>Moxy Fayetteville</t>
  </si>
  <si>
    <t>YCDCY</t>
  </si>
  <si>
    <t>Courtyard by Marriott Nanaimo</t>
  </si>
  <si>
    <t>YEGCY</t>
  </si>
  <si>
    <t>Courtyard By Marriott Edmonton Downtown</t>
  </si>
  <si>
    <t>YEGFA</t>
  </si>
  <si>
    <t>Fairfield Inn Edmonton International Airport</t>
  </si>
  <si>
    <t>YEGFI</t>
  </si>
  <si>
    <t>Fairfield Inn &amp; Suites Edmonton North</t>
  </si>
  <si>
    <t>YKAFI</t>
  </si>
  <si>
    <t>Fairfield Inn &amp; Suites Kamloops</t>
  </si>
  <si>
    <t>YLWFI</t>
  </si>
  <si>
    <t>Fairfield Inn &amp; Suites Kelowna</t>
  </si>
  <si>
    <t>YLWFW</t>
  </si>
  <si>
    <t>Fairfield by Marriott Inn &amp; Suites West Kelowna</t>
  </si>
  <si>
    <t>YUMFI</t>
  </si>
  <si>
    <t>Fairfield Inn &amp; Suites Yuma</t>
  </si>
  <si>
    <t>YYCBM</t>
  </si>
  <si>
    <t>Moxy Banff</t>
  </si>
  <si>
    <t>BDLCW</t>
  </si>
  <si>
    <t>Courtyard By Marriott West Springfield</t>
  </si>
  <si>
    <t>BDLHO</t>
  </si>
  <si>
    <t>Fairfield Inn &amp; Suites Springfield Holyoke</t>
  </si>
  <si>
    <t>BNACV</t>
  </si>
  <si>
    <t>Fairfield Inn &amp; Suites Clarksville</t>
  </si>
  <si>
    <t>BNAVL</t>
  </si>
  <si>
    <t>Courtyard By Marriott Clarksville</t>
  </si>
  <si>
    <t>DAYAC</t>
  </si>
  <si>
    <t>AC Hotel Dayton</t>
  </si>
  <si>
    <t>DAYFD</t>
  </si>
  <si>
    <t>Fairfield by Marriott Inn &amp; Suites Dayton Downtown</t>
  </si>
  <si>
    <t>DAYSF</t>
  </si>
  <si>
    <t>Fairfield Inn &amp; Suites Dayton South</t>
  </si>
  <si>
    <t>FARSH</t>
  </si>
  <si>
    <t>SpringHill Suites by Marriott Fargo</t>
  </si>
  <si>
    <t>HGRFI</t>
  </si>
  <si>
    <t>Fairfield Inn &amp; Suites Hagerstown</t>
  </si>
  <si>
    <t>IADGV</t>
  </si>
  <si>
    <t>SpringHill Suites By Marriott Gainesville Haymarket</t>
  </si>
  <si>
    <t>MEMAH</t>
  </si>
  <si>
    <t>SpringHill Suites by Marriott Arlington TN</t>
  </si>
  <si>
    <t>MEMFA</t>
  </si>
  <si>
    <t>Fairfield Inn &amp; Suites Memphis Arlington</t>
  </si>
  <si>
    <t>MEMLX</t>
  </si>
  <si>
    <t>Courtyard By Marriott Memphis East/Bill Morris Parkway</t>
  </si>
  <si>
    <t>MEMOX</t>
  </si>
  <si>
    <t>Moxy Memphis Downtown</t>
  </si>
  <si>
    <t>MGMSP</t>
  </si>
  <si>
    <t>SpringHill Suites By Marriott Montgomery Prattville/Millbrook</t>
  </si>
  <si>
    <t>MKEAP</t>
  </si>
  <si>
    <t>Fairfield Inn &amp; Suites Milwaukee Airport</t>
  </si>
  <si>
    <t>MKEFB</t>
  </si>
  <si>
    <t>Fairfield by Marriott Inn &amp; Suites Milwaukee Brookfield</t>
  </si>
  <si>
    <t>MKEFI</t>
  </si>
  <si>
    <t>Fairfield Inn &amp; Suites Milwaukee North</t>
  </si>
  <si>
    <t>MKESK</t>
  </si>
  <si>
    <t>SpringHill Suites By Marriott Kenosha</t>
  </si>
  <si>
    <t>MKLCY</t>
  </si>
  <si>
    <t>MLIBH</t>
  </si>
  <si>
    <t>SpringHill Suites by Marriott Bettendorf</t>
  </si>
  <si>
    <t>MPOFI</t>
  </si>
  <si>
    <t>Fairfield Inn &amp; Suites Stroudsburg Bartonsville/Poconos</t>
  </si>
  <si>
    <t>MSNBF</t>
  </si>
  <si>
    <t>Fairfield by Marriott Inn &amp; Suites Baraboo</t>
  </si>
  <si>
    <t>MSNHW</t>
  </si>
  <si>
    <t>SpringHill Suites By Marriott Madison</t>
  </si>
  <si>
    <t>PAHFI</t>
  </si>
  <si>
    <t>Fairfield Inn &amp; Suites Paducah</t>
  </si>
  <si>
    <t>PHFYT</t>
  </si>
  <si>
    <t>Courtyard By Marriott Newport News Yorktown</t>
  </si>
  <si>
    <t>PHLMF</t>
  </si>
  <si>
    <t>Fairfield Inn &amp; Suites Middletown</t>
  </si>
  <si>
    <t>PNSFO</t>
  </si>
  <si>
    <t>Fairfield by Marriott Inn &amp; Suites Foley</t>
  </si>
  <si>
    <t>PNSPC</t>
  </si>
  <si>
    <t>Courtyard By Marriott Pensacola Downtown</t>
  </si>
  <si>
    <t>PNSPS</t>
  </si>
  <si>
    <t>SpringHill Suites By Marriott Pensacola</t>
  </si>
  <si>
    <t>PSMEX</t>
  </si>
  <si>
    <t>Fairfield Inn &amp; Suites Portsmouth Exeter</t>
  </si>
  <si>
    <t>PWMLO</t>
  </si>
  <si>
    <t>RAPCY</t>
  </si>
  <si>
    <t>Courtyard By Marriott Rapid City</t>
  </si>
  <si>
    <t>RAPFI</t>
  </si>
  <si>
    <t>Fairfield Inn &amp; Suites Rapid City</t>
  </si>
  <si>
    <t>RAPSP</t>
  </si>
  <si>
    <t>Fairfield Inn &amp; Suites Spearfish</t>
  </si>
  <si>
    <t>RICCN</t>
  </si>
  <si>
    <t>Courtyard by Marriott Richmond Scott’s Addition</t>
  </si>
  <si>
    <t>RNZFI</t>
  </si>
  <si>
    <t>Fairfield Inn &amp; Suites Fair Oaks Farms</t>
  </si>
  <si>
    <t>RSWNS</t>
  </si>
  <si>
    <t>SpringHill Suites By Marriott Naples</t>
  </si>
  <si>
    <t>RWIFR</t>
  </si>
  <si>
    <t>Fairfield by Marriott Inn &amp; Suites Rocky Mount</t>
  </si>
  <si>
    <t>SAVAC</t>
  </si>
  <si>
    <t>AC Hotel Savannah Historic District</t>
  </si>
  <si>
    <t>SBNSN</t>
  </si>
  <si>
    <t>SpringHill Suites By Marriott South Bend Notre Dame Area</t>
  </si>
  <si>
    <t>SDFSH</t>
  </si>
  <si>
    <t>SpringHill Suites By Marriott Louisville Hurstbourne/North</t>
  </si>
  <si>
    <t>SEGBL</t>
  </si>
  <si>
    <t>Fairfield Inn &amp; Suites Bloomsburg</t>
  </si>
  <si>
    <t>SYRVR</t>
  </si>
  <si>
    <t>Fairfield Inn &amp; Suites Verona</t>
  </si>
  <si>
    <t>TCLAC</t>
  </si>
  <si>
    <t>AC Hotel Tuscaloosa Downtown</t>
  </si>
  <si>
    <t>TFOSH</t>
  </si>
  <si>
    <t>SpringHill Suites By Marriott Tifton</t>
  </si>
  <si>
    <t>TLHSE</t>
  </si>
  <si>
    <t>SpringHill Suites By Marriott Tallahassee Central</t>
  </si>
  <si>
    <t>TOLFI</t>
  </si>
  <si>
    <t>Fairfield Inn &amp; Suites Findlay</t>
  </si>
  <si>
    <t>TOLNO</t>
  </si>
  <si>
    <t>Courtyard By Marriott Toledo North</t>
  </si>
  <si>
    <t>TPANP</t>
  </si>
  <si>
    <t>SpringHill Suites By Marriott Tampa North/I-75 Tampa Palms</t>
  </si>
  <si>
    <t>TPANW</t>
  </si>
  <si>
    <t>Courtyard By Marriott Tampa Northwest/Veterans Expressway</t>
  </si>
  <si>
    <t>TRIFB</t>
  </si>
  <si>
    <t>Fairfield Inn &amp; Suites Bristol</t>
  </si>
  <si>
    <t>TYSKX</t>
  </si>
  <si>
    <t>Courtyard By Marriott Knoxville Airport Alcoa</t>
  </si>
  <si>
    <t>TYSSP</t>
  </si>
  <si>
    <t>SpringHill Suites By Marriott Pigeon Forge</t>
  </si>
  <si>
    <t>VLDFV</t>
  </si>
  <si>
    <t>Fairfield Inn &amp; Suites Valdosta</t>
  </si>
  <si>
    <t>VPSCY</t>
  </si>
  <si>
    <t>Courtyard By Marriott Sandestin at Grand Boulevard</t>
  </si>
  <si>
    <t>VPSWF</t>
  </si>
  <si>
    <t>Fairfield by Marriott Inn &amp; Suites Fort Walton Beach Hurlburt Area</t>
  </si>
  <si>
    <t>WASFK</t>
  </si>
  <si>
    <t>SpringHill Suites By Marriott Frederick</t>
  </si>
  <si>
    <t>YOWAC</t>
  </si>
  <si>
    <t>AC Hotel Ottawa Downtown</t>
  </si>
  <si>
    <t>YQAGF</t>
  </si>
  <si>
    <t>Fairfield by Marriott Inn &amp; Suites Gravenhurst Muskoka</t>
  </si>
  <si>
    <t>YXECY</t>
  </si>
  <si>
    <t>Courtyard By Marriott Saskatoon Airport</t>
  </si>
  <si>
    <t>BTMFI</t>
  </si>
  <si>
    <t>Fairfield by Marriott Inn &amp; Suites Butte</t>
  </si>
  <si>
    <t>BTRSH</t>
  </si>
  <si>
    <t>SpringHill Suites by Marriott Baton Rouge South</t>
  </si>
  <si>
    <t>CAEOD</t>
  </si>
  <si>
    <t>Moxy Columbia Downtown</t>
  </si>
  <si>
    <t>CGIFI</t>
  </si>
  <si>
    <t>Fairfield by Marriott Inn &amp; Suites Poplar Bluff</t>
  </si>
  <si>
    <t>CHACC</t>
  </si>
  <si>
    <t>Courtyard by Marriott Cleveland TN</t>
  </si>
  <si>
    <t>CHIBL</t>
  </si>
  <si>
    <t>SpringHill Suites by Marriott Chicago Bolingbrook</t>
  </si>
  <si>
    <t>CHIGV</t>
  </si>
  <si>
    <t>Courtyard by Marriott Chicago Glenview/Northbrook</t>
  </si>
  <si>
    <t>CIDCI</t>
  </si>
  <si>
    <t>Courtyard by Marriott Iowa City University Heights</t>
  </si>
  <si>
    <t>CIDFN</t>
  </si>
  <si>
    <t>Fairfield by Marriott Inn &amp; Suites Cedar Rapids North</t>
  </si>
  <si>
    <t>CIDSH</t>
  </si>
  <si>
    <t>SpringHill Suites by Marriott Coralville</t>
  </si>
  <si>
    <t>CPRCY</t>
  </si>
  <si>
    <t>Courtyard by Marriott Casper</t>
  </si>
  <si>
    <t>CYSSW</t>
  </si>
  <si>
    <t>Fairfield by Marriott Inn &amp; Suites Cheyenne Southwest/Downtown Area</t>
  </si>
  <si>
    <t>DENAF</t>
  </si>
  <si>
    <t>SpringHill Suites by Marriott Denver at Anschutz Medical Campus</t>
  </si>
  <si>
    <t>DENAS</t>
  </si>
  <si>
    <t>Fairfield by Marriott Inn &amp; Suites Denver Aurora/Parker</t>
  </si>
  <si>
    <t>DENAU</t>
  </si>
  <si>
    <t>Fairfield by Marriott Inn &amp; Suites Denver Aurora/Medical Center</t>
  </si>
  <si>
    <t>DENBL</t>
  </si>
  <si>
    <t>SpringHill Suites by Marriott Boulder Longmont</t>
  </si>
  <si>
    <t>DENCD</t>
  </si>
  <si>
    <t>Courtyard by Marriott Denver Downtown</t>
  </si>
  <si>
    <t>DENFD</t>
  </si>
  <si>
    <t>Fairfield by Marriott Inn &amp; Suites Denver Downtown</t>
  </si>
  <si>
    <t>DENFS</t>
  </si>
  <si>
    <t>Fairfield by Marriott Inn &amp; Suites Denver Tech Center/South</t>
  </si>
  <si>
    <t>DENFY</t>
  </si>
  <si>
    <t>Fairfield by Marriott Inn &amp; Suites Denver Airport at Gateway Park</t>
  </si>
  <si>
    <t>DENLG</t>
  </si>
  <si>
    <t>Courtyard by Marriott Boulder Longmont</t>
  </si>
  <si>
    <t>DENLS</t>
  </si>
  <si>
    <t>Courtyard by Marriott Boulder Broomfield</t>
  </si>
  <si>
    <t>DENLT</t>
  </si>
  <si>
    <t>Courtyard by Marriott Denver Southwest/Littleton</t>
  </si>
  <si>
    <t>DENNW</t>
  </si>
  <si>
    <t>Courtyard by Marriott Denver North/Westminster</t>
  </si>
  <si>
    <t>DENOX</t>
  </si>
  <si>
    <t>Moxy Denver Cherry Creek</t>
  </si>
  <si>
    <t>DENPK</t>
  </si>
  <si>
    <t>SpringHill Suites by Marriott Denver Parker</t>
  </si>
  <si>
    <t>DENSD</t>
  </si>
  <si>
    <t>SpringHill Suites by Marriott Denver Downtown</t>
  </si>
  <si>
    <t>DENSV</t>
  </si>
  <si>
    <t>SpringHill Suites by Marriott Denver West/Golden</t>
  </si>
  <si>
    <t>DENUC</t>
  </si>
  <si>
    <t>Courtyard by Marriott Denver Airport at Gateway Park</t>
  </si>
  <si>
    <t>DENWM</t>
  </si>
  <si>
    <t>SpringHill Suites by Marriott Denver North/Westminster</t>
  </si>
  <si>
    <t>DENWO</t>
  </si>
  <si>
    <t>SpringHill Suites by Marriott Denver Tech Center</t>
  </si>
  <si>
    <t>DENWT</t>
  </si>
  <si>
    <t>Fairfield by Marriott Inn &amp; Suites Denver North/Westminster</t>
  </si>
  <si>
    <t>DENXN</t>
  </si>
  <si>
    <t>Fairfield by Marriott Inn &amp; Suites Denver Tech Center North</t>
  </si>
  <si>
    <t>DHNET</t>
  </si>
  <si>
    <t>Fairfield by Marriott Inn &amp; Suites Enterprise</t>
  </si>
  <si>
    <t>DSMCM</t>
  </si>
  <si>
    <t>Courtyard by Marriott Ames</t>
  </si>
  <si>
    <t>EGEFA</t>
  </si>
  <si>
    <t>AC Hotel Frisco Colorado</t>
  </si>
  <si>
    <t>ELPCE</t>
  </si>
  <si>
    <t>Courtyard by Marriott El Paso East/I-10</t>
  </si>
  <si>
    <t>ELPCV</t>
  </si>
  <si>
    <t>Courtyard by Marriott El Paso Downtown/Convention Center</t>
  </si>
  <si>
    <t>ELPCY</t>
  </si>
  <si>
    <t>Courtyard by Marriott El Paso Airport</t>
  </si>
  <si>
    <t>ELPHA</t>
  </si>
  <si>
    <t>SpringHill Suites by Marriott El Paso Airport</t>
  </si>
  <si>
    <t>ELPSE</t>
  </si>
  <si>
    <t>SpringHill Suites by Marriott El Paso</t>
  </si>
  <si>
    <t>FLGCY</t>
  </si>
  <si>
    <t>Courtyard by Marriott Flagstaff</t>
  </si>
  <si>
    <t>FLGFF</t>
  </si>
  <si>
    <t>Fairfield by Marriott Inn &amp; Suites Flagstaff East</t>
  </si>
  <si>
    <t>FMNFI</t>
  </si>
  <si>
    <t>Fairfield by Marriott Inn &amp; Suites Farmington</t>
  </si>
  <si>
    <t>FTCCY</t>
  </si>
  <si>
    <t>Courtyard by Marriott Fort Collins</t>
  </si>
  <si>
    <t>FTCFF</t>
  </si>
  <si>
    <t>Fairfield by Marriott Inn &amp; Suites Fort Collins South</t>
  </si>
  <si>
    <t>FTCSH</t>
  </si>
  <si>
    <t>SpringHill Suites by Marriott Loveland Fort Collins/Windsor</t>
  </si>
  <si>
    <t>FWASO</t>
  </si>
  <si>
    <t>SpringHill Suites by Marriott Fort Wayne Southwest</t>
  </si>
  <si>
    <t>FWASW</t>
  </si>
  <si>
    <t>Fairfield by Marriott Inn &amp; Suites Fort Wayne Southwest</t>
  </si>
  <si>
    <t>GCCFI</t>
  </si>
  <si>
    <t>Fairfield by Marriott Inn &amp; Suites Gillette</t>
  </si>
  <si>
    <t>GJTCY</t>
  </si>
  <si>
    <t>Courtyard by Marriott Grand Junction</t>
  </si>
  <si>
    <t>GLSSH</t>
  </si>
  <si>
    <t>SpringHill Suites by Marriott Galveston Island</t>
  </si>
  <si>
    <t>GPTBN</t>
  </si>
  <si>
    <t>Courtyard by Marriott Biloxi North/D'Iberville</t>
  </si>
  <si>
    <t>GRISH</t>
  </si>
  <si>
    <t>SpringHill Suites by Marriott Grand Island</t>
  </si>
  <si>
    <t>GTFSH</t>
  </si>
  <si>
    <t>SpringHill Suites by Marriott Great Falls</t>
  </si>
  <si>
    <t>GUPFI</t>
  </si>
  <si>
    <t>Fairfield by Marriott Inn &amp; Suites Gallup</t>
  </si>
  <si>
    <t>GUPSH</t>
  </si>
  <si>
    <t>SpringHill Suites by Marriott Gallup</t>
  </si>
  <si>
    <t>HDCCY</t>
  </si>
  <si>
    <t>Courtyard by Marriott Hammond</t>
  </si>
  <si>
    <t>HLNFN</t>
  </si>
  <si>
    <t>Fairfield by Marriott Inn &amp; Suites Helena North</t>
  </si>
  <si>
    <t>HOBFI</t>
  </si>
  <si>
    <t>Fairfield by Marriott Inn &amp; Suites Hobbs</t>
  </si>
  <si>
    <t>HRLCY</t>
  </si>
  <si>
    <t>Courtyard by Marriott Harlingen</t>
  </si>
  <si>
    <t>HRLFI</t>
  </si>
  <si>
    <t>Fairfield by Marriott Inn &amp; Suites Harlingen</t>
  </si>
  <si>
    <t>HSVCH</t>
  </si>
  <si>
    <t>Courtyard by Marriott Huntsville University Drive</t>
  </si>
  <si>
    <t>HSVDC</t>
  </si>
  <si>
    <t>Courtyard by Marriott Decatur</t>
  </si>
  <si>
    <t>HSVSH</t>
  </si>
  <si>
    <t>SpringHill Suites by Marriott Huntsville Downtown</t>
  </si>
  <si>
    <t>IAHCS</t>
  </si>
  <si>
    <t>Courtyard by Marriott Houston North/Shenandoah</t>
  </si>
  <si>
    <t>ICTAD</t>
  </si>
  <si>
    <t>AC Hotel Wichita Downtown</t>
  </si>
  <si>
    <t>ICTHU</t>
  </si>
  <si>
    <t>Fairfield by Marriott Inn &amp; Suites Hutchinson</t>
  </si>
  <si>
    <t>ICTWW</t>
  </si>
  <si>
    <t>SpringHill Suites by Marriott Wichita Airport</t>
  </si>
  <si>
    <t>IDAFP</t>
  </si>
  <si>
    <t>Fairfield by Marriott Inn &amp; Suites Pocatello</t>
  </si>
  <si>
    <t>IDAPC</t>
  </si>
  <si>
    <t>Courtyard by Marriott Pocatello</t>
  </si>
  <si>
    <t>IDASL</t>
  </si>
  <si>
    <t>SpringHill Suites by Marriott Island Park Yellowstone</t>
  </si>
  <si>
    <t>ILEFI</t>
  </si>
  <si>
    <t>Fairfield by Marriott Inn &amp; Suites Killeen</t>
  </si>
  <si>
    <t>JBRCY</t>
  </si>
  <si>
    <t>Courtyard by Marriott Jonesboro</t>
  </si>
  <si>
    <t>JBRFI</t>
  </si>
  <si>
    <t>Fairfield by Marriott Inn &amp; Suites Jonesboro</t>
  </si>
  <si>
    <t>LARFI</t>
  </si>
  <si>
    <t>Fairfield by Marriott Inn &amp; Suites Laramie</t>
  </si>
  <si>
    <t>LFTSH</t>
  </si>
  <si>
    <t>SpringHill Suites by Marriott Lafayette South at River Ranch</t>
  </si>
  <si>
    <t>LITCH</t>
  </si>
  <si>
    <t>Courtyard by Marriott Little Rock West</t>
  </si>
  <si>
    <t>MAFFI</t>
  </si>
  <si>
    <t>Fairfield by Marriott Inn &amp; Suites Midland</t>
  </si>
  <si>
    <t>MAFFO</t>
  </si>
  <si>
    <t>Fairfield by Marriott Inn &amp; Suites Monahans</t>
  </si>
  <si>
    <t>MCETH</t>
  </si>
  <si>
    <t>SpringHill Suites by Marriott Turlock</t>
  </si>
  <si>
    <t>MEMCD</t>
  </si>
  <si>
    <t>Courtyard by Marriott Memphis Downtown</t>
  </si>
  <si>
    <t>MEMFG</t>
  </si>
  <si>
    <t>Fairfield by Marriott Inn &amp; Suites Memphis Germantown</t>
  </si>
  <si>
    <t>MEMMP</t>
  </si>
  <si>
    <t>SpringHill Suites by Marriott Memphis Downtown</t>
  </si>
  <si>
    <t>MEMVL</t>
  </si>
  <si>
    <t>Courtyard by Marriott Memphis Collierville</t>
  </si>
  <si>
    <t>MGMMA</t>
  </si>
  <si>
    <t>Fairfield by Marriott Inn &amp; Suites Montgomery-EastChase Parkway</t>
  </si>
  <si>
    <t>MGMPC</t>
  </si>
  <si>
    <t>Courtyard by Marriott Montgomery Prattville</t>
  </si>
  <si>
    <t>MKLJK</t>
  </si>
  <si>
    <t>Fairfield by Marriott Inn &amp; Suites Jackson</t>
  </si>
  <si>
    <t>MSNCW</t>
  </si>
  <si>
    <t>Courtyard by Marriott Madison West/Middleton</t>
  </si>
  <si>
    <t>MSNFS</t>
  </si>
  <si>
    <t>Fairfield by Marriott Inn &amp; Suites Madison South</t>
  </si>
  <si>
    <t>MSPAR</t>
  </si>
  <si>
    <t>AC Hotel Minneapolis Downtown</t>
  </si>
  <si>
    <t>MSPCE</t>
  </si>
  <si>
    <t>Courtyard by Marriott Edina Bloomington</t>
  </si>
  <si>
    <t>MSPCY</t>
  </si>
  <si>
    <t>Courtyard by Marriott Bloomington by Mall of America</t>
  </si>
  <si>
    <t>MSPSU</t>
  </si>
  <si>
    <t>SpringHill Suites by Marriott St. Paul Downtown</t>
  </si>
  <si>
    <t>OKCCA</t>
  </si>
  <si>
    <t>Courtyard by Marriott Oklahoma City Airport</t>
  </si>
  <si>
    <t>OKCFI</t>
  </si>
  <si>
    <t>Fairfield by Marriott Inn &amp; Suites Norman</t>
  </si>
  <si>
    <t>OKCNO</t>
  </si>
  <si>
    <t>Courtyard by Marriott Norman</t>
  </si>
  <si>
    <t>OKCNQ</t>
  </si>
  <si>
    <t>Courtyard by Marriott Oklahoma City North/Quail Springs</t>
  </si>
  <si>
    <t>OMACB</t>
  </si>
  <si>
    <t>Fairfield by Marriott Inn &amp; Suites Omaha East/Council Bluffs, IA</t>
  </si>
  <si>
    <t>OMANW</t>
  </si>
  <si>
    <t>Fairfield by Marriott Inn &amp; Suites Omaha Northwest</t>
  </si>
  <si>
    <t>OMAOP</t>
  </si>
  <si>
    <t>Fairfield by Marriott Inn &amp; Suites Omaha Papillion</t>
  </si>
  <si>
    <t>OMAWF</t>
  </si>
  <si>
    <t>Fairfield by Marriott Inn &amp; Suites Omaha West</t>
  </si>
  <si>
    <t>OXRCY</t>
  </si>
  <si>
    <t>Courtyard by Marriott Ventura Simi Valley</t>
  </si>
  <si>
    <t>OXRVM</t>
  </si>
  <si>
    <t>Fairfield by Marriott Inn &amp; Suites Moorpark Ventura County</t>
  </si>
  <si>
    <t>PDXHL</t>
  </si>
  <si>
    <t>SpringHill Suites by Marriott Portland Hillsboro</t>
  </si>
  <si>
    <t>PDXHS</t>
  </si>
  <si>
    <t>Courtyard by Marriott Portland Hillsboro</t>
  </si>
  <si>
    <t>PEQFI</t>
  </si>
  <si>
    <t>Fairfield by Marriott Inn &amp; Suites Pecos</t>
  </si>
  <si>
    <t>PFNSH</t>
  </si>
  <si>
    <t>SpringHill Suites by Marriott Panama City Beach Beachfront</t>
  </si>
  <si>
    <t>PHXDF</t>
  </si>
  <si>
    <t>Fairfield by Marriott Inn &amp; Suites Scottsdale Old Town</t>
  </si>
  <si>
    <t>PHXFO</t>
  </si>
  <si>
    <t>Fairfield by Marriott Inn &amp; Suites Phoenix West Chandler</t>
  </si>
  <si>
    <t>PIAPE</t>
  </si>
  <si>
    <t>Fairfield by Marriott Inn &amp; Suites Peoria East</t>
  </si>
  <si>
    <t>PITFW</t>
  </si>
  <si>
    <t>Fairfield by Marriott Inn &amp; Suites Weirton</t>
  </si>
  <si>
    <t>RDGJT</t>
  </si>
  <si>
    <t>Fairfield by Marriott Inn &amp; Suites Jonestown Lebanon Valley</t>
  </si>
  <si>
    <t>RDUGS</t>
  </si>
  <si>
    <t>SpringHill Suites by Marriott Raleigh Garner</t>
  </si>
  <si>
    <t>RDURF</t>
  </si>
  <si>
    <t>Fairfield by Marriott Inn &amp; Suites Durham Southpoint</t>
  </si>
  <si>
    <t>RDURH</t>
  </si>
  <si>
    <t>SpringHill Suites by Marriott Raleigh Cary</t>
  </si>
  <si>
    <t>RICST</t>
  </si>
  <si>
    <t>Fairfield by Marriott Inn &amp; Suites South Hill I-85</t>
  </si>
  <si>
    <t>ROCFB</t>
  </si>
  <si>
    <t>Fairfield by Marriott Inn &amp; Suites Batavia</t>
  </si>
  <si>
    <t>RWICY</t>
  </si>
  <si>
    <t>Courtyard by Marriott Rocky Mount</t>
  </si>
  <si>
    <t>SATBO</t>
  </si>
  <si>
    <t>Fairfield by Marriott Inn &amp; Suites San Antonio Boerne</t>
  </si>
  <si>
    <t>SATTW</t>
  </si>
  <si>
    <t>SpringHill Suites by Marriott San Antonio Downtown/Riverwalk Area</t>
  </si>
  <si>
    <t>SAVRH</t>
  </si>
  <si>
    <t>Fairfield by Marriott Inn &amp; Suites Savannah SW/Richmond Hill</t>
  </si>
  <si>
    <t>SBYOC</t>
  </si>
  <si>
    <t>Courtyard by Marriott Ocean City Oceanfront</t>
  </si>
  <si>
    <t>SDFAP</t>
  </si>
  <si>
    <t>Courtyard by Marriott Louisville Airport</t>
  </si>
  <si>
    <t>SDFEL</t>
  </si>
  <si>
    <t>Fairfield by Marriott Inn &amp; Suites Elizabethtown</t>
  </si>
  <si>
    <t>SDFSE</t>
  </si>
  <si>
    <t>SpringHill Suites by Marriott Elizabethtown</t>
  </si>
  <si>
    <t>SGFAP</t>
  </si>
  <si>
    <t>Courtyard by Marriott Springfield Airport</t>
  </si>
  <si>
    <t>SGFBN</t>
  </si>
  <si>
    <t>Fairfield by Marriott Inn &amp; Suites Branson</t>
  </si>
  <si>
    <t>SJCCN</t>
  </si>
  <si>
    <t>Courtyard by Marriott Modesto North</t>
  </si>
  <si>
    <t>SJTSH</t>
  </si>
  <si>
    <t>SpringHill Suites by Marriott San Angelo</t>
  </si>
  <si>
    <t>SLCFS</t>
  </si>
  <si>
    <t>Fairfield by Marriott Inn &amp; Suites Salt Lake City Southwest</t>
  </si>
  <si>
    <t>SLKCY</t>
  </si>
  <si>
    <t>Courtyard by Marriott Lake Placid</t>
  </si>
  <si>
    <t>SPAAC</t>
  </si>
  <si>
    <t>AC Hotel Spartanburg</t>
  </si>
  <si>
    <t>SPICY</t>
  </si>
  <si>
    <t>Courtyard by Marriott Springfield</t>
  </si>
  <si>
    <t>SPZFI</t>
  </si>
  <si>
    <t>Fairfield by Marriott Inn &amp; Suites Springdale</t>
  </si>
  <si>
    <t>SQIPR</t>
  </si>
  <si>
    <t>Fairfield by Marriott Inn &amp; Suites Peru</t>
  </si>
  <si>
    <t>SRQVC</t>
  </si>
  <si>
    <t>Fairfield by Marriott Inn &amp; Suites Venice</t>
  </si>
  <si>
    <t>STEFI</t>
  </si>
  <si>
    <t>Fairfield by Marriott Inn &amp; Suites Stevens Point</t>
  </si>
  <si>
    <t>SUXSF</t>
  </si>
  <si>
    <t>Fairfield by Marriott Inn &amp; Suites Sioux Center</t>
  </si>
  <si>
    <t>SYRFR</t>
  </si>
  <si>
    <t>Fairfield by Marriott Inn &amp; Suites Rome NY</t>
  </si>
  <si>
    <t>TBNFI</t>
  </si>
  <si>
    <t>Fairfield Inn Fort Leonard Wood St. Robert</t>
  </si>
  <si>
    <t>TLHST</t>
  </si>
  <si>
    <t>SpringHill Suites by Marriott Tallahassee North</t>
  </si>
  <si>
    <t>TPABR</t>
  </si>
  <si>
    <t>Courtyard by Marriott Tampa Brandon</t>
  </si>
  <si>
    <t>TPADS</t>
  </si>
  <si>
    <t>SpringHill Suites by Marriott Tampa Downtown</t>
  </si>
  <si>
    <t>TPAFI</t>
  </si>
  <si>
    <t>Fairfield by Marriott Inn &amp; Suites Tampa Brandon</t>
  </si>
  <si>
    <t>TRICY</t>
  </si>
  <si>
    <t>Courtyard by Marriott Bristol</t>
  </si>
  <si>
    <t>TTNET</t>
  </si>
  <si>
    <t>Courtyard by Marriott Ewing Princeton</t>
  </si>
  <si>
    <t>TTNSH</t>
  </si>
  <si>
    <t>SpringHill Suites by Marriott Ewing Princeton South</t>
  </si>
  <si>
    <t>TULBV</t>
  </si>
  <si>
    <t>Fairfield by Marriott Inn &amp; Suites Bartlesville</t>
  </si>
  <si>
    <t>TULCY</t>
  </si>
  <si>
    <t>Courtyard by Marriott Tulsa Central</t>
  </si>
  <si>
    <t>TULTD</t>
  </si>
  <si>
    <t>Courtyard by Marriott Tulsa Downtown</t>
  </si>
  <si>
    <t>TULWH</t>
  </si>
  <si>
    <t>Courtyard by Marriott Tulsa Woodland Hills</t>
  </si>
  <si>
    <t>TVCCY</t>
  </si>
  <si>
    <t>Courtyard by Marriott Traverse City</t>
  </si>
  <si>
    <t>TXKFI</t>
  </si>
  <si>
    <t>Fairfield by Marriott Inn &amp; Suites Texarkana</t>
  </si>
  <si>
    <t>TYRCY</t>
  </si>
  <si>
    <t>Courtyard by Marriott Tyler</t>
  </si>
  <si>
    <t>TYRVT</t>
  </si>
  <si>
    <t>Fairfield by Marriott Inn &amp; Suites Van Canton Area</t>
  </si>
  <si>
    <t>TYSCK</t>
  </si>
  <si>
    <t>Courtyard by Marriott Knoxville West/Bearden</t>
  </si>
  <si>
    <t>TYSFF</t>
  </si>
  <si>
    <t>Fairfield by Marriott Inn &amp; Suites Pigeon Forge</t>
  </si>
  <si>
    <t>TYSKY</t>
  </si>
  <si>
    <t>Courtyard by Marriott Kodak Sevierville</t>
  </si>
  <si>
    <t>UINQU</t>
  </si>
  <si>
    <t>Fairfield by Marriott Inn &amp; Suites Quincy</t>
  </si>
  <si>
    <t>VCTCU</t>
  </si>
  <si>
    <t>Fairfield by Marriott Inn &amp; Suites Cuero</t>
  </si>
  <si>
    <t>WASAD</t>
  </si>
  <si>
    <t>AC Hotel Washington DC Downtown</t>
  </si>
  <si>
    <t>WASPM</t>
  </si>
  <si>
    <t>Fairfield by Marriott Inn &amp; Suites Potomac Mills Woodbridge</t>
  </si>
  <si>
    <t>WASXF</t>
  </si>
  <si>
    <t>Fairfield by Marriott Inn &amp; Suites Alexandria</t>
  </si>
  <si>
    <t>WCOFI</t>
  </si>
  <si>
    <t>Fairfield by Marriott Inn &amp; Suites Waco South</t>
  </si>
  <si>
    <t>WCOSH</t>
  </si>
  <si>
    <t>SpringHill Suites by Marriott Waco Woodway</t>
  </si>
  <si>
    <t>WCTCY</t>
  </si>
  <si>
    <t>Courtyard by Marriott Wichita Falls</t>
  </si>
  <si>
    <t>WGOFI</t>
  </si>
  <si>
    <t>Fairfield by Marriott Inn &amp; Suites Winchester</t>
  </si>
  <si>
    <t>WJFSH</t>
  </si>
  <si>
    <t>SpringHill Suites by Marriott Lancaster Palmdale</t>
  </si>
  <si>
    <t>YKMFI</t>
  </si>
  <si>
    <t>Fairfield by Marriott Inn &amp; Suites Yakima</t>
  </si>
  <si>
    <t>YOWCY</t>
  </si>
  <si>
    <t>Courtyard by Marriott Ottawa Downtown</t>
  </si>
  <si>
    <t>ATLAO</t>
  </si>
  <si>
    <t>AC Hotel Atlanta Perimeter</t>
  </si>
  <si>
    <t>ATLAY</t>
  </si>
  <si>
    <t>Courtyard by Marriott Athens Downtown</t>
  </si>
  <si>
    <t>ATLCR</t>
  </si>
  <si>
    <t>Courtyard by Marriott Atlanta Conyers</t>
  </si>
  <si>
    <t>ATLDK</t>
  </si>
  <si>
    <t>Courtyard by Marriott Atlanta Marietta/I-75 North</t>
  </si>
  <si>
    <t>ATLGA</t>
  </si>
  <si>
    <t>Fairfield by Marriott Inn &amp; Suites Atlanta Gwinnett Place</t>
  </si>
  <si>
    <t>ATLLN</t>
  </si>
  <si>
    <t>Fairfield by Marriott Inn &amp; Suites Atlanta Stonecrest</t>
  </si>
  <si>
    <t>ATLMD</t>
  </si>
  <si>
    <t>Fairfield by Marriott Inn &amp; Suites Atlanta McDonough</t>
  </si>
  <si>
    <t>ATLNG</t>
  </si>
  <si>
    <t>Fairfield by Marriott Inn &amp; Suites Atlanta Cumming/Johns Creek</t>
  </si>
  <si>
    <t>ATLNL</t>
  </si>
  <si>
    <t>Courtyard by Marriott Atlanta Northlake</t>
  </si>
  <si>
    <t>ATLSU</t>
  </si>
  <si>
    <t>Courtyard by Marriott Atlanta Suwanee</t>
  </si>
  <si>
    <t>ATLSZ</t>
  </si>
  <si>
    <t>Fairfield by Marriott Inn &amp; Suites Atlanta Airport North</t>
  </si>
  <si>
    <t>ATLYH</t>
  </si>
  <si>
    <t>SpringHill Suites by Marriott Conyers</t>
  </si>
  <si>
    <t>AUSAN</t>
  </si>
  <si>
    <t>SpringHill Suites by Marriott Austin Round Rock</t>
  </si>
  <si>
    <t>AVLAB</t>
  </si>
  <si>
    <t>AC Hotel Asheville Biltmore Village</t>
  </si>
  <si>
    <t>AZOFW</t>
  </si>
  <si>
    <t>Fairfield Inn Kalamazoo West</t>
  </si>
  <si>
    <t>BHMFD</t>
  </si>
  <si>
    <t>Fairfield by Marriott Inn &amp; Suites Birmingham Downtown</t>
  </si>
  <si>
    <t>BKWCY</t>
  </si>
  <si>
    <t>Courtyard by Marriott Beckley</t>
  </si>
  <si>
    <t>BOSBL</t>
  </si>
  <si>
    <t>Courtyard by Marriott Boston Brookline</t>
  </si>
  <si>
    <t>BOSCD</t>
  </si>
  <si>
    <t>AC Hotel Boston Downtown</t>
  </si>
  <si>
    <t>BOSCW</t>
  </si>
  <si>
    <t>Courtyard by Marriott Boston Woburn/Boston North</t>
  </si>
  <si>
    <t>BOSSO</t>
  </si>
  <si>
    <t>Courtyard by Marriott Boston-South Boston</t>
  </si>
  <si>
    <t>BOSWM</t>
  </si>
  <si>
    <t>Courtyard by Marriott Boston Waltham</t>
  </si>
  <si>
    <t>BWIBA</t>
  </si>
  <si>
    <t>SpringHill Suites by Marriott Arundel Mills BWI Airport</t>
  </si>
  <si>
    <t>CAECH</t>
  </si>
  <si>
    <t>SpringHill Suites by Marriott Camden</t>
  </si>
  <si>
    <t>CAESO</t>
  </si>
  <si>
    <t>SpringHill Suites by Marriott Orangeburg</t>
  </si>
  <si>
    <t>CHSNC</t>
  </si>
  <si>
    <t>SpringHill Suites by Marriott Charleston North/Ashley Phosphate</t>
  </si>
  <si>
    <t>CLECE</t>
  </si>
  <si>
    <t>Courtyard by Marriott Cleveland University Circle</t>
  </si>
  <si>
    <t>CLELY</t>
  </si>
  <si>
    <t>Courtyard by Marriott Cleveland Elyria</t>
  </si>
  <si>
    <t>CLTCA</t>
  </si>
  <si>
    <t>Courtyard by Marriott Charlotte Airport North</t>
  </si>
  <si>
    <t>CLTDX</t>
  </si>
  <si>
    <t>Moxy Charlotte Downtown</t>
  </si>
  <si>
    <t>CLTSR</t>
  </si>
  <si>
    <t>SpringHill Suites by Marriott Charlotte at Carowinds</t>
  </si>
  <si>
    <t>CLTSU</t>
  </si>
  <si>
    <t>SpringHill Suites by Marriott Charlotte Huntersville</t>
  </si>
  <si>
    <t>CLTUP</t>
  </si>
  <si>
    <t>Courtyard by Marriott Charlotte City Center</t>
  </si>
  <si>
    <t>CMHFB</t>
  </si>
  <si>
    <t>Fairfield by Marriott Inn &amp; Suites Columbus New Albany</t>
  </si>
  <si>
    <t>CMHMA</t>
  </si>
  <si>
    <t>Fairfield by Marriott Inn &amp; Suites Mansfield Ontario</t>
  </si>
  <si>
    <t>CMHNK</t>
  </si>
  <si>
    <t>Courtyard by Marriott Newark Granville</t>
  </si>
  <si>
    <t>CMHSU</t>
  </si>
  <si>
    <t>Fairfield by Marriott Inn &amp; Suites Columbus OSU</t>
  </si>
  <si>
    <t>DALCM</t>
  </si>
  <si>
    <t>Courtyard by Marriott Dallas Mesquite</t>
  </si>
  <si>
    <t>DALFM</t>
  </si>
  <si>
    <t>Fairfield by Marriott Inn &amp; Suites Dallas Mansfield</t>
  </si>
  <si>
    <t>DALLE</t>
  </si>
  <si>
    <t>Fairfield by Marriott Inn &amp; Suites Dallas Lewisville</t>
  </si>
  <si>
    <t>DALPF</t>
  </si>
  <si>
    <t>Fairfield by Marriott Inn &amp; Suites Dallas Plano/Frisco</t>
  </si>
  <si>
    <t>DALPS</t>
  </si>
  <si>
    <t>SpringHill Suites by Marriott Dallas Plano/Frisco</t>
  </si>
  <si>
    <t>DALRL</t>
  </si>
  <si>
    <t>Courtyard by Marriott Dallas Carrollton and Carrollton Conference Center</t>
  </si>
  <si>
    <t>DALSR</t>
  </si>
  <si>
    <t>SpringHill Suites by Marriott Dallas Richardson/Plano</t>
  </si>
  <si>
    <t>DALSW</t>
  </si>
  <si>
    <t>Courtyard by Marriott Fort Worth West at Cityview</t>
  </si>
  <si>
    <t>DALWX</t>
  </si>
  <si>
    <t>Fairfield by Marriott Inn &amp; Suites Dallas Waxahachie</t>
  </si>
  <si>
    <t>DECDE</t>
  </si>
  <si>
    <t>Fairfield Inn Forsyth Decatur</t>
  </si>
  <si>
    <t>DFWAR</t>
  </si>
  <si>
    <t>Fairfield by Marriott Inn &amp; Suites Arlington Near Six Flags</t>
  </si>
  <si>
    <t>DFWCF</t>
  </si>
  <si>
    <t>Fairfield by Marriott Inn &amp; Suites Corinth South Denton Area</t>
  </si>
  <si>
    <t>DFWCN</t>
  </si>
  <si>
    <t>Courtyard by Marriott Fort Worth Historic Stockyards</t>
  </si>
  <si>
    <t>DFWJR</t>
  </si>
  <si>
    <t>Fairfield by Marriott Inn &amp; Suites Fort Worth I-30 West Near NAS JRB</t>
  </si>
  <si>
    <t>DFWNF</t>
  </si>
  <si>
    <t>Fairfield by Marriott Inn &amp; Suites Fort Worth/Fossil Creek</t>
  </si>
  <si>
    <t>DFWSY</t>
  </si>
  <si>
    <t>SpringHill Suites by Marriott Fort Worth Historic Stockyards</t>
  </si>
  <si>
    <t>DFWWL</t>
  </si>
  <si>
    <t>Courtyard by Marriott Fort Worth I-30 West Near NAS JRB</t>
  </si>
  <si>
    <t>DMOFI</t>
  </si>
  <si>
    <t>Fairfield by Marriott Inn &amp; Suites Warrensburg</t>
  </si>
  <si>
    <t>DTWRA</t>
  </si>
  <si>
    <t>SpringHill Suites by Marriott Detroit Auburn Hills</t>
  </si>
  <si>
    <t>DTWSD</t>
  </si>
  <si>
    <t>SpringHill Suites by Marriott Detroit Southfield</t>
  </si>
  <si>
    <t>ERICY</t>
  </si>
  <si>
    <t>Courtyard by Marriott Erie Ambassador Conference Center</t>
  </si>
  <si>
    <t>EUGFI</t>
  </si>
  <si>
    <t>Fairfield by Marriott Inn &amp; Suites Eugene East/Springfield</t>
  </si>
  <si>
    <t>EWRWB</t>
  </si>
  <si>
    <t>Fairfield by Marriott Inn &amp; Suites Woodbridge</t>
  </si>
  <si>
    <t>FARFI</t>
  </si>
  <si>
    <t>Fairfield by Marriott Inn &amp; Suites Fargo</t>
  </si>
  <si>
    <t>FATCC</t>
  </si>
  <si>
    <t>Courtyard by Marriott Fresno Clovis</t>
  </si>
  <si>
    <t>FATCV</t>
  </si>
  <si>
    <t>Fairfield by Marriott Inn &amp; Suites Fresno Clovis</t>
  </si>
  <si>
    <t>FATFN</t>
  </si>
  <si>
    <t>Fairfield by Marriott Inn &amp; Suites Fresno River Park</t>
  </si>
  <si>
    <t>FATKB</t>
  </si>
  <si>
    <t>Fairfield by Marriott Inn &amp; Suites Selma Kingsburg</t>
  </si>
  <si>
    <t>FATNO</t>
  </si>
  <si>
    <t>Fairfield by Marriott Inn &amp; Suites Fresno North/Shaw Avenue</t>
  </si>
  <si>
    <t>FNTCY</t>
  </si>
  <si>
    <t>Courtyard by Marriott Flint Grand Blanc</t>
  </si>
  <si>
    <t>FSTFI</t>
  </si>
  <si>
    <t>Fairfield by Marriott Inn &amp; Suites Fort Stockton</t>
  </si>
  <si>
    <t>FWAFN</t>
  </si>
  <si>
    <t>SpringHill Suites by Marriott Fort Wayne North</t>
  </si>
  <si>
    <t>FWAFW</t>
  </si>
  <si>
    <t>Fairfield by Marriott Inn &amp; Suites Warsaw</t>
  </si>
  <si>
    <t>GEGFV</t>
  </si>
  <si>
    <t>Fairfield by Marriott Inn &amp; Suites Spokane Valley</t>
  </si>
  <si>
    <t>GEGPS</t>
  </si>
  <si>
    <t>SpringHill Suites by Marriott Sandpoint</t>
  </si>
  <si>
    <t>GNVLC</t>
  </si>
  <si>
    <t>Fairfield by Marriott Inn &amp; Suites Lake City</t>
  </si>
  <si>
    <t>GONCY</t>
  </si>
  <si>
    <t>Courtyard by Marriott Norwich</t>
  </si>
  <si>
    <t>GRRSE</t>
  </si>
  <si>
    <t>SpringHill Suites by Marriott Grand Rapids Airport Southeast</t>
  </si>
  <si>
    <t>HARFC</t>
  </si>
  <si>
    <t>Fairfield by Marriott Inn &amp; Suites Carlisle</t>
  </si>
  <si>
    <t>HARFM</t>
  </si>
  <si>
    <t>Fairfield by Marriott Inn &amp; Suites Harrisburg International Airport</t>
  </si>
  <si>
    <t>HGRMB</t>
  </si>
  <si>
    <t>Fairfield by Marriott Inn &amp; Suites Martinsburg</t>
  </si>
  <si>
    <t>HKYFI</t>
  </si>
  <si>
    <t>Fairfield by Marriott Inn &amp; Suites Boone</t>
  </si>
  <si>
    <t>HOUCK</t>
  </si>
  <si>
    <t>Courtyard by Marriott Houston Kemah</t>
  </si>
  <si>
    <t>HOUCS</t>
  </si>
  <si>
    <t>Courtyard by Marriott Houston NASA/Clear Lake</t>
  </si>
  <si>
    <t>HOUFA</t>
  </si>
  <si>
    <t>Fairfield by Marriott Inn &amp; Suites Houston North/Spring</t>
  </si>
  <si>
    <t>HOUFH</t>
  </si>
  <si>
    <t>Fairfield by Marriott Inn &amp; Suites Houston Hobby Airport</t>
  </si>
  <si>
    <t>HOUHA</t>
  </si>
  <si>
    <t>SpringHill Suites by Marriott Houston Hobby Airport</t>
  </si>
  <si>
    <t>HOUHM</t>
  </si>
  <si>
    <t>Fairfield by Marriott Inn &amp; Suites Houston Humble</t>
  </si>
  <si>
    <t>HOUIS</t>
  </si>
  <si>
    <t>SpringHill Suites by Marriott Houston I-45 North</t>
  </si>
  <si>
    <t>INDSE</t>
  </si>
  <si>
    <t>Fairfield by Marriott Inn &amp; Suites Seymour</t>
  </si>
  <si>
    <t>INTSH</t>
  </si>
  <si>
    <t>SpringHill Suites by Marriott Winston-Salem Hanes Mall</t>
  </si>
  <si>
    <t>IPLFI</t>
  </si>
  <si>
    <t>Fairfield by Marriott Inn &amp; Suites El Centro</t>
  </si>
  <si>
    <t>IPTFI</t>
  </si>
  <si>
    <t>Fairfield by Marriott Inn &amp; Suites Williamsport</t>
  </si>
  <si>
    <t>IYKSH</t>
  </si>
  <si>
    <t>SpringHill Suites by Marriott Ridgecrest</t>
  </si>
  <si>
    <t>JAXCH</t>
  </si>
  <si>
    <t>Courtyard by Marriott Jacksonville Butler Boulevard</t>
  </si>
  <si>
    <t>JAXCS</t>
  </si>
  <si>
    <t>Courtyard by Marriott St. Augustine I-95</t>
  </si>
  <si>
    <t>JAXJB</t>
  </si>
  <si>
    <t>Fairfield by Marriott Inn &amp; Suites Jacksonville Beach</t>
  </si>
  <si>
    <t>JAXJK</t>
  </si>
  <si>
    <t>SpringHill Suites by Marriott Jacksonville North I-95 Area</t>
  </si>
  <si>
    <t>JAXOP</t>
  </si>
  <si>
    <t>Fairfield by Marriott Inn &amp; Suites Jacksonville Orange Park</t>
  </si>
  <si>
    <t>JAXSC</t>
  </si>
  <si>
    <t>AC Hotel St. Augustine Downtown</t>
  </si>
  <si>
    <t>JAXST</t>
  </si>
  <si>
    <t>Fairfield by Marriott Inn &amp; Suites St. Augustine I-95</t>
  </si>
  <si>
    <t>JXNFI</t>
  </si>
  <si>
    <t>KWCSH</t>
  </si>
  <si>
    <t>SpringHill Suites by Marriott Kennewick Tri-Cities</t>
  </si>
  <si>
    <t>LANAC</t>
  </si>
  <si>
    <t>AC Hotel Lansing University Area</t>
  </si>
  <si>
    <t>LANSH</t>
  </si>
  <si>
    <t>SpringHill Suites by Marriott Lansing</t>
  </si>
  <si>
    <t>LASCY</t>
  </si>
  <si>
    <t>Courtyard by Marriott Las Vegas Stadium Area</t>
  </si>
  <si>
    <t>LASFI</t>
  </si>
  <si>
    <t>Fairfield Inn Las Vegas Convention Center</t>
  </si>
  <si>
    <t>LASFS</t>
  </si>
  <si>
    <t>Fairfield by Marriott Inn &amp; Suites Las Vegas Stadium Area</t>
  </si>
  <si>
    <t>LAXBP</t>
  </si>
  <si>
    <t>Courtyard by Marriott Los Angeles Baldwin Park</t>
  </si>
  <si>
    <t>LAXFS</t>
  </si>
  <si>
    <t>Fairfield by Marriott Inn &amp; Suites Los Angeles West Covina</t>
  </si>
  <si>
    <t>LBEBV</t>
  </si>
  <si>
    <t>Fairfield by Marriott Inn &amp; Suites Belle Vernon</t>
  </si>
  <si>
    <t>LEBCY</t>
  </si>
  <si>
    <t>Courtyard by Marriott Hanover Lebanon</t>
  </si>
  <si>
    <t>LNSFL</t>
  </si>
  <si>
    <t>Fairfield by Marriott Inn &amp; Suites Lancaster East at The Outlets</t>
  </si>
  <si>
    <t>MAFCY</t>
  </si>
  <si>
    <t>Courtyard by Marriott Midland</t>
  </si>
  <si>
    <t>MBSMP</t>
  </si>
  <si>
    <t>Fairfield by Marriott Inn &amp; Suites Mt. Pleasant</t>
  </si>
  <si>
    <t>MCIAC</t>
  </si>
  <si>
    <t>AC Hotel Kansas City Plaza</t>
  </si>
  <si>
    <t>MCIBS</t>
  </si>
  <si>
    <t>Courtyard by Marriott Kansas City East/Blue Springs</t>
  </si>
  <si>
    <t>MCIFO</t>
  </si>
  <si>
    <t>Fairfield by Marriott Inn &amp; Suites Kansas City Overland Park</t>
  </si>
  <si>
    <t>MCOBN</t>
  </si>
  <si>
    <t>Courtyard by Marriott Orlando Lake Buena Vista at Vista Centre</t>
  </si>
  <si>
    <t>MEMME</t>
  </si>
  <si>
    <t>Fairfield by Marriott Inn &amp; Suites Memphis East/Galleria</t>
  </si>
  <si>
    <t>MFEMA</t>
  </si>
  <si>
    <t>SpringHill Suites by Marriott McAllen Convention Center</t>
  </si>
  <si>
    <t>MHTFM</t>
  </si>
  <si>
    <t>Fairfield Inn Manchester-Boston Regional Airport</t>
  </si>
  <si>
    <t>MIAAW</t>
  </si>
  <si>
    <t>AC Hotel Miami Wynwood</t>
  </si>
  <si>
    <t>MIADM</t>
  </si>
  <si>
    <t>Courtyard by Marriott Miami at Dolphin Mall</t>
  </si>
  <si>
    <t>MSNMV</t>
  </si>
  <si>
    <t>Fairfield by Marriott Inn &amp; Suites Madison Verona</t>
  </si>
  <si>
    <t>MSPFK</t>
  </si>
  <si>
    <t>Fairfield by Marriott Inn &amp; Suites Minneapolis Shakopee</t>
  </si>
  <si>
    <t>MSPFN</t>
  </si>
  <si>
    <t>Fairfield by Marriott Inn &amp; Suites St. Paul Northeast</t>
  </si>
  <si>
    <t>MSPSH</t>
  </si>
  <si>
    <t>SpringHill Suites by Marriott Minneapolis-St. Paul Airport/Eagan</t>
  </si>
  <si>
    <t>MYRFB</t>
  </si>
  <si>
    <t>Fairfield Inn Myrtle Beach Broadway at the Beach</t>
  </si>
  <si>
    <t>NYCJF</t>
  </si>
  <si>
    <t>Courtyard by Marriott New York JFK Airport</t>
  </si>
  <si>
    <t>NYCOF</t>
  </si>
  <si>
    <t>Moxy NYC Downtown</t>
  </si>
  <si>
    <t>OAJCY</t>
  </si>
  <si>
    <t>Courtyard by Marriott Jacksonville</t>
  </si>
  <si>
    <t>OAKCY</t>
  </si>
  <si>
    <t>Courtyard by Marriott Richmond Berkeley</t>
  </si>
  <si>
    <t>OAKFI</t>
  </si>
  <si>
    <t>Fairfield by Marriott Inn &amp; Suites Oakland Hayward</t>
  </si>
  <si>
    <t>OAKLM</t>
  </si>
  <si>
    <t>Courtyard by Marriott Livermore</t>
  </si>
  <si>
    <t>OKCFW</t>
  </si>
  <si>
    <t>Fairfield by Marriott Inn &amp; Suites Shawnee</t>
  </si>
  <si>
    <t>ORFCY</t>
  </si>
  <si>
    <t>Courtyard by Marriott Chesapeake Greenbrier</t>
  </si>
  <si>
    <t>ORFEC</t>
  </si>
  <si>
    <t>Fairfield by Marriott Inn &amp; Suites Elizabeth City</t>
  </si>
  <si>
    <t>PHLFG</t>
  </si>
  <si>
    <t>Fairfield by Marriott Inn &amp; Suites Philadelphia Horsham</t>
  </si>
  <si>
    <t>PHLGV</t>
  </si>
  <si>
    <t>Courtyard by Marriott Philadelphia Great Valley/Malvern</t>
  </si>
  <si>
    <t>PHLKP</t>
  </si>
  <si>
    <t>SpringHill Suites by Marriott Philadelphia Valley Forge/King of Prussia</t>
  </si>
  <si>
    <t>PHLLM</t>
  </si>
  <si>
    <t>Courtyard by Marriott Philadelphia Bensalem</t>
  </si>
  <si>
    <t>PHLLN</t>
  </si>
  <si>
    <t>Courtyard by Marriott Philadelphia Langhorne</t>
  </si>
  <si>
    <t>PHLVG</t>
  </si>
  <si>
    <t>Courtyard by Marriott Philadelphia Valley Forge/Collegeville</t>
  </si>
  <si>
    <t>PITNS</t>
  </si>
  <si>
    <t>SpringHill Suites by Marriott Pittsburgh North Shore</t>
  </si>
  <si>
    <t>PITWC</t>
  </si>
  <si>
    <t>Courtyard by Marriott Pittsburgh Washington/Meadow Lands</t>
  </si>
  <si>
    <t>PITXW</t>
  </si>
  <si>
    <t>Fairfield by Marriott Inn &amp; Suites Wheeling at The Highlands</t>
  </si>
  <si>
    <t>PNSOR</t>
  </si>
  <si>
    <t>SpringHill Suites by Marriott Orange Beach at The Wharf</t>
  </si>
  <si>
    <t>POUCY</t>
  </si>
  <si>
    <t>Courtyard by Marriott Kingston</t>
  </si>
  <si>
    <t>PVDRY</t>
  </si>
  <si>
    <t>Courtyard by Marriott Boston Raynham</t>
  </si>
  <si>
    <t>PYMFM</t>
  </si>
  <si>
    <t>Fairfield by Marriott Inn &amp; Suites Raynham Middleborough/Plymouth</t>
  </si>
  <si>
    <t>RAPDW</t>
  </si>
  <si>
    <t>SpringHill Suites by Marriott Deadwood</t>
  </si>
  <si>
    <t>RDGWY</t>
  </si>
  <si>
    <t>Courtyard by Marriott Reading Wyomissing</t>
  </si>
  <si>
    <t>RDUBE</t>
  </si>
  <si>
    <t>Fairfield by Marriott Inn &amp; Suites Raleigh-Durham Airport/Brier Creek</t>
  </si>
  <si>
    <t>RDUNT</t>
  </si>
  <si>
    <t>Courtyard by Marriott Raleigh North/Triangle Town Center</t>
  </si>
  <si>
    <t>RICSH</t>
  </si>
  <si>
    <t>SpringHill Suites by Marriott Richmond North/Glen Allen</t>
  </si>
  <si>
    <t>RSWPG</t>
  </si>
  <si>
    <t>SpringHill Suites by Marriott Punta Gorda Harborside</t>
  </si>
  <si>
    <t>SATNL</t>
  </si>
  <si>
    <t>SpringHill Suites by Marriott San Antonio Medical Center/Northwest</t>
  </si>
  <si>
    <t>SATSN</t>
  </si>
  <si>
    <t>SpringHill Suites by Marriott San Antonio Northwest at The RIM</t>
  </si>
  <si>
    <t>SBNFI</t>
  </si>
  <si>
    <t>Fairfield by Marriott Inn &amp; Suites South Bend Mishawaka</t>
  </si>
  <si>
    <t>SBNNB</t>
  </si>
  <si>
    <t>Fairfield by Marriott Inn &amp; Suites New Buffalo</t>
  </si>
  <si>
    <t>SEADP</t>
  </si>
  <si>
    <t>Fairfield by Marriott Inn &amp; Suites Tacoma DuPont</t>
  </si>
  <si>
    <t>SJCMS</t>
  </si>
  <si>
    <t>SpringHill Suites by Marriott Milpitas Silicon Valley</t>
  </si>
  <si>
    <t>SJCNO</t>
  </si>
  <si>
    <t>Courtyard by Marriott San Jose North/Silicon Valley</t>
  </si>
  <si>
    <t>SLCDP</t>
  </si>
  <si>
    <t>SpringHill Suites by Marriott Salt Lake City Draper</t>
  </si>
  <si>
    <t>SNASP</t>
  </si>
  <si>
    <t>SpringHill Suites by Marriott Anaheim Placentia/Fullerton</t>
  </si>
  <si>
    <t>TPASL</t>
  </si>
  <si>
    <t>SpringHill Suites by Marriott Lakeland</t>
  </si>
  <si>
    <t>TPLFI</t>
  </si>
  <si>
    <t>Fairfield by Marriott Inn &amp; Suites Temple Belton</t>
  </si>
  <si>
    <t>TRITN</t>
  </si>
  <si>
    <t>Fairfield by Marriott Inn &amp; Suites Johnson City</t>
  </si>
  <si>
    <t>TYRSL</t>
  </si>
  <si>
    <t>SpringHill Suites by Marriott Lindale Tyler</t>
  </si>
  <si>
    <t>WASVY</t>
  </si>
  <si>
    <t>Courtyard by Marriott Bethesda Chevy Chase</t>
  </si>
  <si>
    <t>YKFFI</t>
  </si>
  <si>
    <t>Fairfield by Marriott Inn &amp; Suites Guelph</t>
  </si>
  <si>
    <t>YNGFN</t>
  </si>
  <si>
    <t>Fairfield Inn Warren Niles</t>
  </si>
  <si>
    <t>Fairfield Inn &amp; Suites Athens</t>
  </si>
  <si>
    <t>SpringHill Suites By Marriott Dallas Lewisville</t>
  </si>
  <si>
    <t>SpringHill Suites By Marriott Devens Common Center</t>
  </si>
  <si>
    <t>Fairfield by Marriott Inn &amp; Suites Columbus Hilliard</t>
  </si>
  <si>
    <t>Courtyard By Marriott Lenox Berkshires</t>
  </si>
  <si>
    <t>Fairfield Inn &amp; Suites Snyder</t>
  </si>
  <si>
    <t>Courtyard By Marriott Los Angeles Century City/Beverly Hills</t>
  </si>
  <si>
    <t>Fairfield Inn By Marriott Charlotte Northlake</t>
  </si>
  <si>
    <t>SpringHill Suites By Marriott Austin South</t>
  </si>
  <si>
    <t>Fairfield Inn &amp; Suites Anderson Clemson</t>
  </si>
  <si>
    <t>SpringHill Suites by Marriott Lexington Fritz Farm</t>
  </si>
  <si>
    <t>Courtyard By Marriott Charlotte Matthews</t>
  </si>
  <si>
    <t>SpringHill Suites By Marriott Houston Pearland</t>
  </si>
  <si>
    <t>Fairfield Inn &amp; Suites Austin South</t>
  </si>
  <si>
    <t>Fairfield Inn &amp; Suites Clermont</t>
  </si>
  <si>
    <t>Fairfield by Marriott Inn &amp; Suites Bethlehem PA</t>
  </si>
  <si>
    <t>Courtyard By Marriott Indianapolis Fishers</t>
  </si>
  <si>
    <t>Courtyard By Marriott Wilkes-Barre Arena</t>
  </si>
  <si>
    <t>Fairfield Inn By Marriott Medford Long Island</t>
  </si>
  <si>
    <t>Fairfield by Marriott Inn &amp; Suites Dalton</t>
  </si>
  <si>
    <t>Fairfield Inn &amp; Suites Beckley</t>
  </si>
  <si>
    <t>Courtyard By Marriott Wilmington/Wrightsville Beach</t>
  </si>
  <si>
    <t>Fairfield Inn &amp; Suites New York Queens/Fresh Meadows</t>
  </si>
  <si>
    <t>Fairfield Inn &amp; Suites Edison-South Plainfield</t>
  </si>
  <si>
    <t>SpringHill Suites By Marriott Greensboro</t>
  </si>
  <si>
    <t>Courtyard By Marriott New York Queens/Fresh Meadows</t>
  </si>
  <si>
    <t>Fairfield Inn &amp; Suites Atlanta Vinings/Galleria</t>
  </si>
  <si>
    <t>Fairfield Inn &amp; Suites Atlanta Acworth</t>
  </si>
  <si>
    <t>Courtyard By Marriott Albion</t>
  </si>
  <si>
    <t>Fairfield Inn &amp; Suites Springfield Northampton/Amherst</t>
  </si>
  <si>
    <t>Courtyard By Marriott Winston-Salem University</t>
  </si>
  <si>
    <t>AC Hotel Bridgewater</t>
  </si>
  <si>
    <t>Fairfield Inn &amp; Suites Dallas West/I-30</t>
  </si>
  <si>
    <t>SpringHill Suites By Marriott St. Paul Arden Hills</t>
  </si>
  <si>
    <t>Courtyard By Marriott Winter Haven</t>
  </si>
  <si>
    <t>Fairfield Inn &amp; Suites Waterloo Cedar Falls</t>
  </si>
  <si>
    <t>Courtyard By Marriott Elmira Horseheads</t>
  </si>
  <si>
    <t>Fairfield by Marriott Niagara Falls, Canada</t>
  </si>
  <si>
    <t>Fairfield Inn By Marriott Tuscaloosa</t>
  </si>
  <si>
    <t>Fairfield Inn &amp; Suites Towanda Wysox</t>
  </si>
  <si>
    <t>Moxy NYC Times Square</t>
  </si>
  <si>
    <t>Fairfield Inn &amp; Suites New York Manhattan/Central Park</t>
  </si>
  <si>
    <t>Fairfield Inn &amp; Suites Jacksonville Airport</t>
  </si>
  <si>
    <t>Fairfield Inn &amp; Suites South Bend at Notre Dame</t>
  </si>
  <si>
    <t>Fairfield by Marriott Inn &amp; Suites Cornelia</t>
  </si>
  <si>
    <t>Fairfield Inn &amp; Suites Fayetteville North</t>
  </si>
  <si>
    <t>Fairfield Inn &amp; Suites Boston Walpole</t>
  </si>
  <si>
    <t>Courtyard By Marriott Concord</t>
  </si>
  <si>
    <t>Fairfield Inn &amp; Suites DuBois</t>
  </si>
  <si>
    <t>Fairfield Inn &amp; Suites Atlanta Perimeter Center</t>
  </si>
  <si>
    <t>SpringHill Suites By Marriott Fort Lauderdale Miramar</t>
  </si>
  <si>
    <t>SpringHill Suites By Marriott Houston Northwest</t>
  </si>
  <si>
    <t>Fairfield Inn &amp; Suites Geneva Finger Lakes</t>
  </si>
  <si>
    <t>SpringHill Suites By Marriott Gainesville</t>
  </si>
  <si>
    <t>Fairfield Inn &amp; Suites Atlanta Suwanee</t>
  </si>
  <si>
    <t>Courtyard By Marriott Charleston Waterfront</t>
  </si>
  <si>
    <t>Courtyard By Marriott Binghamton</t>
  </si>
  <si>
    <t>Fairfield by Marriott Inn &amp; Suites Southport</t>
  </si>
  <si>
    <t>Fairfield by Marriott Inn &amp; Suites Providence Airport Warwick</t>
  </si>
  <si>
    <t>Courtyard By Marriott Carrollton</t>
  </si>
  <si>
    <t>Fairfield Inn &amp; Suites Columbus, IN</t>
  </si>
  <si>
    <t>Fairfield Inn &amp; Suites Winston-Salem Downtown</t>
  </si>
  <si>
    <t>SpringHill Suites By Marriott Charleston Airport &amp; Convention Center</t>
  </si>
  <si>
    <t>SpringHill Suites By Marriott Harrisburg Hershey</t>
  </si>
  <si>
    <t>Fairfield Inn &amp; Suites Fort Lauderdale Pembroke Pines</t>
  </si>
  <si>
    <t>Fairfield Inn &amp; Suites Toronto Brampton</t>
  </si>
  <si>
    <t>SpringHill Suites By Marriott New York Midtown Manhattan/Park Avenue</t>
  </si>
  <si>
    <t>Fairfield Inn &amp; Suites Orlando East/UCF Area</t>
  </si>
  <si>
    <t>Courtyard By Marriott Columbia Northeast/Fort Jackson Area</t>
  </si>
  <si>
    <t>Springhill Suites by Marriott Easton PA</t>
  </si>
  <si>
    <t>Courtyard By Marriott Fort Worth at Alliance Town Center</t>
  </si>
  <si>
    <t>Fairfield Inn &amp; Suites Plattsburgh</t>
  </si>
  <si>
    <t>Courtyard By Marriott Houston Heights/I-10</t>
  </si>
  <si>
    <t>Fairfield Inn &amp; Suites Santee</t>
  </si>
  <si>
    <t>Courtyard By Marriott Richmond Chester</t>
  </si>
  <si>
    <t>Fairfield Inn &amp; Suites Richmond Airport</t>
  </si>
  <si>
    <t>SpringHill Suites By Marriott Camp Hill</t>
  </si>
  <si>
    <t>SpringHill Suites by Marriott Freeport Brunswick</t>
  </si>
  <si>
    <t>SpringHill Suites By Marriott Chambersburg</t>
  </si>
  <si>
    <t>Courtyard By Marriott Warner Robins</t>
  </si>
  <si>
    <t>Fairfield by Marriott Inn &amp; Suites Brooksville Suncoast Parkway</t>
  </si>
  <si>
    <t>AC Hotel Naples 5th Avenue</t>
  </si>
  <si>
    <t>SpringHill Suites By Marriott Philadelphia Airport/Ridley Park</t>
  </si>
  <si>
    <t>Fairfield Inn &amp; Suites Watertown Thousand Islands</t>
  </si>
  <si>
    <t>SpringHill Suites By Marriott West Mifflin</t>
  </si>
  <si>
    <t>Courtyard By Marriott Detroit Farmington Hills</t>
  </si>
  <si>
    <t>Fairfield Inn &amp; Suites Commerce</t>
  </si>
  <si>
    <t>Fairfield Inn &amp; Suites Keene Downtown</t>
  </si>
  <si>
    <t>Fairfield Inn &amp; Suites Douglas</t>
  </si>
  <si>
    <t>Courtyard by Marriott Gainesville GA</t>
  </si>
  <si>
    <t>Courtyard By Marriott Orlando Downtown</t>
  </si>
  <si>
    <t>SpringHill Suites By Marriott Detroit Dearborn</t>
  </si>
  <si>
    <t>Fairfield Inn &amp; Suites New York Brooklyn</t>
  </si>
  <si>
    <t>Courtyard By Marriott Miami Downtown/Brickell Area</t>
  </si>
  <si>
    <t>Fairfield Inn By Marriott Deptford</t>
  </si>
  <si>
    <t>Fairfield Inn &amp; Suites Boston Cambridge</t>
  </si>
  <si>
    <t>SpringHill Suites By Marriott Newnan</t>
  </si>
  <si>
    <t>Courtyard By Marriott Greenville Downtown</t>
  </si>
  <si>
    <t>Courtyard By Marriott Dallas Addison/Quorum Drive</t>
  </si>
  <si>
    <t>Fairfield Inn &amp; Suites Dallas DFW Airport South/Irving</t>
  </si>
  <si>
    <t>Fairfield Inn &amp; Suites Grand Island</t>
  </si>
  <si>
    <t>Courtyard By Marriott Cape Girardeau Downtown</t>
  </si>
  <si>
    <t>Fairfield Inn &amp; Suites Muskogee</t>
  </si>
  <si>
    <t>Fairfield Inn &amp; Suites Beloit</t>
  </si>
  <si>
    <t>Fairfield Inn &amp; Suites Boston Marlborough/Apex Center</t>
  </si>
  <si>
    <t>Courtyard By Marriott Tuscaloosa</t>
  </si>
  <si>
    <t>Fairfield Inn &amp; Suites San Antonio NE/Schertz</t>
  </si>
  <si>
    <t>Courtyard By Marriott Dallas Lewisville</t>
  </si>
  <si>
    <t>SpringHill Suites By Marriott Houston The Woodlands</t>
  </si>
  <si>
    <t>AC Hotel Los Angeles South Bay</t>
  </si>
  <si>
    <t>Courtyard By Marriott Panama City</t>
  </si>
  <si>
    <t>SpringHill Suites By Marriott Jackson Ridgeland/The Township at Colony Park</t>
  </si>
  <si>
    <t>SpringHill Suites By Marriott Dallas DFW Airport East/Las Colinas Irving</t>
  </si>
  <si>
    <t>Fairfield Inn By Marriott Anaheim Hills Orange County</t>
  </si>
  <si>
    <t>Courtyard By Marriott Medford Airport</t>
  </si>
  <si>
    <t>SpringHill Suites By Marriott Kingman Route 66</t>
  </si>
  <si>
    <t>Fairfield Inn &amp; Suites Parsippany</t>
  </si>
  <si>
    <t>Courtyard By Marriott Battle Creek</t>
  </si>
  <si>
    <t>Courtyard By Marriott Kokomo</t>
  </si>
  <si>
    <t>SpringHill Suites By Marriott Durham Chapel Hill</t>
  </si>
  <si>
    <t>Courtyard By Marriott Dallas Addison/Midway</t>
  </si>
  <si>
    <t>Fairfield by Marriott Inn &amp; Suites Whitsett Greensboro East</t>
  </si>
  <si>
    <t>Fairfield Inn &amp; Suites Hickory</t>
  </si>
  <si>
    <t>Courtyard By Marriott Cartersville</t>
  </si>
  <si>
    <t>Fairfield Inn &amp; Suites Somerset</t>
  </si>
  <si>
    <t>Courtyard By Marriott Dallas Downtown/Reunion District</t>
  </si>
  <si>
    <t>SpringHill Suites By Marriott Houston Baytown</t>
  </si>
  <si>
    <t>Fairfield Inn &amp; Suites Laredo</t>
  </si>
  <si>
    <t>AC Hotel Madison Downtown</t>
  </si>
  <si>
    <t>Fairfield Inn &amp; Suites Houston Westchase</t>
  </si>
  <si>
    <t>SpringHill Suites By Marriott Houston Katy Mills</t>
  </si>
  <si>
    <t>Fairfield by Marriott Inn &amp; Suites Corpus Christi Central</t>
  </si>
  <si>
    <t>SpringHill Suites By Marriott Oklahoma City Airport West</t>
  </si>
  <si>
    <t>Fairfield Inn &amp; Suites Russellville</t>
  </si>
  <si>
    <t>SpringHill Suites By Marriott Grand Rapids West</t>
  </si>
  <si>
    <t>Courtyard By Marriott Austin Airport</t>
  </si>
  <si>
    <t>Fairfield Inn &amp; Suites Chicago St. Charles</t>
  </si>
  <si>
    <t>Fairfield Inn &amp; Suites Dallas Cedar Hill</t>
  </si>
  <si>
    <t>Courtyard By Marriott Houston I-10 West/Energy Corridor</t>
  </si>
  <si>
    <t>Fairfield Inn &amp; Suites Franklin Cool Springs</t>
  </si>
  <si>
    <t>SpringHill Suites By Marriott Baton Rouge Gonzales</t>
  </si>
  <si>
    <t>Fairfield Inn &amp; Suites Houston Intercontinental Airport</t>
  </si>
  <si>
    <t>SpringHill Suites By Marriott Phoenix Downtown</t>
  </si>
  <si>
    <t>Fairfield by Marriott Inn &amp; Suites Columbia Harbison</t>
  </si>
  <si>
    <t>Fairfield Inn &amp; Suites Nashville Smyrna</t>
  </si>
  <si>
    <t>Courtyard By Marriott Dallas Midlothian at Midlothian Conference Center</t>
  </si>
  <si>
    <t>Fairfield Inn &amp; Suites Birmingham Pelham</t>
  </si>
  <si>
    <t>Fairfield Inn &amp; Suites Flint Fenton</t>
  </si>
  <si>
    <t>Fairfield Inn &amp; Suites Washington</t>
  </si>
  <si>
    <t>Fairfield Inn &amp; Suites Portland North</t>
  </si>
  <si>
    <t>Courtyard By Marriott Houston I-10 West/Park Row</t>
  </si>
  <si>
    <t>Courtyard By Marriott Ann Arbor</t>
  </si>
  <si>
    <t>Fairfield Inn &amp; Suites Detroit Troy</t>
  </si>
  <si>
    <t>Fairfield Inn &amp; Suites Birmingham Fultondale/I-65</t>
  </si>
  <si>
    <t>AC Hotel Beverly Hills</t>
  </si>
  <si>
    <t>Courtyard By Marriott Morgantown</t>
  </si>
  <si>
    <t>Fairfield Inn By Marriott Corning Riverside</t>
  </si>
  <si>
    <t>Fairfield Inn &amp; Suites Denton</t>
  </si>
  <si>
    <t>Fairfield Inn &amp; Suites Kansas City Liberty</t>
  </si>
  <si>
    <t>Fairfield by Marriott Inn and Suites Augusta Fort Eisenhower Area</t>
  </si>
  <si>
    <t>Fairfield by Marriott Inn &amp; Suites Hartford North/Enfield</t>
  </si>
  <si>
    <t>Courtyard By Marriott Santa Monica</t>
  </si>
  <si>
    <t>Fairfield Inn &amp; Suites Princeton</t>
  </si>
  <si>
    <t>Courtyard By Marriott Los Angeles Monterey Park</t>
  </si>
  <si>
    <t>Fairfield Inn &amp; Suites Milledgeville</t>
  </si>
  <si>
    <t>Fairfield by Marriott Inn &amp; Suites Deerfield Beach Boca Raton</t>
  </si>
  <si>
    <t>Fairfield Inn &amp; Suites Meridian</t>
  </si>
  <si>
    <t>Fairfield Inn &amp; Suites Monaca</t>
  </si>
  <si>
    <t>Fairfield Inn &amp; Suites New Bedford</t>
  </si>
  <si>
    <t>Courtyard By Marriott Pensacola</t>
  </si>
  <si>
    <t>Fairfield by Marriott Inn &amp; Suites Helen</t>
  </si>
  <si>
    <t>Fairfield Inn &amp; Suites Burlington</t>
  </si>
  <si>
    <t>Courtyard By Marriott Los Angeles LAX/Century Boulevard</t>
  </si>
  <si>
    <t>Fairfield Inn &amp; Suites Virginia Beach Oceanfront</t>
  </si>
  <si>
    <t>Courtyard By Marriott Edgewater NYC Area</t>
  </si>
  <si>
    <t>Courtyard By Marriott Topeka</t>
  </si>
  <si>
    <t>Fairfield Inn &amp; Suites Wilkes-Barre Scranton</t>
  </si>
  <si>
    <t>Fairfield Inn &amp; Suites Pleasanton</t>
  </si>
  <si>
    <t>Fairfield Inn &amp; Suites Houston Pasadena</t>
  </si>
  <si>
    <t>Fairfield Inn &amp; Suites Cordele</t>
  </si>
  <si>
    <t>Fairfield Inn &amp; Suites Madison West/Middleton</t>
  </si>
  <si>
    <t>Courtyard By Marriott Niagara Falls, USA</t>
  </si>
  <si>
    <t>Fairfield Inn &amp; Suites Midland</t>
  </si>
  <si>
    <t>Fairfield Inn &amp; Suites Chicago Lombard</t>
  </si>
  <si>
    <t>Fairfield Inn &amp; Suites Wichita Downtown</t>
  </si>
  <si>
    <t>SpringHill Suites By Marriott Frankenmuth</t>
  </si>
  <si>
    <t>Fairfield Inn By Marriott Philadelphia Airport</t>
  </si>
  <si>
    <t>Courtyard By Marriott Washington, DC/U.S. Capitol</t>
  </si>
  <si>
    <t>Courtyard By Marriott Toronto Mississauga/Meadowvale</t>
  </si>
  <si>
    <t>SpringHill Suites By Marriott Somerset Franklin Township</t>
  </si>
  <si>
    <t>SpringHill Suites by Marriott Roanoke North</t>
  </si>
  <si>
    <t>Courtyard By Marriott Raleigh Cary/Parkside Town Commons</t>
  </si>
  <si>
    <t>AC Hotel Pittsburgh Downtown</t>
  </si>
  <si>
    <t>Fairfield by Marriott Inn &amp; Suites Pensacola Pine Forest</t>
  </si>
  <si>
    <t>SpringHill Suites By Marriott Mishawaka-University Area</t>
  </si>
  <si>
    <t>Fairfield Inn &amp; Suites Barrie</t>
  </si>
  <si>
    <t>SpringHill Suites By Marriott Tampa Suncoast Parkway</t>
  </si>
  <si>
    <t>SpringHill Suites By Marriott Louisville Downtown</t>
  </si>
  <si>
    <t>Fairfield Inn &amp; Suites Philadelphia Valley Forge/Great Valley</t>
  </si>
  <si>
    <t>AC Hotel St. Petersburg Downtown</t>
  </si>
  <si>
    <t>Courtyard By Marriott Fayetteville Fort Liberty/Spring Lake</t>
  </si>
  <si>
    <t>Fairfield Inn &amp; Suites Kingsport</t>
  </si>
  <si>
    <t>Fairfield Inn &amp; Suites Toronto Airport</t>
  </si>
  <si>
    <t>Courtyard By Marriott Tysons McLean</t>
  </si>
  <si>
    <t>Fairfield Inn By Marriott Toronto Oakville</t>
  </si>
  <si>
    <t>Courtyard By Marriott Louisville Downtown</t>
  </si>
  <si>
    <t>Fairfield Inn &amp; Suites Knoxville East</t>
  </si>
  <si>
    <t>Courtyard By Marriott Pittsburgh Greensburg</t>
  </si>
  <si>
    <t>AC Hotel Washington DC Convention Center</t>
  </si>
  <si>
    <t>Fairfield Inn By Marriott Tallahassee North/I-10</t>
  </si>
  <si>
    <t>Fairfield Inn &amp; Suites Calhoun</t>
  </si>
  <si>
    <t>Fairfield Inn &amp; Suites Abingdon</t>
  </si>
  <si>
    <t>Courtyard By Marriott Tampa North/I-75 Fletcher</t>
  </si>
  <si>
    <t>Fairfield Inn &amp; Suites High Point Archdale</t>
  </si>
  <si>
    <t>Courtyard By Marriott Blacksburg</t>
  </si>
  <si>
    <t>Fairfield Inn &amp; Suites Tampa Wesley Chapel</t>
  </si>
  <si>
    <t>Fairfield Inn &amp; Suites Detroit Metro Airport Romulus</t>
  </si>
  <si>
    <t>Fairfield Inn &amp; Suites Sault Ste. Marie</t>
  </si>
  <si>
    <t>Courtyard By Marriott Elkhart</t>
  </si>
  <si>
    <t>Courtyard By Marriott Toronto Vaughan</t>
  </si>
  <si>
    <t>SpringHill Suites By Marriott Dayton Beavercreek</t>
  </si>
  <si>
    <t>Fairfield Inn &amp; Suites Richmond Midlothian</t>
  </si>
  <si>
    <t>Fairfield Inn &amp; Suites Mebane</t>
  </si>
  <si>
    <t>Fairfield Inn &amp; Suites Louisville Shepherdsville</t>
  </si>
  <si>
    <t>Fairfield Inn &amp; Suites Louisville Downtown</t>
  </si>
  <si>
    <t>Courtyard By Marriott Houston Kingwood</t>
  </si>
  <si>
    <t>Courtyard by Marriott Pensacola I-10 West</t>
  </si>
  <si>
    <t>Fairfield Inn &amp; Suites Elmira Corning</t>
  </si>
  <si>
    <t>SpringHill Suites By Marriott Newark Liberty International Airport</t>
  </si>
  <si>
    <t>Fairfield by Marriott Inn &amp; Suites Knoxville Airport Alcoa</t>
  </si>
  <si>
    <t>SpringHill Suites By Marriott Richmond Northwest</t>
  </si>
  <si>
    <t>Courtyard By Marriott Salina</t>
  </si>
  <si>
    <t>Aloft El Dorado Hills</t>
  </si>
  <si>
    <t>Fairfield by Marriott Inn &amp; Suites Los Lunas</t>
  </si>
  <si>
    <t>AC Hotel Denver RiNo</t>
  </si>
  <si>
    <t>AC Hotel McKinney</t>
  </si>
  <si>
    <t>Fairfield by Marriott Inn &amp; Suites York</t>
  </si>
  <si>
    <t>Fairfield by Marriott Inn &amp; Suites Lebanon</t>
  </si>
  <si>
    <t>Fairfield by Marriott Inn &amp; Suites Sidney</t>
  </si>
  <si>
    <t>Moxy Ottawa Downtown</t>
  </si>
  <si>
    <t>Fairfield by Marriott Inn &amp; Suites Stoughton</t>
  </si>
  <si>
    <t>SpringHill Suites by Marriott Sandusky</t>
  </si>
  <si>
    <t>Fairfield by Marriott Inn &amp; Suites Bradford</t>
  </si>
  <si>
    <t>Fairfield by Marriott Inn &amp; Suites Morrow</t>
  </si>
  <si>
    <t>Four Points by Sheraton Savannah Airport</t>
  </si>
  <si>
    <t>Fairfield by Marriott Inn &amp; Suites Detroit Sterling Heights</t>
  </si>
  <si>
    <t>Host Name</t>
  </si>
  <si>
    <t>Comtrol Version</t>
  </si>
  <si>
    <t>Property Version</t>
  </si>
  <si>
    <t>prod-26</t>
  </si>
  <si>
    <t>-</t>
  </si>
  <si>
    <t>prod-25</t>
  </si>
  <si>
    <t>prod-24</t>
  </si>
  <si>
    <t>prod-23</t>
  </si>
  <si>
    <t>prod-22</t>
  </si>
  <si>
    <t>prod-21</t>
  </si>
  <si>
    <t>prod-20</t>
  </si>
  <si>
    <t>prod-19</t>
  </si>
  <si>
    <t>prod-18</t>
  </si>
  <si>
    <t>prod-17</t>
  </si>
  <si>
    <t>prod-16</t>
  </si>
  <si>
    <t>prod-15</t>
  </si>
  <si>
    <t>prod-14</t>
  </si>
  <si>
    <t>prod-13</t>
  </si>
  <si>
    <t>prod-12</t>
  </si>
  <si>
    <t>prod-11</t>
  </si>
  <si>
    <t>prod-10</t>
  </si>
  <si>
    <t>prod-9</t>
  </si>
  <si>
    <t>prod-8</t>
  </si>
  <si>
    <t>prod-7</t>
  </si>
  <si>
    <t>prod-6</t>
  </si>
  <si>
    <t>prod-5</t>
  </si>
  <si>
    <t>prod-4</t>
  </si>
  <si>
    <t>prod-3</t>
  </si>
  <si>
    <t>prod-2</t>
  </si>
  <si>
    <t>AQACY</t>
  </si>
  <si>
    <t>prod-1</t>
  </si>
  <si>
    <t>Tenant Id</t>
  </si>
  <si>
    <t>Property Id</t>
  </si>
  <si>
    <t>PILOT/BETA TENANTID LIST</t>
  </si>
  <si>
    <t>['100037','100041','100043','100047','100053','100057','100059','100067','100069','100073','100075','100077','200009','200013','200015','200021','200033','200039','200041','200043','100031','100029','100035','100033','100027']</t>
  </si>
  <si>
    <t>Wave 1 (19) - Westus</t>
  </si>
  <si>
    <t>["200031","200017","200037","200029","200035","200011","200027","200023","200019","200025","200065","200067","200045","200047","200049","200051","200055","200075","200087"]</t>
  </si>
  <si>
    <t>ADM053</t>
  </si>
  <si>
    <t>ADM81</t>
  </si>
  <si>
    <t>Wave 1 (31) - Eastus</t>
  </si>
  <si>
    <t>["100039","100045","100049","100051","100055","100061","100063","100065","100071","100079","100081","100083","100085","100087","100091","100097","100103","100107","100119","100125","100127","100171","100129","100143","100147","100153","100157","100167","100175","100193","100195"]</t>
  </si>
  <si>
    <t>adm99</t>
  </si>
  <si>
    <t>GOLDEN</t>
  </si>
  <si>
    <t>VPT</t>
  </si>
  <si>
    <t>MFMGT</t>
  </si>
  <si>
    <t>TEST</t>
  </si>
  <si>
    <t>ZZZZB</t>
  </si>
  <si>
    <t>propertyCode</t>
  </si>
  <si>
    <t>tenantId</t>
  </si>
  <si>
    <t>propertyName</t>
  </si>
  <si>
    <t>propertyId</t>
  </si>
  <si>
    <t>Fleet Management Tenant</t>
  </si>
  <si>
    <t>PMSAlpha FOSSE Property 1</t>
  </si>
  <si>
    <t>SpringHill Suites By Marriott Pittsburgh Southside Works</t>
  </si>
  <si>
    <t>SpringHill Suites By Marriott Columbia Downtown/The Vista</t>
  </si>
  <si>
    <t>SpringHill Suites by Marriott Baltimore Downtown Convention Center Area</t>
  </si>
  <si>
    <t>Fairfield by Marriott Inn &amp; Suites Chicago O'Hare</t>
  </si>
  <si>
    <t>Courtyard By Marriott Albany Troy/Waterfront</t>
  </si>
  <si>
    <t>Courtyard By Marriott Bismarck North</t>
  </si>
  <si>
    <t>Moxy Minneapolis Uptown</t>
  </si>
  <si>
    <t>AC Hotel Bozeman Downtown</t>
  </si>
  <si>
    <t>Courtyard By Marriott Toronto Airport</t>
  </si>
  <si>
    <t>Fairfield by Marriott Inn &amp; Suites North Bay</t>
  </si>
  <si>
    <t>Fairfield Inn &amp; Suites Sudbury</t>
  </si>
  <si>
    <t>SpringHill Suites By Marriott Alexandria</t>
  </si>
  <si>
    <t>Fairfield Inn &amp; Suites Lakeland Plant City</t>
  </si>
  <si>
    <t>Fairfield Inn &amp; Suites Titusville Kennedy Space Center</t>
  </si>
  <si>
    <t>Fairfield by Marriott Inn &amp; Suites Orillia</t>
  </si>
  <si>
    <t>Courtyard By Marriott Indianapolis Plainfield</t>
  </si>
  <si>
    <t>Courtyard By Marriott Niagara Falls</t>
  </si>
  <si>
    <t>SpringHill Suites By Marriott Cheraw</t>
  </si>
  <si>
    <t>Fairfield Inn &amp; Suites Cincinnati Uptown/University Area</t>
  </si>
  <si>
    <t>SpringHill Suites By Marriott Athens West</t>
  </si>
  <si>
    <t>Courtyard By Marriott Asheville Airport</t>
  </si>
  <si>
    <t>Courtyard By Marriott Kalamazoo Portage</t>
  </si>
  <si>
    <t>Fairfield Inn &amp; Suites Nashville Airport</t>
  </si>
  <si>
    <t>Moxy Nashville Downtown</t>
  </si>
  <si>
    <t>Fairfield Inn By Marriott Burlington Williston</t>
  </si>
  <si>
    <t>Fairfield by Marriott Inn &amp; Suites Aberdeen, MD</t>
  </si>
  <si>
    <t>Courtyard By Marriott Akron Stow</t>
  </si>
  <si>
    <t>Fairfield Inn &amp; Suites Charlottesville North</t>
  </si>
  <si>
    <t>SpringHill Suites By Marriott Cleveland Solon</t>
  </si>
  <si>
    <t>Fairfield by Marriott Inn &amp; Suites Charlotte Monroe</t>
  </si>
  <si>
    <t>Courtyard By Marriott Boston Littleton</t>
  </si>
  <si>
    <t>Fairfield Inn &amp; Suites Lexington East/I-75</t>
  </si>
  <si>
    <t>Courtyard by Marriott Asheville Biltmore Village</t>
  </si>
  <si>
    <t>Courtyard By Marriott Bowie</t>
  </si>
  <si>
    <t>Fairfield by Marriott Inn &amp; Suites Savannah I-95 North</t>
  </si>
  <si>
    <t>Fairfield Inn &amp; Suites Anderson</t>
  </si>
  <si>
    <t>SpringHill Suites By Marriott Athens Downtown/University Area</t>
  </si>
  <si>
    <t>Fairfield Inn &amp; Suites Palm Coast I-95</t>
  </si>
  <si>
    <t>Fairfield Inn &amp; Suites Pittsburgh North/McCandless Crossing</t>
  </si>
  <si>
    <t>SpringHill Suites By Marriott Chattanooga North/Ooltewah</t>
  </si>
  <si>
    <t>Fairfield Inn &amp; Suites Albany</t>
  </si>
  <si>
    <t>SpringHill Suites By Marriott Bloomington</t>
  </si>
  <si>
    <t>Fairfield Inn &amp; Suites Gainesville</t>
  </si>
  <si>
    <t>Fairfield Inn &amp; Suites Charleston Airport/Convention Center</t>
  </si>
  <si>
    <t>Courtyard By Marriott Virginia Beach Oceanfront/South</t>
  </si>
  <si>
    <t>Courtyard By Marriott Cleveland Airport South</t>
  </si>
  <si>
    <t>Fairfield Inn &amp; Suites Bedford</t>
  </si>
  <si>
    <t>Courtyard By Marriott Potomac Mills Woodbridge</t>
  </si>
  <si>
    <t>Fairfield Inn &amp; Suites Jasper</t>
  </si>
  <si>
    <t>Fairfield Inn &amp; Suites Albany Airport</t>
  </si>
  <si>
    <t>Fairfield Inn &amp; Suites Baltimore BWI Airport</t>
  </si>
  <si>
    <t>Fairfield Inn &amp; Suites Augusta Washington Rd./I-20</t>
  </si>
  <si>
    <t>SpringHill Suites By Marriott Columbia Fort Meade Area</t>
  </si>
  <si>
    <t>Courtyard By Marriott Charlotte Fort Mill, SC</t>
  </si>
  <si>
    <t>Fairfield Inn &amp; Suites Atlantic City Absecon</t>
  </si>
  <si>
    <t>SpringHill Suites By Marriott Dulles Airport</t>
  </si>
  <si>
    <t>SpringHill Suites by Marriott Suwanee Johns Creek</t>
  </si>
  <si>
    <t>Fairfield Inn &amp; Suites Winston-Salem Hanes Mall</t>
  </si>
  <si>
    <t>Fairfield by Marriott Inn &amp; Suites Columbia Downtown</t>
  </si>
  <si>
    <t>Fairfield Inn By Marriott Binghamton</t>
  </si>
  <si>
    <t>Fairfield by Marriott Inn &amp; Suites Tampa Riverview</t>
  </si>
  <si>
    <t>Fairfield by Marriott Inn &amp; Suites Charlotte University Research Park</t>
  </si>
  <si>
    <t>Fairfield Inn &amp; Suites Lexington North</t>
  </si>
  <si>
    <t>Fairfield Inn &amp; Suites Shelby</t>
  </si>
  <si>
    <t>Courtyard By Marriott Albany Thruway</t>
  </si>
  <si>
    <t>Fairfield by Marriott Inn &amp; Suites Cincinnati Airport South/Florence</t>
  </si>
  <si>
    <t>SpringHill Suites By Marriott Baltimore Downtown/Inner Harbor</t>
  </si>
  <si>
    <t>Fairfield Inn &amp; Suites Plymouth</t>
  </si>
  <si>
    <t>SpringHill Suites By Marriott Nashville Brentwood</t>
  </si>
  <si>
    <t>Courtyard By Marriott Vicksburg</t>
  </si>
  <si>
    <t>SpringHill Suites By Marriott Birmingham Gardendale</t>
  </si>
  <si>
    <t>Fairfield Inn &amp; Suites Northfield</t>
  </si>
  <si>
    <t>SpringHill Suites By Marriott Birmingham Colonnade/Grandview</t>
  </si>
  <si>
    <t>SpringHill Suites by Marriott Franklin Mint</t>
  </si>
  <si>
    <t>Fairfield Inn &amp; Suites Chicago Southeast/Hammond, IN</t>
  </si>
  <si>
    <t>Fairfield Inn &amp; Suites Gadsden</t>
  </si>
  <si>
    <t>Fairfield Inn &amp; Suites Duluth</t>
  </si>
  <si>
    <t>Fairfield by Marriott Inn &amp; Suites Livingston Yellowstone</t>
  </si>
  <si>
    <t>Fairfield by Marriott Inn &amp; Suites Clear Lake</t>
  </si>
  <si>
    <t>Courtyard By Marriott Appleton Riverfront</t>
  </si>
  <si>
    <t>Courtyard By Marriott Omaha East/Council Bluffs, IA</t>
  </si>
  <si>
    <t>SpringHill Suites By Marriott Ames</t>
  </si>
  <si>
    <t>Courtyard By Marriott St. John's Newfoundland</t>
  </si>
  <si>
    <t>Fairfield Inn &amp; Suites St. John's Newfoundland</t>
  </si>
  <si>
    <t>Moxy Halifax Downtown</t>
  </si>
  <si>
    <t>Courtyard By Marriott Halifax Downtown</t>
  </si>
  <si>
    <t>Fairfield by Marriott Inn &amp; Suites Rochester Hills</t>
  </si>
  <si>
    <t>SpringHill Suites By Marriott Lumberton</t>
  </si>
  <si>
    <t>Fairfield Inn &amp; Suites Cape Cod Hyannis</t>
  </si>
  <si>
    <t>SpringHill Suites By Marriott Chesapeake Greenbrier</t>
  </si>
  <si>
    <t>Fairfield by Marriott Inn &amp; Suites Lebanon Near Expo Center</t>
  </si>
  <si>
    <t>Fairfield Inn &amp; Suites St. Petersburg Clearwater</t>
  </si>
  <si>
    <t>Courtyard By Marriott Fishkill</t>
  </si>
  <si>
    <t>Fairfield by Marriott Inn &amp; Suites Queensbury Glens Falls/Lake George Area</t>
  </si>
  <si>
    <t>Courtyard By Marriott Waterloo St. Jacobs</t>
  </si>
  <si>
    <t>SpringHill Suites by Marriott Columbia near Fort Jackson</t>
  </si>
  <si>
    <t>Fairfield Inn &amp; Suites Holiday Tarpon Springs</t>
  </si>
  <si>
    <t>Courtyard By Marriott Long Island MacArthur Airport</t>
  </si>
  <si>
    <t>AC Hotel Fort Lauderdale Beach</t>
  </si>
  <si>
    <t>Fairfield by Marriott Inn &amp; Suites Marathon Florida Keys</t>
  </si>
  <si>
    <t>Fairfield Inn &amp; Suites Harrisonburg</t>
  </si>
  <si>
    <t>SpringHill Suites By Marriott Boca Raton</t>
  </si>
  <si>
    <t>Courtyard By Marriott Hilton Head Island</t>
  </si>
  <si>
    <t>Courtyard By Marriott Providence Lincoln</t>
  </si>
  <si>
    <t>Fairfield Inn &amp; Suites Ocean City</t>
  </si>
  <si>
    <t>Fairfield by Marriott Inn &amp; Suites Cape Coral/North Fort Myers</t>
  </si>
  <si>
    <t>Fairfield Inn &amp; Suites Youngstown Austintown</t>
  </si>
  <si>
    <t>SpringHill Suites By Marriott Florence</t>
  </si>
  <si>
    <t>SpringHill Suites By Marriott Lynchburg Airport/University Area</t>
  </si>
  <si>
    <t>Fairfield Inn &amp; Suites Morgantown</t>
  </si>
  <si>
    <t>Courtyard By Marriott Kitchener</t>
  </si>
  <si>
    <t>Fairfield Inn &amp; Suites Baltimore White Marsh</t>
  </si>
  <si>
    <t>Courtyard By Marriott Hickory</t>
  </si>
  <si>
    <t>Fairfield by Marriott Inn &amp; Suites Wallingford New Haven</t>
  </si>
  <si>
    <t>Fairfield by Marriott Inn &amp; Suites Orlando at Millenia</t>
  </si>
  <si>
    <t>Fairfield Inn &amp; Suites Cherokee</t>
  </si>
  <si>
    <t>Fairfield Inn &amp; Suites Stony Creek</t>
  </si>
  <si>
    <t>Fairfield by Marriott Inn &amp; Suites Portland Maine Airport</t>
  </si>
  <si>
    <t>Fairfield Inn &amp; Suites Tampa North</t>
  </si>
  <si>
    <t>SpringHill Suites By Marriott Toronto Vaughan</t>
  </si>
  <si>
    <t>Fairfield Inn &amp; Suites Asheville Tunnel Road</t>
  </si>
  <si>
    <t>Courtyard By Marriott Holland Downtown</t>
  </si>
  <si>
    <t>AC Hotel Durham</t>
  </si>
  <si>
    <t>Fairfield Inn &amp; Suites Clearwater</t>
  </si>
  <si>
    <t>SpringHill Suites by Marriott Beaufort</t>
  </si>
  <si>
    <t>Courtyard By Marriott Rochester Downtown</t>
  </si>
  <si>
    <t>Courtyard By Marriott Hershey Chocolate Avenue</t>
  </si>
  <si>
    <t>Moxy Columbus Short North</t>
  </si>
  <si>
    <t>Courtyard By Marriott Pittsburgh Monroeville</t>
  </si>
  <si>
    <t>SpringHill Suites By Marriott Erie</t>
  </si>
  <si>
    <t>Fairfield Inn &amp; Suites Cincinnati Eastgate</t>
  </si>
  <si>
    <t>Fairfield Inn &amp; Suites Delray Beach I-95</t>
  </si>
  <si>
    <t>Fairfield by Marriott Inn &amp; Suites Newport Cincinnati</t>
  </si>
  <si>
    <t>AC Hotel Chapel Hill Downtown</t>
  </si>
  <si>
    <t>Fairfield by Marriott Inn &amp; Suites Plymouth White Mountains</t>
  </si>
  <si>
    <t>SpringHill Suites By Marriott Hershey Near the Park</t>
  </si>
  <si>
    <t>Fairfield Inn &amp; Suites Wheeling-St. Clairsville, OH</t>
  </si>
  <si>
    <t>Courtyard By Marriott Springfield</t>
  </si>
  <si>
    <t>Courtyard By Marriott Fort Lauderdale SW/Miramar</t>
  </si>
  <si>
    <t>Fairfield by Marriott Inn &amp; Suites Melbourne West/Palm Bay</t>
  </si>
  <si>
    <t>Fairfield by Marriott Inn &amp; Suites Goshen Middletown</t>
  </si>
  <si>
    <t>SpringHill Suites by Marriott Charlotte City Center</t>
  </si>
  <si>
    <t>Fairfield by Marriott Inn &amp; Suites Rome</t>
  </si>
  <si>
    <t>SpringHill Suites By Marriott Charlotte Concord Mills/Speedway</t>
  </si>
  <si>
    <t>Courtyard by Marriott Oceanside Fort Lauderdale Beach</t>
  </si>
  <si>
    <t>Courtyard By Marriott Naples</t>
  </si>
  <si>
    <t>Courtyard By Marriott Fort Lauderdale North/Cypress Creek</t>
  </si>
  <si>
    <t>Fairfield Inn By Marriott Orangeburg</t>
  </si>
  <si>
    <t>Fairfield Inn &amp; Suites Statesville</t>
  </si>
  <si>
    <t>Fairfield Inn &amp; Suites South Kingstown Newport Area</t>
  </si>
  <si>
    <t>Fairfield Inn &amp; Suites Fort Pierce</t>
  </si>
  <si>
    <t>SpringHill Suites By Marriott Norfolk Virginia Beach</t>
  </si>
  <si>
    <t>Courtyard By Marriott Bay City</t>
  </si>
  <si>
    <t>Fairfield Inn &amp; Suites Fort Lauderdale Downtown/Las Olas</t>
  </si>
  <si>
    <t>Courtyard By Marriott Wilmington Brandywine</t>
  </si>
  <si>
    <t>SpringHill Suites by Marriott Charlotte Airport Lake Pointe</t>
  </si>
  <si>
    <t>SpringHill Suites By Marriott Terre Haute</t>
  </si>
  <si>
    <t>SpringHill Suites By Marriott Raleigh Apex</t>
  </si>
  <si>
    <t>Fairfield by Marriott Inn &amp; Suites Fort Lauderdale Northwest</t>
  </si>
  <si>
    <t>Courtyard By Marriott Indianapolis West-Speedway</t>
  </si>
  <si>
    <t>SpringHill Suites By Marriott Fort Lauderdale Airport &amp; Cruise Port</t>
  </si>
  <si>
    <t>Fairfield Inn &amp; Suites Harrisburg West/Mechanicsburg</t>
  </si>
  <si>
    <t>AC Hotel Columbus Dublin</t>
  </si>
  <si>
    <t>Fairfield Inn &amp; Suites Indianapolis Fishers</t>
  </si>
  <si>
    <t>Courtyard By Marriott Princeton</t>
  </si>
  <si>
    <t>Fairfield Inn &amp; Suites Charleston North/Ashley Phosphate</t>
  </si>
  <si>
    <t>Courtyard By Marriott Fort Lauderdale Coral Springs</t>
  </si>
  <si>
    <t>SpringHill Suites by Marriott Kalamazoo Portage</t>
  </si>
  <si>
    <t>SpringHill Suites By Marriott Fort Myers Estero</t>
  </si>
  <si>
    <t>Fairfield Inn &amp; Suites Akron Fairlawn</t>
  </si>
  <si>
    <t>Fairfield Inn &amp; Suites Fort Lauderdale Airport &amp; Cruise Port</t>
  </si>
  <si>
    <t>Courtyard By Marriott Starkville MSU at The Mill Conference Center</t>
  </si>
  <si>
    <t>SpringHill Suites By Marriott Montgomery Downtown</t>
  </si>
  <si>
    <t>Fairfield Inn &amp; Suites Alexandria</t>
  </si>
  <si>
    <t>Courtyard By Marriott St. Cloud</t>
  </si>
  <si>
    <t>Fairfield Inn &amp; Suites Rochester Mayo Clinic Area/Saint Marys</t>
  </si>
  <si>
    <t>Fairfield Inn &amp; Suites Des Moines West</t>
  </si>
  <si>
    <t>Courtyard By Marriott La Crosse Downtown/Mississippi Riverfront</t>
  </si>
  <si>
    <t>Courtyard By Marriott St. Paul Woodbury</t>
  </si>
  <si>
    <t>Courtyard by Marriott Bettendorf</t>
  </si>
  <si>
    <t>Courtyard By Marriott Birmingham Trussville</t>
  </si>
  <si>
    <t>Fairfield by Marriott Inn &amp; Suites Southaven Snowden Grove</t>
  </si>
  <si>
    <t>Fairfield Inn &amp; Suites Minneapolis North/Blaine</t>
  </si>
  <si>
    <t>SpringHill Suites By Marriott Gulfport I-10</t>
  </si>
  <si>
    <t>Fairfield Inn &amp; Suites Minneapolis St. Paul/Roseville</t>
  </si>
  <si>
    <t>Courtyard By Marriott Paducah</t>
  </si>
  <si>
    <t>Courtyard By Marriott Memphis Germantown</t>
  </si>
  <si>
    <t>SpringHill Suites By Marriott Des Moines West</t>
  </si>
  <si>
    <t>Fairfield Inn &amp; Suites Milwaukee West</t>
  </si>
  <si>
    <t>Fairfield Inn &amp; Suites Panama City Beach</t>
  </si>
  <si>
    <t>Fairfield Inn &amp; Suites Sioux Falls Airport</t>
  </si>
  <si>
    <t>Fairfield Inn &amp; Suites Kenosha Pleasant Prairie</t>
  </si>
  <si>
    <t>Courtyard By Marriott Mobile</t>
  </si>
  <si>
    <t>Courtyard By Marriott Owensboro</t>
  </si>
  <si>
    <t>Fairfield by Marriott Inn &amp; Suites Decatur</t>
  </si>
  <si>
    <t>Fairfield by Marriott Inn &amp; Suites Sheboygan</t>
  </si>
  <si>
    <t>Fairfield Inn By Marriott Scranton</t>
  </si>
  <si>
    <t>Courtyard By Marriott Kingston Highway 401/Division Street</t>
  </si>
  <si>
    <t>Fairfield Inn &amp; Suites Louisville East</t>
  </si>
  <si>
    <t>Fairfield Inn &amp; Suites Moncton</t>
  </si>
  <si>
    <t>Courtyard By Marriott Statesville Mooresville/Lake Norman</t>
  </si>
  <si>
    <t>SRQSH</t>
  </si>
  <si>
    <t>SpringHill Suites By Marriott Sarasota Bradenton</t>
  </si>
  <si>
    <t>Courtyard By Marriott Keene Downtown</t>
  </si>
  <si>
    <t>Fairfield Inn &amp; Suites Indianapolis Carmel</t>
  </si>
  <si>
    <t>Fairfield Inn &amp; Suites Lumberton</t>
  </si>
  <si>
    <t>Fairfield Inn &amp; Suites Christiansburg</t>
  </si>
  <si>
    <t>Courtyard By Marriott Dulles Airport Herndon</t>
  </si>
  <si>
    <t>SpringHill Suites By Marriott Columbus OSU</t>
  </si>
  <si>
    <t>Courtyard By Marriott Springfield Downtown</t>
  </si>
  <si>
    <t>Fairfield Inn &amp; Suites Goshen</t>
  </si>
  <si>
    <t>SpringHill Suites By Marriott Dayton Vandalia</t>
  </si>
  <si>
    <t>Courtyard By Marriott Charlotte Gastonia</t>
  </si>
  <si>
    <t>Fairfield Inn By Marriott Richmond Chester</t>
  </si>
  <si>
    <t>Courtyard By Marriott Cincinnati Downtown</t>
  </si>
  <si>
    <t>Courtyard By Marriott Cincinnati Airport</t>
  </si>
  <si>
    <t>Fairfield by Marriott Inn &amp; Suites Asheville Outlets</t>
  </si>
  <si>
    <t>Fairfield Inn &amp; Suites Slippery Rock</t>
  </si>
  <si>
    <t>Fairfield Inn &amp; Suites Dublin</t>
  </si>
  <si>
    <t>Fairfield Inn &amp; Suites Charlotte Pineville</t>
  </si>
  <si>
    <t>SpringHill Suites By Marriott St. Petersburg Clearwater</t>
  </si>
  <si>
    <t>Courtyard By Marriott New Bern</t>
  </si>
  <si>
    <t>Fairfield by Marriott Inn &amp; Suites Cortland</t>
  </si>
  <si>
    <t>Courtyard By Marriott Schenectady at Mohawk Harbor</t>
  </si>
  <si>
    <t>Courtyard By Marriott Greenville-Spartanburg Airport</t>
  </si>
  <si>
    <t>Fairfield Inn By Marriott Orlando Airport</t>
  </si>
  <si>
    <t>Courtyard By Marriott Jacksonville Flagler Center</t>
  </si>
  <si>
    <t>Fairfield Inn &amp; Suites Columbus Grove City</t>
  </si>
  <si>
    <t>SpringHill Suites By Marriott State College</t>
  </si>
  <si>
    <t>Fairfield by Marriott Inn &amp; Suites Shelbyville</t>
  </si>
  <si>
    <t>Fairfield Inn &amp; Suites Key West</t>
  </si>
  <si>
    <t>Fairfield Inn &amp; Suites Medina</t>
  </si>
  <si>
    <t>Fairfield by Marriott Inn &amp; Suites Seneca Clemson Univ Area</t>
  </si>
  <si>
    <t>Courtyard By Marriott Wilmington Downtown/Historic District</t>
  </si>
  <si>
    <t>SpringHill Suites By Marriott Carle Place Garden City</t>
  </si>
  <si>
    <t>SpringHill Suites By Marriott Canton</t>
  </si>
  <si>
    <t>Fairfield Inn &amp; Suites State College</t>
  </si>
  <si>
    <t>Fairfield Inn &amp; Suites Lansing West</t>
  </si>
  <si>
    <t>Courtyard by Marriott Sarasota at University Town Center</t>
  </si>
  <si>
    <t>Fairfield Inn &amp; Suites Detroit Livonia</t>
  </si>
  <si>
    <t>Courtyard By Marriott Lakeland</t>
  </si>
  <si>
    <t>Fairfield Inn &amp; Suites Port Clinton Waterfront</t>
  </si>
  <si>
    <t>Courtyard By Marriott Charlotte Lake Norman</t>
  </si>
  <si>
    <t>Courtyard By Marriott Newport News Airport</t>
  </si>
  <si>
    <t>SpringHill Suites By Marriott Fairfax Fair Oaks</t>
  </si>
  <si>
    <t>Courtyard By Marriott Hamilton</t>
  </si>
  <si>
    <t>Courtyard By Marriott Rock Hill</t>
  </si>
  <si>
    <t>Fairfield Inn &amp; Suites Asheville Airport/Fletcher</t>
  </si>
  <si>
    <t>Fairfield by Marriott Inn &amp; Suites Greenville Spartanburg/Duncan</t>
  </si>
  <si>
    <t>Fairfield Inn &amp; Suites Lansing at Eastwood</t>
  </si>
  <si>
    <t>SpringHill Suites By Marriott Tampa Westshore/Airport</t>
  </si>
  <si>
    <t>Courtyard By Marriott Detroit Southfield</t>
  </si>
  <si>
    <t>Fairfield Inn &amp; Suites Sarasota Lakewood Ranch</t>
  </si>
  <si>
    <t>Fairfield Inn By Marriott Middletown Monroe</t>
  </si>
  <si>
    <t>Fairfield Inn &amp; Suites Harrisburg Hershey</t>
  </si>
  <si>
    <t>Courtyard By Marriott Jacksonville Orange Park</t>
  </si>
  <si>
    <t>Courtyard By Marriott Providence Downtown</t>
  </si>
  <si>
    <t>AC Hotel Raleigh Downtown</t>
  </si>
  <si>
    <t>Courtyard By Marriott St. Petersburg Downtown</t>
  </si>
  <si>
    <t>Fairfield Inn &amp; Suites Florence I-20</t>
  </si>
  <si>
    <t>Fairfield Inn &amp; Suites Boca Raton</t>
  </si>
  <si>
    <t>SpringHill Suites By Marriott Hampton</t>
  </si>
  <si>
    <t>Fairfield Inn By Marriott Charlotte Mooresville/Lake Norman</t>
  </si>
  <si>
    <t>Courtyard By Marriott Indianapolis Northwest</t>
  </si>
  <si>
    <t>Courtyard By Marriott Fort Lauderdale Downtown</t>
  </si>
  <si>
    <t>Courtyard By Marriott Cincinnati Mason</t>
  </si>
  <si>
    <t>Courtyard By Marriott Indianapolis South</t>
  </si>
  <si>
    <t>Fairfield Inn &amp; Suites Charlottesville Downtown/University Area</t>
  </si>
  <si>
    <t>Courtyard By Marriott Danbury</t>
  </si>
  <si>
    <t>SpringHill Suites by Marriott Durham City View</t>
  </si>
  <si>
    <t>SpringHill Suites By Marriott Providence West Warwick</t>
  </si>
  <si>
    <t>Fairfield Inn &amp; Suites Orlando International Drive/Convention Center</t>
  </si>
  <si>
    <t>Fairfield by Marriott Inn &amp; Suites Grand Rapids Wyoming</t>
  </si>
  <si>
    <t>Courtyard By Marriott Dayton-University of Dayton</t>
  </si>
  <si>
    <t>Fairfield Inn &amp; Suites Indianapolis East</t>
  </si>
  <si>
    <t>Courtyard By Marriott Greenville</t>
  </si>
  <si>
    <t>SpringHill Suites By Marriott Grand Rapids North</t>
  </si>
  <si>
    <t>Fairfield Inn &amp; Suites Detroit Farmington Hills</t>
  </si>
  <si>
    <t>Fairfield Inn &amp; Suites Canton</t>
  </si>
  <si>
    <t>Fairfield Inn &amp; Suites Germantown Gaithersburg</t>
  </si>
  <si>
    <t>Fairfield by Marriott Inn &amp; Suites Madison Historic Eagle Cotton Mill</t>
  </si>
  <si>
    <t>Fairfield Inn &amp; Suites Hendersonville Flat Rock</t>
  </si>
  <si>
    <t>SpringHill Suites By Marriott Potomac Mills Woodbridge</t>
  </si>
  <si>
    <t>Fairfield Inn &amp; Suites Indianapolis Northwest</t>
  </si>
  <si>
    <t>Fairfield Inn &amp; Suites Ocala</t>
  </si>
  <si>
    <t>Fairfield by Marriott Inn &amp; Suites Herndon Reston</t>
  </si>
  <si>
    <t>Fairfield by Marriott Inn &amp; Suites Mansfield</t>
  </si>
  <si>
    <t>Fairfield Inn &amp; Suites Charlotte Uptown</t>
  </si>
  <si>
    <t>Fairfield by Marriott Inn &amp; Suites Franklin</t>
  </si>
  <si>
    <t>Fairfield by Marriott Inn &amp; Suites Kokomo</t>
  </si>
  <si>
    <t>Fairfield Inn &amp; Suites Indianapolis Noblesville</t>
  </si>
  <si>
    <t>Fairfield Inn &amp; Suites Wilmington New Castle</t>
  </si>
  <si>
    <t>AC Hotel Grand Rapids Downtown</t>
  </si>
  <si>
    <t>Fairfield Inn &amp; Suites Detroit Chesterfield</t>
  </si>
  <si>
    <t>Courtyard By Marriott Norfolk Downtown</t>
  </si>
  <si>
    <t>Fairfield Inn &amp; Suites Indianapolis Plainfield</t>
  </si>
  <si>
    <t>Moxy Richmond Downtown</t>
  </si>
  <si>
    <t>Fairfield Inn &amp; Suites Asheboro</t>
  </si>
  <si>
    <t>Fairfield Inn &amp; Suites Dunn I-95</t>
  </si>
  <si>
    <t>Fairfield Inn By Marriott Fort Myers Cape Coral</t>
  </si>
  <si>
    <t>Fairfield Inn &amp; Suites Dayton North</t>
  </si>
  <si>
    <t>Fairfield Inn By Marriott Greensboro Airport</t>
  </si>
  <si>
    <t>SpringHill Suites By Marriott Pittsburgh Butler/Centre City</t>
  </si>
  <si>
    <t>Fairfield Inn &amp; Suites Auburn Opelika</t>
  </si>
  <si>
    <t>Fairfield Inn &amp; Suites Mobile Saraland</t>
  </si>
  <si>
    <t>Fairfield Inn &amp; Suites Memphis Southaven</t>
  </si>
  <si>
    <t>SpringHill Suites By Marriott Tuscaloosa</t>
  </si>
  <si>
    <t>Fairfield Inn &amp; Suites Madison East</t>
  </si>
  <si>
    <t>Courtyard By Marriott Minneapolis Downtown</t>
  </si>
  <si>
    <t>Fairfield Inn By Marriott Evansville West</t>
  </si>
  <si>
    <t>SpringHill Suites By Marriott Chicago Southeast/Munster, IN</t>
  </si>
  <si>
    <t>Courtyard By Marriott Madison East</t>
  </si>
  <si>
    <t>Courtyard By Marriott Auburn</t>
  </si>
  <si>
    <t>Fairfield Inn &amp; Suites Des Moines Downtown</t>
  </si>
  <si>
    <t>Fairfield Inn By Marriott Owensboro</t>
  </si>
  <si>
    <t>Fairfield by Marriott Inn &amp; Suites Oskaloosa</t>
  </si>
  <si>
    <t>Fairfield Inn &amp; Suites Duluth Waterfront</t>
  </si>
  <si>
    <t>Fairfield Inn &amp; Suites Crestview</t>
  </si>
  <si>
    <t>Fairfield Inn &amp; Suites Destin</t>
  </si>
  <si>
    <t>Fairfield Inn &amp; Suites Des Moines Altoona</t>
  </si>
  <si>
    <t>Fairfield Inn &amp; Suites Nashville at Opryland</t>
  </si>
  <si>
    <t>Fairfield Inn &amp; Suites Fort Walton Beach-Eglin AFB</t>
  </si>
  <si>
    <t>Courtyard By Marriott Nashville at Opryland</t>
  </si>
  <si>
    <t>SpringHill Suites By Marriott Nashville MetroCenter</t>
  </si>
  <si>
    <t>SpringHill Suites By Marriott Minneapolis-St. Paul Airport/Mall of America</t>
  </si>
  <si>
    <t>Courtyard By Marriott Gulf Shores Craft Farms</t>
  </si>
  <si>
    <t>Fairfield by Marriott Inn &amp; Suites Missoula Airport</t>
  </si>
  <si>
    <t>Courtyard By Marriott Nashville Vanderbilt/West End</t>
  </si>
  <si>
    <t>Moxy Chattanooga Downtown</t>
  </si>
  <si>
    <t>Fairfield Inn &amp; Suites Rockingham</t>
  </si>
  <si>
    <t>AC Hotel Greenville</t>
  </si>
  <si>
    <t>Fairfield Inn &amp; Suites Pittsburgh New Stanton</t>
  </si>
  <si>
    <t>Courtyard By Marriott Billings</t>
  </si>
  <si>
    <t>Fairfield Inn &amp; Suites Nashville Downtown/The Gulch</t>
  </si>
  <si>
    <t>Fairfield by Marriott Inn &amp; Suites Laurel</t>
  </si>
  <si>
    <t>Courtyard By Marriott Wausau</t>
  </si>
  <si>
    <t>Courtyard By Marriott Jackson Madison</t>
  </si>
  <si>
    <t>Fairfield Inn &amp; Suites Birmingham Bessemer</t>
  </si>
  <si>
    <t>Courtyard By Marriott Fargo</t>
  </si>
  <si>
    <t>Fairfield Inn &amp; Suites Detroit Lakes</t>
  </si>
  <si>
    <t>Fairfield Inn &amp; Suites Nashville Hendersonville</t>
  </si>
  <si>
    <t>Fairfield Inn &amp; Suites Wausau</t>
  </si>
  <si>
    <t>AC Hotel Des Moines East Village</t>
  </si>
  <si>
    <t>Courtyard By Marriott Atlanta Lithia Springs</t>
  </si>
  <si>
    <t>Courtyard By Marriott Cranbury South Brunswick</t>
  </si>
  <si>
    <t>Courtyard By Marriott Lexington South/Hamburg Place</t>
  </si>
  <si>
    <t>Courtyard By Marriott Harrisburg Hershey</t>
  </si>
  <si>
    <t>Fairfield Inn &amp; Suites Akron Stow</t>
  </si>
  <si>
    <t>Courtyard By Marriott Gatlinburg Downtown</t>
  </si>
  <si>
    <t>Courtyard By Marriott Amelia Island</t>
  </si>
  <si>
    <t>Courtyard By Marriott Columbia Cayce</t>
  </si>
  <si>
    <t>SpringHill Suites By Marriott Allentown Bethlehem/Center Valley</t>
  </si>
  <si>
    <t>Courtyard By Marriott Gettysburg</t>
  </si>
  <si>
    <t>Courtyard By Marriott Boston Downtown/North Station</t>
  </si>
  <si>
    <t>Fairfield Inn &amp; Suites Atlanta Lithia Springs</t>
  </si>
  <si>
    <t>Fairfield Inn &amp; Suites Atlanta Buford/Mall of Georgia</t>
  </si>
  <si>
    <t>SpringHill Suites by Marriott Fayetteville I 95</t>
  </si>
  <si>
    <t>Courtyard By Marriott Atlanta Buford/Mall of Georgia</t>
  </si>
  <si>
    <t>SpringHill Suites By Marriott Atlanta Six Flags</t>
  </si>
  <si>
    <t>SpringHill Suites By Marriott Atlanta Perimeter Center</t>
  </si>
  <si>
    <t>Courtyard By Marriott Muncie at Horizon Convention Center</t>
  </si>
  <si>
    <t>SpringHill Suites By Marriott Cincinnati Blue Ash</t>
  </si>
  <si>
    <t>Courtyard By Marriott Fort Wayne Downtown at Grand Wayne Convention Center</t>
  </si>
  <si>
    <t>Fairfield by Marriott Inn &amp; Suites Charlotte Belmont</t>
  </si>
  <si>
    <t>Courtyard By Marriott Salisbury</t>
  </si>
  <si>
    <t>Fairfield Inn &amp; Suites Huntington</t>
  </si>
  <si>
    <t>Fairfield Inn &amp; Suites Detroit Taylor</t>
  </si>
  <si>
    <t>Fairfield Inn &amp; Suites Atlanta Woodstock</t>
  </si>
  <si>
    <t>Fairfield by Marriott Inn &amp; Suites Alpharetta Avalon Area</t>
  </si>
  <si>
    <t>Courtyard By Marriott East Lansing Okemos</t>
  </si>
  <si>
    <t>Fairfield Inn &amp; Suites Atlanta Buckhead</t>
  </si>
  <si>
    <t>SpringHill Suites By Marriott Cincinnati Midtown</t>
  </si>
  <si>
    <t>SpringHill Suites By Marriott Albany-Colonie</t>
  </si>
  <si>
    <t>Courtyard By Marriott Boston Copley Square</t>
  </si>
  <si>
    <t>Courtyard By Marriott Columbus West/Hilliard</t>
  </si>
  <si>
    <t>Fairfield by Marriott Inn &amp; Suites Sandusky</t>
  </si>
  <si>
    <t>SpringHill Suites By Marriott East Lansing University Area</t>
  </si>
  <si>
    <t>SpringHill Suites By Marriott Charlotte Ballantyne</t>
  </si>
  <si>
    <t>Fairfield by Marriott Inn &amp; Suites Columbus Marysville</t>
  </si>
  <si>
    <t>Courtyard By Marriott Boone</t>
  </si>
  <si>
    <t>Fairfield Inn &amp; Suites Atlanta Fairburn</t>
  </si>
  <si>
    <t>SpringHill Suites By Marriott Wilmington Wrightsville Beach</t>
  </si>
  <si>
    <t>AC Hotel Asheville Downtown</t>
  </si>
  <si>
    <t>Fairfield Inn &amp; Suites Ann Arbor Ypsilanti</t>
  </si>
  <si>
    <t>Courtyard By Marriott Hartford Cromwell</t>
  </si>
  <si>
    <t>Fairfield Inn By Marriott New York JFK Airport</t>
  </si>
  <si>
    <t>Fairfield Inn &amp; Suites Atlanta Stockbridge</t>
  </si>
  <si>
    <t>Fairfield Inn &amp; Suites Gatlinburg Downtown</t>
  </si>
  <si>
    <t>Fairfield by Marriott Inn &amp; Suites Morganton Historic Downtown</t>
  </si>
  <si>
    <t>Moxy Charleston Downtown</t>
  </si>
  <si>
    <t>Courtyard by Marriott Charlotte Waverly</t>
  </si>
  <si>
    <t>Fairfield by Marriott Inn &amp; Suites Grand Rapids North</t>
  </si>
  <si>
    <t>Courtyard By Marriott Shelton</t>
  </si>
  <si>
    <t>Fairfield Inn &amp; Suites Chillicothe, OH</t>
  </si>
  <si>
    <t>Fairfield Inn &amp; Suites Columbus Canal Winchester</t>
  </si>
  <si>
    <t>SpringHill Suites By Marriott Amelia Island</t>
  </si>
  <si>
    <t>Courtyard By Marriott West Orange</t>
  </si>
  <si>
    <t>Courtyard By Marriott Atlanta Duluth Downtown</t>
  </si>
  <si>
    <t>AC Hotel Boston Cleveland Circle</t>
  </si>
  <si>
    <t>Fairfield Inn By Marriott New York LaGuardia Airport/Astoria</t>
  </si>
  <si>
    <t>Fairfield Inn &amp; Suites Greenville</t>
  </si>
  <si>
    <t>Fairfield Inn &amp; Suites Fort Wayne</t>
  </si>
  <si>
    <t>Fairfield by Marriott Inn &amp; Suites Atlanta Marietta</t>
  </si>
  <si>
    <t>Courtyard By Marriott High Point</t>
  </si>
  <si>
    <t>Fairfield Inn By Marriott New York LaGuardia Airport/Flushing</t>
  </si>
  <si>
    <t>Courtyard By Marriott Clemson</t>
  </si>
  <si>
    <t>Courtyard By Marriott Wilmington Downtown</t>
  </si>
  <si>
    <t>SpringHill Suites By Marriott Columbus Dublin</t>
  </si>
  <si>
    <t>Courtyard By Marriott Dulles Airport Chantilly</t>
  </si>
  <si>
    <t>Courtyard By Marriott Lake City</t>
  </si>
  <si>
    <t>SpringHill Suites by Marriott Wixom Novi</t>
  </si>
  <si>
    <t>SpringHill Suites by Marriott Boston Logan Airport Revere Beach</t>
  </si>
  <si>
    <t>Fairfield Inn &amp; Suites St. Joseph Stevensville</t>
  </si>
  <si>
    <t>Fairfield Inn &amp; Suites Arundel Mills BWI Airport</t>
  </si>
  <si>
    <t>Courtyard By Marriott Burlington Williston</t>
  </si>
  <si>
    <t>SpringHill Suites By Marriott Tuckahoe Westchester County</t>
  </si>
  <si>
    <t>SpringHill Suites By Marriott Chattanooga Downtown/Cameron Harbor</t>
  </si>
  <si>
    <t>Fairfield Inn &amp; Suites Cincinnati North/West Chester</t>
  </si>
  <si>
    <t>Fairfield Inn &amp; Suites Gainesville I-75</t>
  </si>
  <si>
    <t>Courtyard By Marriott Mt. Pleasant at Central Michigan University</t>
  </si>
  <si>
    <t>Fairfield Inn &amp; Suites Atlanta Alpharetta</t>
  </si>
  <si>
    <t>SpringHill Suites By Marriott Dayton South/Miamisburg</t>
  </si>
  <si>
    <t>SpringHill Suites By Marriott Baltimore White Marsh/Middle River</t>
  </si>
  <si>
    <t>Courtyard By Marriott Lansing</t>
  </si>
  <si>
    <t>Fairfield Inn &amp; Suites Waycross</t>
  </si>
  <si>
    <t>Fairfield Inn &amp; Suites Millville Vineland</t>
  </si>
  <si>
    <t>Courtyard By Marriott Southington</t>
  </si>
  <si>
    <t>AC Hotel Gainesville Downtown</t>
  </si>
  <si>
    <t>SpringHill Suites by Marriott Jacksonville Baymeadows</t>
  </si>
  <si>
    <t>Fairfield Inn &amp; Suites Atlanta Peachtree City</t>
  </si>
  <si>
    <t>SpringHill Suites By Marriott Ocala</t>
  </si>
  <si>
    <t>Fairfield by Marriott Inn &amp; Suites Appleton</t>
  </si>
  <si>
    <t>AC Hotel Nashville Brentwood</t>
  </si>
  <si>
    <t>Fairfield Inn &amp; Suites Nashville MetroCenter</t>
  </si>
  <si>
    <t>Courtyard By Marriott Nashville Smyrna</t>
  </si>
  <si>
    <t>Courtyard By Marriott Chicago Southeast/Hammond, IN</t>
  </si>
  <si>
    <t>Fairfield Inn &amp; Suites Charlotte Matthews</t>
  </si>
  <si>
    <t>Fairfield Inn &amp; Suites Augusta</t>
  </si>
  <si>
    <t>Fairfield Inn By Marriott Boston Tewksbury/Andover</t>
  </si>
  <si>
    <t>Fairfield Inn &amp; Suites Brunswick</t>
  </si>
  <si>
    <t>Fairfield Inn &amp; Suites Columbus Polaris</t>
  </si>
  <si>
    <t>Courtyard By Marriott Boston Natick</t>
  </si>
  <si>
    <t>Fairfield Inn &amp; Suites Washington Court House Jeffersonville</t>
  </si>
  <si>
    <t>Courtyard By Marriott Atlanta Decatur Downtown/Emory</t>
  </si>
  <si>
    <t>AC Hotel Jacksonville St Johns Town Center</t>
  </si>
  <si>
    <t>SpringHill Suites By Marriott Atlanta Alpharetta/Roswell</t>
  </si>
  <si>
    <t>Courtyard By Marriott Atlanta Buckhead</t>
  </si>
  <si>
    <t>Courtyard By Marriott Winston-Salem Downtown</t>
  </si>
  <si>
    <t>Fairfield Inn &amp; Suites Flint Grand Blanc</t>
  </si>
  <si>
    <t>Fairfield Inn &amp; Suites Austin Buda</t>
  </si>
  <si>
    <t>Fairfield Inn &amp; Suites Kansas City North/Gladstone</t>
  </si>
  <si>
    <t>SpringHill Suites By Marriott Jackson Hole</t>
  </si>
  <si>
    <t>Fairfield by Marriott Inn &amp; Suites Denver Southwest/Littleton</t>
  </si>
  <si>
    <t>Fairfield Inn &amp; Suites Cheyenne</t>
  </si>
  <si>
    <t>Fairfield Inn &amp; Suites Vernon</t>
  </si>
  <si>
    <t>Courtyard By Marriott Portland North</t>
  </si>
  <si>
    <t>Fairfield by Marriott Inn &amp; Suites Salmon Arm</t>
  </si>
  <si>
    <t>Courtyard By Marriott Prince George</t>
  </si>
  <si>
    <t>Fairfield by Marriott Inn &amp; Suites Revelstoke</t>
  </si>
  <si>
    <t>Fairfield Inn &amp; Suites Moses Lake</t>
  </si>
  <si>
    <t>Fairfield Inn &amp; Suites Boise West</t>
  </si>
  <si>
    <t>Fairfield Inn &amp; Suites Lethbridge</t>
  </si>
  <si>
    <t>SpringHill Suites By Marriott Little Rock West</t>
  </si>
  <si>
    <t>SpringHill Suites By Marriott Dallas McKinney/Allen</t>
  </si>
  <si>
    <t>SpringHill Suites By Marriott Austin Cedar Park</t>
  </si>
  <si>
    <t>Courtyard By Marriott Austin Northwest/Lakeline</t>
  </si>
  <si>
    <t>Courtyard By Marriott Boise Downtown</t>
  </si>
  <si>
    <t>Courtyard By Marriott Omaha Bellevue at Beardmore Event Center</t>
  </si>
  <si>
    <t>Fairfield Inn &amp; Suites North Platte</t>
  </si>
  <si>
    <t>AC Hotel Oklahoma City Bricktown</t>
  </si>
  <si>
    <t>Fairfield Inn &amp; Suites Arkadelphia</t>
  </si>
  <si>
    <t>Fairfield Inn &amp; Suites Cape Girardeau</t>
  </si>
  <si>
    <t>Fairfield Inn &amp; Suites Klamath Falls</t>
  </si>
  <si>
    <t>Fairfield Inn &amp; Suites Carlsbad</t>
  </si>
  <si>
    <t>Courtyard By Marriott San Marcos</t>
  </si>
  <si>
    <t>Fairfield Inn &amp; Suites Denver West/Federal Center</t>
  </si>
  <si>
    <t>Fairfield Inn &amp; Suites Corpus Christi Aransas Pass</t>
  </si>
  <si>
    <t>Courtyard By Marriott Russellville</t>
  </si>
  <si>
    <t>Fairfield Inn &amp; Suites San Angelo</t>
  </si>
  <si>
    <t>SpringHill Suites By Marriott Chicago Chinatown</t>
  </si>
  <si>
    <t>Courtyard By Marriott Austin-University Area</t>
  </si>
  <si>
    <t>SpringHill Suites By Marriott Cheyenne</t>
  </si>
  <si>
    <t>Courtyard By Marriott Phoenix Mesa Gateway Airport</t>
  </si>
  <si>
    <t>Fairfield Inn &amp; Suites Colorado Springs North/Air Force Academy</t>
  </si>
  <si>
    <t>Fairfield by Marriott Inn &amp; Suites Denver Southwest/Lakewood</t>
  </si>
  <si>
    <t>SpringHill Suites By Marriott Austin West/Lakeway</t>
  </si>
  <si>
    <t>SpringHill Suites By Marriott Colorado Springs North/Air Force Academy</t>
  </si>
  <si>
    <t>Fairfield Inn &amp; Suites Scottsbluff</t>
  </si>
  <si>
    <t>SpringHill Suites By Marriott Midland Odessa</t>
  </si>
  <si>
    <t>SpringHill Suites By Marriott Boise ParkCenter</t>
  </si>
  <si>
    <t>Fairfield Inn &amp; Suites Chicago Downtown/Magnificent Mile</t>
  </si>
  <si>
    <t>Courtyard By Marriott Amarillo Downtown</t>
  </si>
  <si>
    <t>Fairfield Inn &amp; Suites Lawton</t>
  </si>
  <si>
    <t>SpringHill Suites By Marriott Slidell</t>
  </si>
  <si>
    <t>SpringHill Suites By Marriott Topeka Southwest</t>
  </si>
  <si>
    <t>Courtyard by Marriott Manhattan Aggieville</t>
  </si>
  <si>
    <t>SpringHill Suites By Marriott Shreveport-Bossier City/Louisiana Downs</t>
  </si>
  <si>
    <t>Fairfield Inn &amp; Suites Stillwater</t>
  </si>
  <si>
    <t>Fairfield Inn &amp; Suites Lincoln Southeast</t>
  </si>
  <si>
    <t>Fairfield Inn &amp; Suites Wichita East</t>
  </si>
  <si>
    <t>Fairfield Inn &amp; Suites Decatur at Decatur Conference Center</t>
  </si>
  <si>
    <t>Moxy Chicago Downtown</t>
  </si>
  <si>
    <t>Courtyard By Marriott Conway</t>
  </si>
  <si>
    <t>AC Hotel Little Rock Downtown</t>
  </si>
  <si>
    <t>Fairfield Inn &amp; Suites Mt. Vernon Rend Lake</t>
  </si>
  <si>
    <t>Fairfield Inn &amp; Suites Fayetteville</t>
  </si>
  <si>
    <t>Fairfield Inn &amp; Suites Ruston</t>
  </si>
  <si>
    <t>Fairfield Inn &amp; Suites Oklahoma City El Reno</t>
  </si>
  <si>
    <t>Fairfield Inn &amp; Suites Little Rock Benton</t>
  </si>
  <si>
    <t>SpringHill Suites By Marriott San Antonio SeaWorld/Lackland</t>
  </si>
  <si>
    <t>Fairfield Inn &amp; Suites El Dorado</t>
  </si>
  <si>
    <t>Fairfield Inn &amp; Suites Rolla</t>
  </si>
  <si>
    <t>Courtyard By Marriott Lafayette South</t>
  </si>
  <si>
    <t>Courtyard By Marriott Lincoln Downtown/Haymarket</t>
  </si>
  <si>
    <t>Courtyard By Marriott Fort Smith Downtown</t>
  </si>
  <si>
    <t>Fairfield by Marriott Inn &amp; Suites Omaha at MH Landing</t>
  </si>
  <si>
    <t>SpringHill Suites By Marriott Phoenix Goodyear</t>
  </si>
  <si>
    <t>Fairfield Inn &amp; Suites Salt Lake City Midvale</t>
  </si>
  <si>
    <t>SpringHill Suites By Marriott Salt Lake City West Valley</t>
  </si>
  <si>
    <t>Courtyard By Marriott Salt Lake City Downtown</t>
  </si>
  <si>
    <t>Fairfield Inn &amp; Suites Sheridan</t>
  </si>
  <si>
    <t>AC Hotel Park City</t>
  </si>
  <si>
    <t>SpringHill Suites By Marriott Provo</t>
  </si>
  <si>
    <t>Courtyard by Marriott Pasco Tri-Cities Airport</t>
  </si>
  <si>
    <t>Courtyard By Marriott Richland Columbia Point</t>
  </si>
  <si>
    <t>Fairfield by Marriott Inn &amp; Suites Phoenix West/Tolleson</t>
  </si>
  <si>
    <t>Courtyard By Marriott Salt Lake City Cottonwood</t>
  </si>
  <si>
    <t>SpringHill Suites By Marriott Flagstaff</t>
  </si>
  <si>
    <t>Fairfield Inn &amp; Suites Phoenix Tempe/Airport</t>
  </si>
  <si>
    <t>Fairfield by Marriott Inn &amp; Suites Raleigh Wake Forest</t>
  </si>
  <si>
    <t>Fairfield by Marriott Inn &amp; Suites Bonita Springs</t>
  </si>
  <si>
    <t>Courtyard By Marriott Westbury Long Island</t>
  </si>
  <si>
    <t>AC Hotel Raleigh North Hills</t>
  </si>
  <si>
    <t>Courtyard By Marriott Rome Riverwalk</t>
  </si>
  <si>
    <t>Fairfield by Marriott Inn &amp; Suites Virginia Beach Town Center</t>
  </si>
  <si>
    <t>Courtyard By Marriott Savannah Airport</t>
  </si>
  <si>
    <t>Fairfield by Marriott Inn &amp; Suites Knoxville Clinton</t>
  </si>
  <si>
    <t>SpringHill Suites By Marriott New York LaGuardia Airport</t>
  </si>
  <si>
    <t>Moxy Miami South Beach</t>
  </si>
  <si>
    <t>SpringHill Suites By Marriott Orlando Altamonte Springs/Maitland</t>
  </si>
  <si>
    <t>Fairfield Inn &amp; Suites Raleigh Capital Blvd./I-540</t>
  </si>
  <si>
    <t>SpringHill Suites By Marriott Manchester-Boston Regional Airport</t>
  </si>
  <si>
    <t>Courtyard By Marriott Delray Beach</t>
  </si>
  <si>
    <t>Courtyard By Marriott Richmond Airport</t>
  </si>
  <si>
    <t>Fairfield by Marriott Inn &amp; Suites Traverse City</t>
  </si>
  <si>
    <t>Fairfield Inn &amp; Suites Tampa Westshore/Airport</t>
  </si>
  <si>
    <t>Fairfield by Marriott Inn &amp; Suites Louisville Airport</t>
  </si>
  <si>
    <t>Courtyard By Marriott Harrisonburg</t>
  </si>
  <si>
    <t>SpringHill Suites By Marriott Pittsburgh Bakery Square</t>
  </si>
  <si>
    <t>Courtyard By Marriott Pittsburgh Downtown</t>
  </si>
  <si>
    <t>SpringHill Suites By Marriott Norfolk Old Dominion University</t>
  </si>
  <si>
    <t>Fairfield Inn &amp; Suites Williamsburg</t>
  </si>
  <si>
    <t>Moxy Brooklyn Williamsburg</t>
  </si>
  <si>
    <t>Courtyard By Marriott Myrtle Beach Oceanfront</t>
  </si>
  <si>
    <t>Fairfield Inn &amp; Suites Chesapeake</t>
  </si>
  <si>
    <t>Courtyard By Marriott Toledo West</t>
  </si>
  <si>
    <t>SpringHill Suites By Marriott Pittsburgh Monroeville</t>
  </si>
  <si>
    <t>Moxy NYC Chelsea</t>
  </si>
  <si>
    <t>Fairfield Inn &amp; Suites North Conway</t>
  </si>
  <si>
    <t>SpringHill Suites By Marriott Pittsburgh Mt. Lebanon</t>
  </si>
  <si>
    <t>Fairfield Inn &amp; Suites Pittsburgh Neville Island</t>
  </si>
  <si>
    <t>AC Hotel Miami Airport West/Doral</t>
  </si>
  <si>
    <t>SpringHill Suites By Marriott Myrtle Beach Oceanfront</t>
  </si>
  <si>
    <t>SpringHill Suites By Marriott Savannah I-95 South</t>
  </si>
  <si>
    <t>Courtyard By Marriott Tampa Oldsmar</t>
  </si>
  <si>
    <t>Courtyard By Marriott Memphis East/Galleria</t>
  </si>
  <si>
    <t>Fairfield Inn &amp; Suites Huntsville</t>
  </si>
  <si>
    <t>Courtyard By Marriott Bentonville</t>
  </si>
  <si>
    <t>SpringHill Suites By Marriott Ardmore</t>
  </si>
  <si>
    <t>Courtyard By Marriott South Padre Island</t>
  </si>
  <si>
    <t>Fairfield Inn By Marriott North Little Rock</t>
  </si>
  <si>
    <t>Fairfield Inn &amp; Suites Chickasha</t>
  </si>
  <si>
    <t>SpringHill Suites by Marriott Austin The Domain Area</t>
  </si>
  <si>
    <t>Fairfield by Marriott Inn &amp; Suites Hillsboro</t>
  </si>
  <si>
    <t>Fairfield Inn &amp; Suites Odessa</t>
  </si>
  <si>
    <t>Courtyard By Marriott Alexandria</t>
  </si>
  <si>
    <t>SpringHill Suites By Marriott San Antonio Airport</t>
  </si>
  <si>
    <t>Courtyard By Marriott Baton Rouge Downtown</t>
  </si>
  <si>
    <t>Fairfield Inn &amp; Suites Lafayette South</t>
  </si>
  <si>
    <t>Fairfield Inn &amp; Suites Fort Smith</t>
  </si>
  <si>
    <t>Fairfield Inn &amp; Suites Boise Nampa</t>
  </si>
  <si>
    <t>Fairfield Inn &amp; Suites Afton Star Valley</t>
  </si>
  <si>
    <t>SpringHill Suites By Marriott Cedar City</t>
  </si>
  <si>
    <t>SpringHill Suites By Marriott Phoenix Tempe/Airport</t>
  </si>
  <si>
    <t>Fairfield Inn By Marriott Boise</t>
  </si>
  <si>
    <t>Courtyard By Marriott Cedar City</t>
  </si>
  <si>
    <t>Courtyard By Marriott Roseville</t>
  </si>
  <si>
    <t>Fairfield Inn By Marriott Visalia Sequoia</t>
  </si>
  <si>
    <t>Courtyard By Marriott Roseville Galleria Mall/Creekside Ridge Drive</t>
  </si>
  <si>
    <t>Courtyard By Marriott San Diego Rancho Bernardo</t>
  </si>
  <si>
    <t>Fairfield Inn By Marriott Tracy</t>
  </si>
  <si>
    <t>Courtyard By Marriott Walla Walla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</si>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</sst>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</font>
    <font>
      <sz val="12"/>
      <color rgb="FF000000"/>
      <name val="Aptos Narrow"/>
    </font>
    <font>
      <b/>
      <sz val="12"/>
      <color theme="1"/>
      <name val="Aptos Narrow"/>
      <family val="2"/>
      <scheme val="minor"/>
    </font>
    <font>
      <sz val="12"/>
      <name val="Aptos Narrow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Aptos Narrow"/>
      <scheme val="minor"/>
    </font>
    <font>
      <sz val="11"/>
      <color rgb="FF6B7280"/>
      <name val="Ui-Sans-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2" xfId="0" applyFont="1" applyBorder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4" fillId="0" borderId="0" xfId="0" applyFont="1"/>
    <xf numFmtId="0" fontId="0" fillId="0" borderId="0" xfId="0" quotePrefix="1"/>
    <xf numFmtId="0" fontId="0" fillId="4" borderId="1" xfId="0" applyFill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4" fontId="3" fillId="0" borderId="1" xfId="0" applyNumberFormat="1" applyFont="1" applyBorder="1"/>
    <xf numFmtId="0" fontId="3" fillId="2" borderId="1" xfId="0" applyFont="1" applyFill="1" applyBorder="1" applyAlignment="1">
      <alignment wrapText="1"/>
    </xf>
    <xf numFmtId="0" fontId="0" fillId="0" borderId="1" xfId="0" applyBorder="1"/>
    <xf numFmtId="0" fontId="3" fillId="0" borderId="1" xfId="0" applyFont="1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14" fontId="0" fillId="0" borderId="0" xfId="0" applyNumberFormat="1" applyAlignment="1">
      <alignment wrapText="1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49" fontId="0" fillId="0" borderId="0" xfId="0" applyNumberFormat="1"/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/>
    <xf numFmtId="49" fontId="3" fillId="3" borderId="1" xfId="0" applyNumberFormat="1" applyFont="1" applyFill="1" applyBorder="1" applyAlignment="1">
      <alignment wrapText="1"/>
    </xf>
    <xf numFmtId="0" fontId="0" fillId="0" borderId="3" xfId="0" applyBorder="1"/>
    <xf numFmtId="0" fontId="6" fillId="0" borderId="1" xfId="0" applyFont="1" applyBorder="1"/>
    <xf numFmtId="14" fontId="0" fillId="0" borderId="0" xfId="0" applyNumberFormat="1" applyAlignment="1">
      <alignment horizontal="left"/>
    </xf>
    <xf numFmtId="0" fontId="2" fillId="0" borderId="4" xfId="0" applyFont="1" applyBorder="1"/>
    <xf numFmtId="0" fontId="7" fillId="0" borderId="0" xfId="0" applyFont="1"/>
    <xf numFmtId="0" fontId="8" fillId="0" borderId="0" xfId="0" applyFont="1"/>
    <xf numFmtId="14" fontId="8" fillId="0" borderId="0" xfId="0" applyNumberFormat="1" applyFont="1"/>
    <xf numFmtId="14" fontId="5" fillId="0" borderId="0" xfId="0" applyNumberFormat="1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vasan, Pradeep" refreshedDate="46140.871034027776" createdVersion="8" refreshedVersion="8" minRefreshableVersion="3" recordCount="2056" xr:uid="{D17866FE-6692-D140-ADC1-0C4262A6D2A9}">
  <cacheSource type="worksheet">
    <worksheetSource ref="A1:I1048576" sheet="PropertyList"/>
  </cacheSource>
  <cacheFields count="9">
    <cacheField name="Iteration" numFmtId="0">
      <sharedItems containsBlank="1" count="22">
        <s v="2 - BETA 2 (4)"/>
        <s v="1 - BETA 1 (1)"/>
        <s v="3 - PILOT (20)"/>
        <s v="4 - WAVE 1 (50)"/>
        <s v="6 - Wave 40 (99)"/>
        <s v="5 - Wave 4 (75)"/>
        <s v="NA"/>
        <s v="7 - Wave 5 (99)"/>
        <s v="8 - Wave 6 (231)"/>
        <s v="9 - Wave 7 (248)"/>
        <s v="10 - Wave 8 (245)"/>
        <s v="11 - Wave 9 (3)"/>
        <s v="New Opening"/>
        <s v="12 - Wave 10 (254)"/>
        <s v="13- Wave 11 (169)"/>
        <s v="14 - Wave 12 (22)"/>
        <s v="15 - Wave 13 (171)"/>
        <s v="16 - Wave 14 (171)"/>
        <s v="17 - Wave 15 (170)"/>
        <m/>
        <s v="10 - Wave 8 (246)" u="1"/>
        <s v="10 - Wave 8 (247)" u="1"/>
      </sharedItems>
    </cacheField>
    <cacheField name="PropertyCode" numFmtId="0">
      <sharedItems containsBlank="1"/>
    </cacheField>
    <cacheField name="TenantId" numFmtId="0">
      <sharedItems containsBlank="1" containsMixedTypes="1" containsNumber="1" containsInteger="1" minValue="100029" maxValue="213367"/>
    </cacheField>
    <cacheField name="TenantCode" numFmtId="0">
      <sharedItems containsBlank="1"/>
    </cacheField>
    <cacheField name="PropertyId" numFmtId="0">
      <sharedItems containsBlank="1" containsMixedTypes="1" containsNumber="1" containsInteger="1" minValue="57" maxValue="2180"/>
    </cacheField>
    <cacheField name="Region" numFmtId="0">
      <sharedItems containsBlank="1" count="13">
        <s v="US_EAST_1"/>
        <s v="US_WEST3_1"/>
        <s v="US_EAST_2"/>
        <m/>
        <s v="US_EAST_4"/>
        <s v="US_WEST3_2"/>
        <s v="US_WEST3_4"/>
        <s v="US_EAST_5"/>
        <s v="US_WEST3_5"/>
        <s v="US_EAST_6"/>
        <s v="US_EAST_7"/>
        <s v="US_WEST3_6"/>
        <s v="US_EAST_8"/>
      </sharedItems>
    </cacheField>
    <cacheField name="Property Name" numFmtId="0">
      <sharedItems containsBlank="1"/>
    </cacheField>
    <cacheField name="GoLiveDate" numFmtId="0">
      <sharedItems containsDate="1" containsBlank="1" containsMixedTypes="1" minDate="2025-10-14T00:00:00" maxDate="2027-06-04T00:00:00" count="33">
        <d v="2025-10-28T00:00:00"/>
        <d v="2025-10-14T00:00:00"/>
        <d v="2025-12-09T00:00:00"/>
        <d v="2026-01-20T00:00:00"/>
        <d v="2026-03-03T00:00:00"/>
        <d v="2026-02-17T00:00:00"/>
        <s v="NA"/>
        <d v="2026-03-17T00:00:00"/>
        <d v="2026-04-07T00:00:00"/>
        <d v="2026-04-21T00:00:00"/>
        <d v="2026-05-05T00:00:00"/>
        <d v="2026-05-12T00:00:00"/>
        <d v="2026-04-14T00:00:00"/>
        <d v="2026-04-16T00:00:00"/>
        <d v="2026-05-14T00:00:00"/>
        <d v="2026-05-19T00:00:00"/>
        <d v="2026-05-28T00:00:00"/>
        <d v="2026-06-03T00:00:00"/>
        <d v="2026-06-18T00:00:00"/>
        <d v="2026-06-23T00:00:00"/>
        <d v="2026-06-25T00:00:00"/>
        <d v="2026-06-30T00:00:00"/>
        <d v="2026-08-03T00:00:00"/>
        <d v="2026-08-06T00:00:00"/>
        <d v="2026-08-19T00:00:00"/>
        <d v="2026-08-27T00:00:00"/>
        <d v="2027-06-03T00:00:00"/>
        <d v="2026-06-02T00:00:00"/>
        <d v="2026-06-09T00:00:00"/>
        <d v="2026-06-16T00:00:00"/>
        <d v="2026-07-07T00:00:00"/>
        <d v="2026-07-21T00:00:00"/>
        <m/>
      </sharedItems>
    </cacheField>
    <cacheField name="New Opening" numFmtId="0">
      <sharedItems containsBlank="1" count="3">
        <s v="N"/>
        <s v="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vasan, Pradeep" refreshedDate="46150.955910648147" createdVersion="8" refreshedVersion="8" minRefreshableVersion="3" recordCount="2056" xr:uid="{981C7ADD-71B1-0D43-858C-16A9A87E190E}">
  <cacheSource type="worksheet">
    <worksheetSource ref="A1:J1048576" sheet="PropertyList"/>
  </cacheSource>
  <cacheFields count="10">
    <cacheField name="Iteration" numFmtId="0">
      <sharedItems containsBlank="1" count="20">
        <s v="2 - BETA 2 (4)"/>
        <s v="1 - BETA 1 (1)"/>
        <s v="3 - PILOT (20)"/>
        <s v="4 - WAVE 1 (50)"/>
        <s v="6 - Wave 40 (99)"/>
        <s v="5 - Wave 4 (75)"/>
        <s v="NA"/>
        <s v="7 - Wave 5 (99)"/>
        <s v="8 - Wave 6 (231)"/>
        <s v="9 - Wave 7 (248)"/>
        <s v="10 - Wave 8 (245)"/>
        <s v="11 - Wave 9 (3)"/>
        <s v="New Opening"/>
        <s v="12 - Wave 10 (254)"/>
        <s v="13- Wave 11 (169)"/>
        <s v="14 - Wave 12 (22)"/>
        <s v="15 - Wave 13 (171)"/>
        <s v="16 - Wave 14 (171)"/>
        <s v="17 - Wave 15 (170)"/>
        <m/>
      </sharedItems>
    </cacheField>
    <cacheField name="PropertyCode" numFmtId="0">
      <sharedItems containsBlank="1"/>
    </cacheField>
    <cacheField name="TenantId" numFmtId="0">
      <sharedItems containsBlank="1" containsMixedTypes="1" containsNumber="1" containsInteger="1" minValue="100029" maxValue="213367"/>
    </cacheField>
    <cacheField name="TenantCode" numFmtId="0">
      <sharedItems containsBlank="1"/>
    </cacheField>
    <cacheField name="PropertyId" numFmtId="0">
      <sharedItems containsBlank="1" containsMixedTypes="1" containsNumber="1" containsInteger="1" minValue="57" maxValue="2180"/>
    </cacheField>
    <cacheField name="Region" numFmtId="0">
      <sharedItems containsBlank="1" count="13">
        <s v="US_EAST_1"/>
        <s v="US_WEST3_1"/>
        <s v="US_EAST_2"/>
        <m/>
        <s v="US_EAST_4"/>
        <s v="US_WEST3_2"/>
        <s v="US_WEST3_4"/>
        <s v="US_EAST_5"/>
        <s v="US_WEST3_5"/>
        <s v="US_EAST_6"/>
        <s v="US_EAST_7"/>
        <s v="US_WEST3_6"/>
        <s v="US_EAST_8"/>
      </sharedItems>
    </cacheField>
    <cacheField name="Property Name" numFmtId="0">
      <sharedItems containsBlank="1" count="1792">
        <s v="SpringHill Suites By Marriott Pittsburgh Southside Works"/>
        <s v="SpringHill Suites By Marriott Columbia Downtown/The Vista"/>
        <s v="SpringHill Suites by Marriott Baltimore Downtown Convention Center Area"/>
        <s v="SpringHill Suites by Marriott Winter Park"/>
        <s v="Fairfield by Marriott Inn &amp; Suites Chicago O'Hare"/>
        <s v="Courtyard By Marriott Albany Troy/Waterfront"/>
        <s v="Courtyard By Marriott Bismarck North"/>
        <s v="Moxy Minneapolis Uptown"/>
        <s v="AC Hotel Bozeman Downtown"/>
        <s v="Courtyard By Marriott Toronto Airport"/>
        <s v="Fairfield by Marriott Inn &amp; Suites North Bay"/>
        <s v="Fairfield Inn &amp; Suites Sudbury"/>
        <s v="SpringHill Suites By Marriott Alexandria"/>
        <s v="Fairfield Inn &amp; Suites Lakeland Plant City"/>
        <s v="Fairfield Inn &amp; Suites Titusville Kennedy Space Center"/>
        <s v="Fairfield by Marriott Inn &amp; Suites Orillia"/>
        <s v="Courtyard By Marriott Indianapolis Plainfield"/>
        <s v="Courtyard By Marriott Niagara Falls"/>
        <s v="SpringHill Suites By Marriott Cheraw"/>
        <s v="Fairfield Inn &amp; Suites Cincinnati Uptown/University Area"/>
        <s v="SpringHill Suites By Marriott Athens West"/>
        <s v="Courtyard By Marriott Asheville Airport"/>
        <s v="Courtyard By Marriott Kalamazoo Portage"/>
        <s v="Fairfield Inn &amp; Suites Nashville Airport"/>
        <s v="Moxy Nashville Downtown"/>
        <s v="Fairfield Inn By Marriott Burlington Williston"/>
        <s v="Fairfield by Marriott Inn &amp; Suites Aberdeen, MD"/>
        <s v="Courtyard By Marriott Akron Stow"/>
        <s v="Fairfield Inn &amp; Suites Charlottesville North"/>
        <s v="SpringHill Suites By Marriott Cleveland Solon"/>
        <s v="Fairfield by Marriott Inn &amp; Suites Charlotte Monroe"/>
        <s v="Courtyard By Marriott Boston Littleton"/>
        <s v="Fairfield Inn &amp; Suites Lexington East/I-75"/>
        <s v="Courtyard by Marriott Asheville Biltmore Village"/>
        <s v="Courtyard By Marriott Bowie"/>
        <s v="Fairfield by Marriott Inn &amp; Suites Savannah I-95 North"/>
        <s v="Fairfield Inn &amp; Suites Anderson"/>
        <s v="SpringHill Suites By Marriott Athens Downtown/University Area"/>
        <s v="Fairfield Inn &amp; Suites Somerset"/>
        <s v="Fairfield Inn &amp; Suites Palm Coast I-95"/>
        <s v="Fairfield Inn &amp; Suites Pittsburgh North/McCandless Crossing"/>
        <s v="SpringHill Suites By Marriott Chattanooga North/Ooltewah"/>
        <s v="Fairfield Inn &amp; Suites Albany"/>
        <s v="SpringHill Suites By Marriott Bloomington"/>
        <s v="Fairfield Inn &amp; Suites Gainesville"/>
        <s v="Fairfield Inn &amp; Suites Charleston Airport/Convention Center"/>
        <s v="Courtyard By Marriott Virginia Beach Oceanfront/South"/>
        <s v="Courtyard By Marriott Cleveland Airport South"/>
        <s v="Fairfield Inn &amp; Suites Bedford"/>
        <s v="Fairfield Inn &amp; Suites Lewisburg"/>
        <s v="Courtyard By Marriott Potomac Mills Woodbridge"/>
        <s v="Fairfield Inn &amp; Suites Jasper"/>
        <s v="Fairfield Inn &amp; Suites Albany Airport"/>
        <s v="Fairfield Inn &amp; Suites Baltimore BWI Airport"/>
        <s v="Fairfield Inn &amp; Suites Augusta Washington Rd./I-20"/>
        <s v="SpringHill Suites By Marriott Columbia Fort Meade Area"/>
        <s v="Courtyard By Marriott Charlotte Fort Mill, SC"/>
        <s v="Fairfield Inn &amp; Suites Atlantic City Absecon"/>
        <s v="SpringHill Suites By Marriott Dulles Airport"/>
        <s v="SpringHill Suites by Marriott Suwanee Johns Creek"/>
        <s v="Fairfield Inn &amp; Suites Winston-Salem Hanes Mall"/>
        <s v="Fairfield by Marriott Inn &amp; Suites Columbia Downtown"/>
        <s v="Fairfield Inn By Marriott Binghamton"/>
        <s v="Fairfield by Marriott Inn &amp; Suites Tampa Riverview"/>
        <s v="Fairfield by Marriott Inn &amp; Suites Charlotte University Research Park"/>
        <s v="Fairfield Inn &amp; Suites Lexington North"/>
        <s v="Fairfield Inn &amp; Suites Shelby"/>
        <s v="Courtyard By Marriott Albany Thruway"/>
        <s v="Fairfield by Marriott Inn &amp; Suites Cincinnati Airport South/Florence"/>
        <s v="SpringHill Suites By Marriott Baltimore Downtown/Inner Harbor"/>
        <s v="Fairfield Inn &amp; Suites Plymouth"/>
        <s v="SpringHill Suites By Marriott Nashville Brentwood"/>
        <s v="Courtyard By Marriott Vicksburg"/>
        <s v="SpringHill Suites By Marriott Birmingham Gardendale"/>
        <s v="Fairfield Inn &amp; Suites Northfield"/>
        <s v="SpringHill Suites By Marriott Birmingham Colonnade/Grandview"/>
        <s v="SpringHill Suites by Marriott Franklin Mint"/>
        <s v="Fairfield Inn &amp; Suites Chicago Southeast/Hammond, IN"/>
        <s v="Fairfield Inn &amp; Suites Gadsden"/>
        <s v="Fairfield Inn &amp; Suites Duluth"/>
        <s v="Fairfield by Marriott Inn &amp; Suites Livingston Yellowstone"/>
        <s v="Fairfield by Marriott Inn &amp; Suites Clear Lake"/>
        <s v="Courtyard By Marriott Appleton Riverfront"/>
        <s v="Courtyard By Marriott Omaha East/Council Bluffs, IA"/>
        <s v="SpringHill Suites By Marriott Ames"/>
        <s v="Courtyard By Marriott St. John's Newfoundland"/>
        <s v="Fairfield Inn &amp; Suites St. John's Newfoundland"/>
        <s v="Moxy Halifax Downtown"/>
        <s v="Courtyard By Marriott Halifax Downtown"/>
        <s v="Fairfield by Marriott Inn &amp; Suites Rochester Hills"/>
        <s v="SpringHill Suites By Marriott Lumberton"/>
        <s v="Fairfield Inn &amp; Suites Cape Cod Hyannis"/>
        <s v="SpringHill Suites By Marriott Chesapeake Greenbrier"/>
        <s v="Fairfield by Marriott Inn &amp; Suites Lebanon Near Expo Center"/>
        <s v="Fairfield Inn &amp; Suites St. Petersburg Clearwater"/>
        <s v="Courtyard By Marriott Fishkill"/>
        <s v="Fairfield by Marriott Inn &amp; Suites Queensbury Glens Falls/Lake George Area"/>
        <s v="Courtyard By Marriott Waterloo St. Jacobs"/>
        <s v="SpringHill Suites by Marriott Columbia near Fort Jackson"/>
        <s v="Fairfield Inn &amp; Suites Holiday Tarpon Springs"/>
        <s v="Courtyard By Marriott Long Island MacArthur Airport"/>
        <s v="AC Hotel Fort Lauderdale Beach"/>
        <s v="Fairfield by Marriott Inn &amp; Suites Marathon Florida Keys"/>
        <s v="Fairfield Inn &amp; Suites Harrisonburg"/>
        <s v="SpringHill Suites By Marriott Boca Raton"/>
        <s v="Courtyard By Marriott Hilton Head Island"/>
        <s v="Courtyard By Marriott Providence Lincoln"/>
        <s v="Fairfield Inn &amp; Suites Ocean City"/>
        <s v="Fairfield by Marriott Inn &amp; Suites Cape Coral/North Fort Myers"/>
        <s v="Fairfield Inn &amp; Suites Youngstown Austintown"/>
        <s v="SpringHill Suites By Marriott Florence"/>
        <s v="SpringHill Suites By Marriott Lynchburg Airport/University Area"/>
        <s v="Fairfield Inn &amp; Suites Morgantown"/>
        <s v="Courtyard By Marriott Kitchener"/>
        <s v="Fairfield Inn &amp; Suites Baltimore White Marsh"/>
        <s v="Courtyard By Marriott Hickory"/>
        <s v="Fairfield by Marriott Inn &amp; Suites Wallingford New Haven"/>
        <s v="Fairfield by Marriott Inn &amp; Suites Orlando at Millenia"/>
        <s v="Fairfield Inn &amp; Suites Cherokee"/>
        <s v="Fairfield Inn &amp; Suites Stony Creek"/>
        <s v="Fairfield by Marriott Inn &amp; Suites Portland Maine Airport"/>
        <s v="Fairfield Inn &amp; Suites Tampa North"/>
        <s v="SpringHill Suites By Marriott Toronto Vaughan"/>
        <s v="Fairfield Inn &amp; Suites Asheville Tunnel Road"/>
        <s v="Courtyard By Marriott Holland Downtown"/>
        <s v="AC Hotel Durham"/>
        <s v="Fairfield Inn &amp; Suites Clearwater"/>
        <s v="SpringHill Suites by Marriott Beaufort"/>
        <s v="Courtyard By Marriott Rochester Downtown"/>
        <s v="Courtyard By Marriott Hershey Chocolate Avenue"/>
        <s v="Moxy Columbus Short North"/>
        <s v="Courtyard By Marriott Pittsburgh Monroeville"/>
        <s v="SpringHill Suites By Marriott Erie"/>
        <s v="Fairfield Inn &amp; Suites Cincinnati Eastgate"/>
        <s v="Fairfield Inn &amp; Suites Delray Beach I-95"/>
        <s v="Fairfield by Marriott Inn &amp; Suites Newport Cincinnati"/>
        <s v="AC Hotel Chapel Hill Downtown"/>
        <s v="Fairfield by Marriott Inn &amp; Suites Plymouth White Mountains"/>
        <s v="SpringHill Suites By Marriott Hershey Near the Park"/>
        <s v="Fairfield Inn &amp; Suites Wheeling-St. Clairsville, OH"/>
        <s v="Courtyard By Marriott Springfield"/>
        <s v="Courtyard By Marriott Fort Lauderdale SW/Miramar"/>
        <s v="Fairfield by Marriott Inn &amp; Suites Melbourne West/Palm Bay"/>
        <s v="Fairfield by Marriott Inn &amp; Suites Goshen Middletown"/>
        <s v="SpringHill Suites by Marriott Charlotte City Center"/>
        <s v="Fairfield by Marriott Inn &amp; Suites Rome"/>
        <s v="SpringHill Suites By Marriott Charlotte Concord Mills/Speedway"/>
        <s v="Courtyard by Marriott Oceanside Fort Lauderdale Beach"/>
        <s v="Courtyard By Marriott Naples"/>
        <s v="Courtyard By Marriott Fort Lauderdale North/Cypress Creek"/>
        <s v="Fairfield Inn By Marriott Orangeburg"/>
        <s v="Fairfield Inn &amp; Suites Statesville"/>
        <s v="Fairfield Inn &amp; Suites South Kingstown Newport Area"/>
        <s v="Fairfield Inn &amp; Suites Fort Pierce"/>
        <s v="SpringHill Suites By Marriott Norfolk Virginia Beach"/>
        <s v="Courtyard By Marriott Bay City"/>
        <s v="Fairfield Inn &amp; Suites Fort Lauderdale Downtown/Las Olas"/>
        <s v="Courtyard By Marriott Wilmington Brandywine"/>
        <s v="SpringHill Suites by Marriott Charlotte Airport Lake Pointe"/>
        <s v="SpringHill Suites By Marriott Terre Haute"/>
        <s v="SpringHill Suites By Marriott Raleigh Apex"/>
        <s v="Fairfield by Marriott Inn &amp; Suites Fort Lauderdale Northwest"/>
        <s v="Courtyard By Marriott Indianapolis West-Speedway"/>
        <s v="SpringHill Suites By Marriott Fort Lauderdale Airport &amp; Cruise Port"/>
        <s v="Fairfield Inn &amp; Suites Harrisburg West/Mechanicsburg"/>
        <s v="AC Hotel Columbus Dublin"/>
        <s v="Fairfield Inn &amp; Suites Indianapolis Fishers"/>
        <s v="Courtyard By Marriott Princeton"/>
        <s v="Fairfield Inn &amp; Suites Charleston North/Ashley Phosphate"/>
        <s v="Courtyard By Marriott Fort Lauderdale Coral Springs"/>
        <s v="SpringHill Suites by Marriott Kalamazoo Portage"/>
        <s v="SpringHill Suites By Marriott Fort Myers Estero"/>
        <s v="Fairfield Inn &amp; Suites Akron Fairlawn"/>
        <s v="Fairfield Inn &amp; Suites Fort Lauderdale Airport &amp; Cruise Port"/>
        <s v="SpringHill Suites By Marriott Montgomery Downtown"/>
        <s v="Fairfield Inn &amp; Suites Alexandria"/>
        <s v="Courtyard By Marriott St. Cloud"/>
        <s v="Fairfield Inn &amp; Suites Rochester Mayo Clinic Area/Saint Marys"/>
        <s v="Fairfield Inn &amp; Suites Des Moines West"/>
        <s v="Courtyard By Marriott La Crosse Downtown/Mississippi Riverfront"/>
        <s v="Courtyard By Marriott St. Paul Woodbury"/>
        <s v="Courtyard by Marriott Bettendorf"/>
        <s v="Fairfield by Marriott Inn &amp; Suites Southaven Snowden Grove"/>
        <s v="Fairfield Inn &amp; Suites Minneapolis North/Blaine"/>
        <s v="Fairfield Inn &amp; Suites Minneapolis St. Paul/Roseville"/>
        <s v="Courtyard By Marriott Paducah"/>
        <s v="Courtyard By Marriott Memphis Germantown"/>
        <s v="SpringHill Suites By Marriott Des Moines West"/>
        <s v="Fairfield Inn &amp; Suites Milwaukee West"/>
        <s v="Fairfield Inn &amp; Suites Panama City Beach"/>
        <s v="Fairfield Inn &amp; Suites Kenosha Pleasant Prairie"/>
        <s v="Courtyard By Marriott Columbus"/>
        <s v="Courtyard By Marriott Mobile"/>
        <s v="Fairfield Inn &amp; Suites Columbus"/>
        <s v="Courtyard By Marriott Owensboro"/>
        <s v="Fairfield by Marriott Inn &amp; Suites Sheboygan"/>
        <s v="Fairfield Inn By Marriott Scranton"/>
        <s v="Courtyard By Marriott Kingston Highway 401/Division Street"/>
        <s v="Fairfield Inn &amp; Suites Louisville East"/>
        <s v="Fairfield Inn &amp; Suites Moncton"/>
        <s v="Fairfield Inn &amp; Suites Austin Buda"/>
        <s v="Fairfield Inn &amp; Suites Kansas City North/Gladstone"/>
        <s v="SpringHill Suites By Marriott Jackson Hole"/>
        <s v="Fairfield by Marriott Inn &amp; Suites Denver Southwest/Littleton"/>
        <s v="Fairfield Inn &amp; Suites Cheyenne"/>
        <s v="Fairfield Inn &amp; Suites Vernon"/>
        <s v="Courtyard By Marriott Portland North"/>
        <s v="Fairfield by Marriott Inn &amp; Suites Salmon Arm"/>
        <s v="Courtyard By Marriott Prince George"/>
        <s v="Fairfield by Marriott Inn &amp; Suites Revelstoke"/>
        <s v="Fairfield Inn &amp; Suites Moses Lake"/>
        <s v="Fairfield Inn &amp; Suites Boise West"/>
        <s v="Fairfield Inn &amp; Suites Lethbridge"/>
        <s v="SpringHill Suites By Marriott Little Rock West"/>
        <s v="SpringHill Suites By Marriott Dallas McKinney/Allen"/>
        <s v="SpringHill Suites By Marriott Austin Cedar Park"/>
        <s v="Courtyard By Marriott Austin Northwest/Lakeline"/>
        <s v="Courtyard By Marriott Boise Downtown"/>
        <s v="Courtyard By Marriott Omaha Bellevue at Beardmore Event Center"/>
        <s v="Fairfield Inn &amp; Suites North Platte"/>
        <s v="AC Hotel Oklahoma City Bricktown"/>
        <s v="Fairfield Inn &amp; Suites Arkadelphia"/>
        <s v="Fairfield Inn &amp; Suites Cape Girardeau"/>
        <s v="Fairfield Inn &amp; Suites Klamath Falls"/>
        <s v="Fairfield Inn &amp; Suites Carlsbad"/>
        <s v="Courtyard By Marriott San Marcos"/>
        <s v="Fairfield Inn &amp; Suites Denver West/Federal Center"/>
        <s v="Fairfield Inn &amp; Suites Corpus Christi Aransas Pass"/>
        <s v="Courtyard By Marriott Russellville"/>
        <s v="Fairfield Inn &amp; Suites San Angelo"/>
        <s v="SpringHill Suites By Marriott Chicago Chinatown"/>
        <s v="Courtyard By Marriott Austin-University Area"/>
        <s v="SpringHill Suites By Marriott Cheyenne"/>
        <s v="Courtyard By Marriott Phoenix Mesa Gateway Airport"/>
        <s v="Fairfield Inn &amp; Suites Colorado Springs North/Air Force Academy"/>
        <s v="Fairfield by Marriott Inn &amp; Suites Denver Southwest/Lakewood"/>
        <s v="SpringHill Suites By Marriott Austin West/Lakeway"/>
        <s v="SpringHill Suites By Marriott Colorado Springs North/Air Force Academy"/>
        <s v="Fairfield Inn &amp; Suites Scottsbluff"/>
        <s v="SpringHill Suites By Marriott Midland Odessa"/>
        <s v="SpringHill Suites By Marriott Boise ParkCenter"/>
        <s v="Fairfield Inn &amp; Suites Chicago Downtown/Magnificent Mile"/>
        <s v="Courtyard By Marriott Amarillo Downtown"/>
        <s v="SpringHill Suites By Marriott Slidell"/>
        <s v="Courtyard by Marriott Manhattan Aggieville"/>
        <s v="SpringHill Suites By Marriott Shreveport-Bossier City/Louisiana Downs"/>
        <s v="Fairfield Inn &amp; Suites Stillwater"/>
        <s v="Fairfield Inn &amp; Suites Lincoln Southeast"/>
        <s v="Courtyard By Marriott Conway"/>
        <s v="AC Hotel Little Rock Downtown"/>
        <s v="Fairfield by Marriott Inn &amp; Suites Asheville Outlets"/>
        <s v="Fairfield Inn &amp; Suites Asheville Airport/Fletcher"/>
        <s v="Fairfield Inn &amp; Suites Hendersonville Flat Rock"/>
        <s v="SpringHill Suites By Marriott Canton"/>
        <s v="Fairfield Inn &amp; Suites Charlottesville Downtown/University Area"/>
        <s v="Fairfield Inn &amp; Suites Medina"/>
        <s v="Courtyard By Marriott Charlotte Gastonia"/>
        <s v="Courtyard By Marriott Charlotte Lake Norman"/>
        <s v="Fairfield Inn By Marriott Charlotte Mooresville/Lake Norman"/>
        <s v="Fairfield Inn &amp; Suites Charlotte Pineville"/>
        <s v="Fairfield Inn &amp; Suites Charlotte Uptown"/>
        <s v="Fairfield Inn &amp; Suites Columbus Grove City"/>
        <s v="SpringHill Suites By Marriott Columbus OSU"/>
        <s v="Fairfield Inn &amp; Suites Auburn Opelika"/>
        <s v="Courtyard By Marriott Auburn"/>
        <s v="Courtyard By Marriott Cincinnati Airport"/>
        <s v="Courtyard By Marriott Cincinnati Mason"/>
        <s v="Courtyard By Marriott Cincinnati Downtown"/>
        <s v="Courtyard By Marriott Springfield Downtown"/>
        <s v="Fairfield Inn &amp; Suites Dayton North"/>
        <s v="SpringHill Suites By Marriott Dayton Vandalia"/>
        <s v="Courtyard By Marriott Fort Lauderdale Downtown"/>
        <s v="Fairfield Inn &amp; Suites Florence I-20"/>
        <s v="Courtyard By Marriott Fort Smith Downtown"/>
        <s v="Fairfield Inn &amp; Suites Fayetteville"/>
        <s v="Fairfield Inn &amp; Suites Ocala"/>
        <s v="AC Hotel Grand Rapids Downtown"/>
        <s v="Fairfield by Marriott Inn &amp; Suites Grand Rapids Wyoming"/>
        <s v="SpringHill Suites By Marriott Grand Rapids North"/>
        <s v="Fairfield Inn &amp; Suites Asheboro"/>
        <s v="Fairfield Inn By Marriott Greensboro Airport"/>
        <s v="Fairfield by Marriott Inn &amp; Suites Greenville Spartanburg/Duncan"/>
        <s v="Fairfield by Marriott Inn &amp; Suites Seneca Clemson Univ Area"/>
        <s v="Courtyard By Marriott Greenville-Spartanburg Airport"/>
        <s v="Fairfield Inn &amp; Suites Harrisburg Hershey"/>
        <s v="Courtyard By Marriott Statesville Mooresville/Lake Norman"/>
        <s v="Fairfield by Marriott Inn &amp; Suites Herndon Reston"/>
        <s v="SpringHill Suites By Marriott Fairfax Fair Oaks"/>
        <s v="Courtyard By Marriott Dulles Airport Herndon"/>
        <s v="Fairfield Inn &amp; Suites Wilmington New Castle"/>
        <s v="Courtyard By Marriott Wilmington Downtown/Historic District"/>
        <s v="Fairfield Inn &amp; Suites Indianapolis East"/>
        <s v="Fairfield by Marriott Inn &amp; Suites Franklin"/>
        <s v="Fairfield by Marriott Inn &amp; Suites Kokomo"/>
        <s v="Fairfield Inn &amp; Suites Indianapolis Northwest"/>
        <s v="Fairfield Inn &amp; Suites Indianapolis Carmel"/>
        <s v="Fairfield Inn &amp; Suites Indianapolis Noblesville"/>
        <s v="Courtyard By Marriott Indianapolis Northwest"/>
        <s v="Fairfield Inn &amp; Suites Indianapolis Plainfield"/>
        <s v="Courtyard By Marriott Indianapolis South"/>
        <s v="SpringHill Suites By Marriott Carle Place Garden City"/>
        <s v="Courtyard By Marriott Madison East"/>
        <s v="Fairfield Inn &amp; Suites Madison East"/>
        <s v="SpringHill Suites By Marriott Phoenix Goodyear"/>
        <s v="Fairfield Inn &amp; Suites Slippery Rock"/>
        <s v="SpringHill Suites By Marriott Pittsburgh Butler/Centre City"/>
        <s v="Courtyard By Marriott Gulf Shores Craft Farms"/>
        <s v="Courtyard by Marriott Pasco Tri-Cities Airport"/>
        <s v="Courtyard By Marriott Richland Columbia Point"/>
        <s v="Courtyard By Marriott Providence Downtown"/>
        <s v="Fairfield by Marriott Inn &amp; Suites Mansfield"/>
        <s v="SpringHill Suites By Marriott Providence West Warwick"/>
        <s v="AC Hotel Raleigh Downtown"/>
        <s v="SpringHill Suites by Marriott Durham City View"/>
        <s v="Fairfield Inn By Marriott Richmond Chester"/>
        <s v="Moxy Richmond Downtown"/>
        <s v="Courtyard By Marriott Rock Hill"/>
        <s v="Fairfield Inn &amp; Suites Christiansburg"/>
        <s v="Fairfield Inn By Marriott Fort Myers Cape Coral"/>
        <s v="SpringHill Suites By Marriott San Antonio SeaWorld/Lackland"/>
        <s v="Fairfield Inn &amp; Suites Goshen"/>
        <s v="Fairfield Inn &amp; Suites State College"/>
        <s v="SpringHill Suites By Marriott State College"/>
        <s v="Courtyard By Marriott Schenectady at Mohawk Harbor"/>
        <s v="Fairfield by Marriott Inn &amp; Suites Madison Historic Eagle Cotton Mill"/>
        <s v="Fairfield by Marriott Inn &amp; Suites Shelbyville"/>
        <s v="Fairfield Inn &amp; Suites Sheridan"/>
        <s v="AC Hotel Park City"/>
        <s v="Courtyard By Marriott Salt Lake City Downtown"/>
        <s v="Courtyard By Marriott Salt Lake City Cottonwood"/>
        <s v="Fairfield Inn &amp; Suites Salt Lake City Midvale"/>
        <s v="SpringHill Suites By Marriott Provo"/>
        <s v="SpringHill Suites By Marriott Salt Lake City West Valley"/>
        <s v="Courtyard by Marriott Sarasota at University Town Center"/>
        <s v="Fairfield Inn &amp; Suites Sarasota Lakewood Ranch"/>
        <s v="Fairfield Inn &amp; Suites Rolla"/>
        <s v="SpringHill Suites By Marriott Tuscaloosa"/>
        <s v="Fairfield Inn &amp; Suites Port Clinton Waterfront"/>
        <s v="SpringHill Suites By Marriott St. Petersburg Clearwater"/>
        <s v="Courtyard By Marriott Lakeland"/>
        <s v="Courtyard By Marriott St. Petersburg Downtown"/>
        <s v="SpringHill Suites By Marriott Tampa Westshore/Airport"/>
        <s v="Fairfield Inn &amp; Suites Destin"/>
        <s v="Fairfield Inn &amp; Suites Crestview"/>
        <s v="Fairfield Inn &amp; Suites Fort Walton Beach-Eglin AFB"/>
        <s v="Fairfield Inn &amp; Suites Germantown Gaithersburg"/>
        <s v="SpringHill Suites By Marriott Potomac Mills Woodbridge"/>
        <s v="Courtyard By Marriott Burlington"/>
        <s v="Courtyard By Marriott Hamilton"/>
        <s v="SpringHill Suites By Marriott Amelia Island"/>
        <s v="Fairfield Inn &amp; Suites Atlanta Lithia Springs"/>
        <s v="Courtyard By Marriott Amelia Island"/>
        <s v="Courtyard By Marriott Atlanta Lithia Springs"/>
        <s v="SpringHill Suites By Marriott Myrtle Beach Oceanfront"/>
        <s v="Courtyard By Marriott Myrtle Beach Oceanfront"/>
        <s v="Fairfield Inn &amp; Suites Louisville Downtown"/>
        <s v="SpringHill Suites By Marriott Louisville Downtown"/>
        <e v="#N/A"/>
        <s v="Fairfield by Marriott Inn &amp; Suites Decatur"/>
        <s v="Moxy Chicago Downtown"/>
        <s v="Fairfield Inn &amp; Suites Decatur at Decatur Conference Center"/>
        <s v="Fairfield Inn &amp; Suites Sioux Falls Airport"/>
        <s v="Fairfield Inn &amp; Suites Wichita East"/>
        <s v="SpringHill Suites By Marriott Gulfport I-10"/>
        <s v="Courtyard By Marriott Birmingham Trussville"/>
        <s v="SpringHill Suites By Marriott Topeka Southwest"/>
        <s v="Fairfield Inn &amp; Suites Lawton"/>
        <s v="Courtyard By Marriott Starkville MSU at The Mill Conference Center"/>
        <s v="Courtyard By Marriott Keene Downtown"/>
        <s v="Fairfield by Marriott Inn &amp; Suites Cortland"/>
        <s v="Fairfield Inn By Marriott Orlando Airport"/>
        <s v="Courtyard By Marriott Jacksonville Flagler Center"/>
        <s v="Fairfield Inn &amp; Suites Lansing West"/>
        <s v="Courtyard By Marriott Newport News Airport"/>
        <s v="Fairfield Inn &amp; Suites Lansing at Eastwood"/>
        <s v="Fairfield Inn By Marriott Middletown Monroe"/>
        <s v="Courtyard By Marriott Jacksonville Orange Park"/>
        <s v="Fairfield Inn &amp; Suites Boca Raton"/>
        <s v="SpringHill Suites By Marriott Hampton"/>
        <s v="Fairfield Inn &amp; Suites Orlando International Drive/Convention Center"/>
        <s v="Courtyard By Marriott Greenville"/>
        <s v="Fairfield Inn &amp; Suites Canton"/>
        <s v="Courtyard By Marriott Norfolk Downtown"/>
        <s v="Fairfield Inn &amp; Suites Mobile Saraland"/>
        <s v="Fairfield Inn &amp; Suites Memphis Southaven"/>
        <s v="Fairfield Inn &amp; Suites Mt. Vernon Rend Lake"/>
        <s v="Courtyard By Marriott Minneapolis Downtown"/>
        <s v="SpringHill Suites By Marriott Chicago Southeast/Munster, IN"/>
        <s v="Fairfield Inn &amp; Suites Ruston"/>
        <s v="Fairfield Inn &amp; Suites Oklahoma City El Reno"/>
        <s v="Fairfield Inn By Marriott Owensboro"/>
        <s v="Fairfield Inn &amp; Suites Little Rock Benton"/>
        <s v="Fairfield Inn &amp; Suites El Dorado"/>
        <s v="Courtyard By Marriott Lafayette South"/>
        <s v="Fairfield Inn &amp; Suites Nashville at Opryland"/>
        <s v="Courtyard By Marriott Nashville at Opryland"/>
        <s v="SpringHill Suites By Marriott Nashville MetroCenter"/>
        <s v="SpringHill Suites By Marriott Minneapolis-St. Paul Airport/Mall of America"/>
        <s v="Courtyard By Marriott Lincoln Downtown/Haymarket"/>
        <s v="Fairfield by Marriott Inn &amp; Suites Omaha at MH Landing"/>
        <s v="Fairfield by Marriott Inn &amp; Suites Missoula Airport"/>
        <s v="Courtyard By Marriott Nashville Vanderbilt/West End"/>
        <s v="Fairfield by Marriott Inn &amp; Suites Phoenix West/Tolleson"/>
        <s v="Fairfield Inn &amp; Suites Phoenix Tempe/Airport"/>
        <s v="Fairfield Inn &amp; Suites Flint Grand Blanc"/>
        <s v="Courtyard By Marriott Winston-Salem Downtown"/>
        <s v="Courtyard By Marriott Atlanta Buckhead"/>
        <s v="SpringHill Suites By Marriott Atlanta Alpharetta/Roswell"/>
        <s v="AC Hotel Jacksonville St Johns Town Center"/>
        <s v="Courtyard By Marriott Atlanta Decatur Downtown/Emory"/>
        <s v="Fairfield Inn &amp; Suites Washington Court House Jeffersonville"/>
        <s v="Courtyard By Marriott Boston Natick"/>
        <s v="Fairfield Inn &amp; Suites Columbus Polaris"/>
        <s v="Fairfield Inn &amp; Suites Brunswick"/>
        <s v="Fairfield Inn By Marriott Boston Tewksbury/Andover"/>
        <s v="Fairfield Inn &amp; Suites Augusta"/>
        <s v="Fairfield Inn &amp; Suites Charlotte Matthews"/>
        <s v="Courtyard By Marriott Chicago Southeast/Hammond, IN"/>
        <s v="Courtyard By Marriott Nashville Smyrna"/>
        <s v="Fairfield Inn &amp; Suites Nashville MetroCenter"/>
        <s v="AC Hotel Nashville Brentwood"/>
        <s v="Fairfield by Marriott Inn &amp; Suites Appleton"/>
        <s v="SpringHill Suites By Marriott Ocala"/>
        <s v="Fairfield Inn &amp; Suites Atlanta Peachtree City"/>
        <s v="SpringHill Suites by Marriott Jacksonville Baymeadows"/>
        <s v="AC Hotel Gainesville Downtown"/>
        <s v="Courtyard By Marriott Southington"/>
        <s v="Fairfield Inn &amp; Suites Millville Vineland"/>
        <s v="Fairfield Inn &amp; Suites Waycross"/>
        <s v="Courtyard By Marriott Lansing"/>
        <s v="SpringHill Suites By Marriott Baltimore White Marsh/Middle River"/>
        <s v="SpringHill Suites By Marriott Dayton South/Miamisburg"/>
        <s v="Fairfield Inn &amp; Suites Atlanta Alpharetta"/>
        <s v="Courtyard By Marriott Mt. Pleasant at Central Michigan University"/>
        <s v="Fairfield Inn &amp; Suites Gainesville I-75"/>
        <s v="Fairfield Inn &amp; Suites Cincinnati North/West Chester"/>
        <s v="SpringHill Suites By Marriott Chattanooga Downtown/Cameron Harbor"/>
        <s v="SpringHill Suites By Marriott Tuckahoe Westchester County"/>
        <s v="Courtyard By Marriott Burlington Williston"/>
        <s v="Fairfield Inn &amp; Suites Arundel Mills BWI Airport"/>
        <s v="Fairfield Inn &amp; Suites St. Joseph Stevensville"/>
        <s v="SpringHill Suites by Marriott Boston Logan Airport Revere Beach"/>
        <s v="SpringHill Suites by Marriott Wixom Novi"/>
        <s v="Courtyard By Marriott Lake City"/>
        <s v="Courtyard By Marriott Dulles Airport Chantilly"/>
        <s v="SpringHill Suites By Marriott Columbus Dublin"/>
        <s v="Courtyard By Marriott Wilmington Downtown"/>
        <s v="Courtyard By Marriott Clemson"/>
        <s v="Fairfield Inn By Marriott New York LaGuardia Airport/Flushing"/>
        <s v="Courtyard By Marriott High Point"/>
        <s v="Fairfield by Marriott Inn &amp; Suites Atlanta Marietta"/>
        <s v="Fairfield Inn &amp; Suites Fort Wayne"/>
        <s v="Fairfield Inn &amp; Suites Greenville"/>
        <s v="Fairfield Inn By Marriott New York LaGuardia Airport/Astoria"/>
        <s v="AC Hotel Boston Cleveland Circle"/>
        <s v="Courtyard By Marriott Atlanta Duluth Downtown"/>
        <s v="Courtyard By Marriott West Orange"/>
        <s v="Fairfield Inn &amp; Suites Columbus Canal Winchester"/>
        <s v="Fairfield Inn &amp; Suites Chillicothe, OH"/>
        <s v="Courtyard By Marriott Shelton"/>
        <s v="Fairfield by Marriott Inn &amp; Suites Grand Rapids North"/>
        <s v="Courtyard by Marriott Charlotte Waverly"/>
        <s v="Moxy Charleston Downtown"/>
        <s v="Fairfield by Marriott Inn &amp; Suites Morganton Historic Downtown"/>
        <s v="Fairfield Inn &amp; Suites Gatlinburg Downtown"/>
        <s v="Fairfield Inn &amp; Suites Atlanta Stockbridge"/>
        <s v="Fairfield Inn By Marriott New York JFK Airport"/>
        <s v="Courtyard By Marriott Hartford Cromwell"/>
        <s v="Fairfield Inn &amp; Suites Ann Arbor Ypsilanti"/>
        <s v="AC Hotel Asheville Downtown"/>
        <s v="SpringHill Suites By Marriott Wilmington Wrightsville Beach"/>
        <s v="Fairfield Inn &amp; Suites Atlanta Fairburn"/>
        <s v="Courtyard By Marriott Boone"/>
        <s v="Fairfield by Marriott Inn &amp; Suites Columbus Marysville"/>
        <s v="SpringHill Suites By Marriott Charlotte Ballantyne"/>
        <s v="SpringHill Suites By Marriott East Lansing University Area"/>
        <s v="Fairfield by Marriott Inn &amp; Suites Sandusky"/>
        <s v="Courtyard By Marriott Columbus West/Hilliard"/>
        <s v="Courtyard By Marriott Boston Copley Square"/>
        <s v="SpringHill Suites By Marriott Albany-Colonie"/>
        <s v="SpringHill Suites By Marriott Cincinnati Midtown"/>
        <s v="Fairfield Inn &amp; Suites Atlanta Buckhead"/>
        <s v="Courtyard By Marriott East Lansing Okemos"/>
        <s v="Fairfield by Marriott Inn &amp; Suites Alpharetta Avalon Area"/>
        <s v="Fairfield Inn &amp; Suites Atlanta Woodstock"/>
        <s v="Fairfield Inn &amp; Suites Detroit Taylor"/>
        <s v="Fairfield Inn &amp; Suites Huntington"/>
        <s v="Courtyard By Marriott Salisbury"/>
        <s v="Fairfield by Marriott Inn &amp; Suites Charlotte Belmont"/>
        <s v="Courtyard By Marriott Fort Wayne Downtown at Grand Wayne Convention Center"/>
        <s v="SpringHill Suites By Marriott Cincinnati Blue Ash"/>
        <s v="Courtyard By Marriott Muncie at Horizon Convention Center"/>
        <s v="SpringHill Suites By Marriott Atlanta Perimeter Center"/>
        <s v="SpringHill Suites By Marriott Atlanta Six Flags"/>
        <s v="Courtyard By Marriott Atlanta Buford/Mall of Georgia"/>
        <s v="SpringHill Suites by Marriott Fayetteville I 95"/>
        <s v="Fairfield Inn &amp; Suites Atlanta Buford/Mall of Georgia"/>
        <s v="Courtyard By Marriott Boston Downtown/North Station"/>
        <s v="Courtyard By Marriott Gettysburg"/>
        <s v="SpringHill Suites By Marriott Allentown Bethlehem/Center Valley"/>
        <s v="Courtyard By Marriott Columbia Cayce"/>
        <s v="Courtyard By Marriott Gatlinburg Downtown"/>
        <s v="Fairfield Inn &amp; Suites Akron Stow"/>
        <s v="Courtyard By Marriott Harrisburg Hershey"/>
        <s v="Courtyard By Marriott Lexington South/Hamburg Place"/>
        <s v="Courtyard By Marriott Cranbury South Brunswick"/>
        <s v="AC Hotel Des Moines East Village"/>
        <s v="Fairfield Inn &amp; Suites Wausau"/>
        <s v="Fairfield Inn &amp; Suites Nashville Hendersonville"/>
        <s v="Fairfield Inn &amp; Suites Detroit Lakes"/>
        <s v="Courtyard By Marriott Fargo"/>
        <s v="Fairfield Inn &amp; Suites Birmingham Bessemer"/>
        <s v="Courtyard By Marriott Jackson Madison"/>
        <s v="Courtyard By Marriott Wausau"/>
        <s v="Fairfield by Marriott Inn &amp; Suites Laurel"/>
        <s v="Fairfield Inn &amp; Suites Nashville Downtown/The Gulch"/>
        <s v="Courtyard By Marriott Billings"/>
        <s v="Fairfield Inn &amp; Suites Pittsburgh New Stanton"/>
        <s v="Courtyard By Marriott Walla Walla"/>
        <s v="Fairfield Inn By Marriott Tracy"/>
        <s v="Courtyard By Marriott San Diego Rancho Bernardo"/>
        <s v="Courtyard By Marriott Roseville Galleria Mall/Creekside Ridge Drive"/>
        <s v="Fairfield Inn By Marriott Visalia Sequoia"/>
        <s v="Courtyard By Marriott Roseville"/>
        <s v="Courtyard By Marriott Cedar City"/>
        <s v="Fairfield Inn By Marriott Boise"/>
        <s v="SpringHill Suites By Marriott Phoenix Tempe/Airport"/>
        <s v="SpringHill Suites By Marriott Cedar City"/>
        <s v="Fairfield Inn &amp; Suites Afton Star Valley"/>
        <s v="Fairfield Inn &amp; Suites Boise Nampa"/>
        <s v="Fairfield Inn &amp; Suites Fort Smith"/>
        <s v="Fairfield Inn &amp; Suites Lafayette South"/>
        <s v="Courtyard By Marriott Baton Rouge Downtown"/>
        <s v="SpringHill Suites By Marriott San Antonio Airport"/>
        <s v="Courtyard By Marriott Alexandria"/>
        <s v="Fairfield Inn &amp; Suites Odessa"/>
        <s v="Fairfield by Marriott Inn &amp; Suites Hillsboro"/>
        <s v="SpringHill Suites by Marriott Austin The Domain Area"/>
        <s v="Fairfield Inn &amp; Suites Chickasha"/>
        <s v="Fairfield Inn By Marriott North Little Rock"/>
        <s v="Courtyard By Marriott South Padre Island"/>
        <s v="SpringHill Suites By Marriott Ardmore"/>
        <s v="Courtyard By Marriott Bentonville"/>
        <s v="Fairfield Inn &amp; Suites Huntsville"/>
        <s v="Courtyard By Marriott Memphis East/Galleria"/>
        <s v="Courtyard By Marriott Tampa Oldsmar"/>
        <s v="SpringHill Suites By Marriott Savannah I-95 South"/>
        <s v="AC Hotel Miami Airport West/Doral"/>
        <s v="Fairfield Inn &amp; Suites Pittsburgh Neville Island"/>
        <s v="SpringHill Suites By Marriott Pittsburgh Mt. Lebanon"/>
        <s v="Fairfield Inn &amp; Suites North Conway"/>
        <s v="Moxy NYC Chelsea"/>
        <s v="SpringHill Suites By Marriott Pittsburgh Monroeville"/>
        <s v="Courtyard By Marriott Toledo West"/>
        <s v="Fairfield Inn &amp; Suites Chesapeake"/>
        <s v="Moxy Brooklyn Williamsburg"/>
        <s v="Fairfield Inn &amp; Suites Williamsburg"/>
        <s v="SpringHill Suites By Marriott Norfolk Old Dominion University"/>
        <s v="Courtyard By Marriott Pittsburgh Downtown"/>
        <s v="SpringHill Suites By Marriott Pittsburgh Bakery Square"/>
        <s v="Courtyard By Marriott Harrisonburg"/>
        <s v="Fairfield by Marriott Inn &amp; Suites Louisville Airport"/>
        <s v="Fairfield Inn &amp; Suites Tampa Westshore/Airport"/>
        <s v="Fairfield by Marriott Inn &amp; Suites Traverse City"/>
        <s v="Courtyard By Marriott Richmond Airport"/>
        <s v="Courtyard By Marriott Delray Beach"/>
        <s v="SpringHill Suites By Marriott Manchester-Boston Regional Airport"/>
        <s v="Fairfield Inn &amp; Suites Raleigh Capital Blvd./I-540"/>
        <s v="SpringHill Suites By Marriott Orlando Altamonte Springs/Maitland"/>
        <s v="Moxy Miami South Beach"/>
        <s v="SpringHill Suites By Marriott New York LaGuardia Airport"/>
        <s v="Fairfield by Marriott Inn &amp; Suites Knoxville Clinton"/>
        <s v="Courtyard By Marriott Savannah Airport"/>
        <s v="Fairfield by Marriott Inn &amp; Suites Virginia Beach Town Center"/>
        <s v="Courtyard By Marriott Rome Riverwalk"/>
        <s v="AC Hotel Raleigh North Hills"/>
        <s v="Courtyard By Marriott Westbury Long Island"/>
        <s v="Fairfield by Marriott Inn &amp; Suites Bonita Springs"/>
        <s v="Fairfield by Marriott Inn &amp; Suites Raleigh Wake Forest"/>
        <s v="AC Hotel Greenville"/>
        <s v="Fairfield Inn &amp; Suites Rockingham"/>
        <s v="Moxy Chattanooga Downtown"/>
        <s v="Fairfield Inn &amp; Suites Lumberton"/>
        <s v="Fairfield Inn &amp; Suites Dublin"/>
        <s v="Courtyard By Marriott New Bern"/>
        <s v="Fairfield Inn &amp; Suites Key West"/>
        <s v="Fairfield Inn &amp; Suites Detroit Livonia"/>
        <s v="Courtyard By Marriott Detroit Southfield"/>
        <s v="Courtyard By Marriott Danbury"/>
        <s v="Courtyard By Marriott Dayton-University of Dayton"/>
        <s v="Fairfield Inn &amp; Suites Detroit Farmington Hills"/>
        <s v="Fairfield Inn &amp; Suites Detroit Chesterfield"/>
        <s v="Fairfield Inn &amp; Suites Dunn I-95"/>
        <s v="Fairfield Inn By Marriott Evansville West"/>
        <s v="Fairfield Inn &amp; Suites Des Moines Downtown"/>
        <s v="Fairfield by Marriott Inn &amp; Suites Oskaloosa"/>
        <s v="Fairfield Inn &amp; Suites Duluth Waterfront"/>
        <s v="Fairfield Inn &amp; Suites Des Moines Altoona"/>
        <s v="SpringHill Suites By Marriott Flagstaff"/>
        <s v="SpringHill Suites By Marriott Kingman Route 66"/>
        <s v="Fairfield Inn &amp; Suites Portland North"/>
        <s v="Courtyard By Marriott Los Angeles LAX/Century Boulevard"/>
        <s v="AC Hotel Beverly Hills"/>
        <s v="Courtyard By Marriott Medford Airport"/>
        <s v="Fairfield Inn By Marriott Anaheim Hills Orange County"/>
        <s v="Courtyard By Marriott Santa Monica"/>
        <s v="Courtyard By Marriott Los Angeles Century City/Beverly Hills"/>
        <s v="Courtyard By Marriott Los Angeles Monterey Park"/>
        <s v="Fairfield Inn &amp; Suites Burlington"/>
        <s v="AC Hotel Los Angeles South Bay"/>
        <s v="SpringHill Suites By Marriott Phoenix Downtown"/>
        <s v="SpringHill Suites By Marriott Dallas DFW Airport East/Las Colinas Irving"/>
        <s v="Fairfield Inn &amp; Suites Madison West/Middleton"/>
        <s v="Fairfield Inn &amp; Suites Houston Intercontinental Airport"/>
        <s v="Courtyard By Marriott Topeka"/>
        <s v="SpringHill Suites By Marriott Baton Rouge Gonzales"/>
        <s v="Fairfield Inn &amp; Suites Austin South"/>
        <s v="Fairfield Inn &amp; Suites Birmingham Pelham"/>
        <s v="SpringHill Suites By Marriott Jackson Ridgeland/The Township at Colony Park"/>
        <s v="Courtyard By Marriott Panama City"/>
        <s v="SpringHill Suites By Marriott St. Paul Arden Hills"/>
        <s v="Courtyard By Marriott Houston I-10 West/Park Row"/>
        <s v="SpringHill Suites By Marriott Houston The Woodlands"/>
        <s v="Courtyard By Marriott Dallas Lewisville"/>
        <s v="Fairfield Inn &amp; Suites Franklin Cool Springs"/>
        <s v="Fairfield Inn &amp; Suites San Antonio NE/Schertz"/>
        <s v="Fairfield Inn &amp; Suites Denton"/>
        <s v="Courtyard By Marriott Tuscaloosa"/>
        <s v="Fairfield Inn &amp; Suites Beloit"/>
        <s v="Fairfield Inn &amp; Suites Waterloo Cedar Falls"/>
        <s v="Courtyard By Marriott Houston Heights/I-10"/>
        <s v="Fairfield Inn &amp; Suites Muskogee"/>
        <s v="Courtyard By Marriott Houston I-10 West/Energy Corridor"/>
        <s v="Courtyard By Marriott Dallas Midlothian at Midlothian Conference Center"/>
        <s v="SpringHill Suites By Marriott Houston Pearland"/>
        <s v="Courtyard By Marriott Cape Girardeau Downtown"/>
        <s v="Fairfield Inn &amp; Suites Kansas City Liberty"/>
        <s v="Fairfield Inn &amp; Suites Houston Pasadena"/>
        <s v="Fairfield Inn &amp; Suites Dallas Cedar Hill"/>
        <s v="Fairfield Inn &amp; Suites Grand Island"/>
        <s v="Fairfield Inn &amp; Suites Chicago St. Charles"/>
        <s v="Courtyard By Marriott Dallas Addison/Midway"/>
        <s v="Fairfield Inn &amp; Suites Dallas DFW Airport South/Irving"/>
        <s v="SpringHill Suites By Marriott Dallas Lewisville"/>
        <s v="Courtyard By Marriott Austin Airport"/>
        <s v="SpringHill Suites By Marriott Oklahoma City Airport West"/>
        <s v="Courtyard By Marriott Dallas Addison/Quorum Drive"/>
        <s v="Fairfield Inn &amp; Suites Pleasanton"/>
        <s v="Fairfield Inn &amp; Suites Wichita Downtown"/>
        <s v="Courtyard By Marriott Fort Worth at Alliance Town Center"/>
        <s v="Fairfield Inn By Marriott Tuscaloosa"/>
        <s v="Courtyard By Marriott Pensacola"/>
        <s v="Fairfield Inn &amp; Suites Snyder"/>
        <s v="Fairfield Inn &amp; Suites Russellville"/>
        <s v="SpringHill Suites By Marriott Austin South"/>
        <s v="Fairfield Inn &amp; Suites Chicago Lombard"/>
        <s v="Fairfield Inn &amp; Suites Dallas West/I-30"/>
        <s v="Fairfield by Marriott Inn &amp; Suites Pensacola Pine Forest"/>
        <s v="Courtyard by Marriott Pensacola I-10 West"/>
        <s v="Fairfield by Marriott Inn &amp; Suites Corpus Christi Central"/>
        <s v="Courtyard By Marriott Houston Kingwood"/>
        <s v="SpringHill Suites By Marriott Houston Katy Mills"/>
        <s v="Fairfield Inn &amp; Suites Houston Westchase"/>
        <s v="AC Hotel Madison Downtown"/>
        <s v="Fairfield Inn &amp; Suites Nashville Smyrna"/>
        <s v="SpringHill Suites By Marriott Houston Northwest"/>
        <s v="Fairfield Inn &amp; Suites Laredo"/>
        <s v="SpringHill Suites By Marriott Houston Baytown"/>
        <s v="Courtyard By Marriott Salina"/>
        <s v="Fairfield Inn &amp; Suites Birmingham Fultondale/I-65"/>
        <s v="Fairfield Inn &amp; Suites Meridian"/>
        <s v="Courtyard By Marriott Dallas Downtown/Reunion District"/>
        <s v="Courtyard By Marriott Cartersville"/>
        <s v="Fairfield Inn &amp; Suites Boston Marlborough/Apex Center"/>
        <s v="Fairfield Inn &amp; Suites Washington"/>
        <s v="Fairfield Inn &amp; Suites Hickory"/>
        <s v="Fairfield Inn &amp; Suites New Bedford"/>
        <s v="Courtyard By Marriott Edgewater NYC Area"/>
        <s v="Fairfield by Marriott Inn &amp; Suites Columbia Harbison"/>
        <s v="Fairfield Inn &amp; Suites Mebane"/>
        <s v="Fairfield Inn &amp; Suites Philadelphia Valley Forge/Great Valley"/>
        <s v="SpringHill Suites By Marriott Durham Chapel Hill"/>
        <s v="Courtyard By Marriott Kokomo"/>
        <s v="Fairfield Inn &amp; Suites Knoxville East"/>
        <s v="Courtyard By Marriott Wilkes-Barre Arena"/>
        <s v="Courtyard By Marriott Raleigh Cary/Parkside Town Commons"/>
        <s v="Courtyard By Marriott Battle Creek"/>
        <s v="Fairfield Inn &amp; Suites Parsippany"/>
        <s v="Fairfield by Marriott Inn &amp; Suites Helen"/>
        <s v="Courtyard By Marriott Greenville Downtown"/>
        <s v="SpringHill Suites By Marriott Newnan"/>
        <s v="Fairfield Inn &amp; Suites Plattsburgh"/>
        <s v="Fairfield Inn &amp; Suites Boston Cambridge"/>
        <s v="Fairfield Inn By Marriott Deptford"/>
        <s v="Courtyard By Marriott Miami Downtown/Brickell Area"/>
        <s v="Fairfield Inn &amp; Suites New York Brooklyn"/>
        <s v="SpringHill Suites By Marriott Detroit Dearborn"/>
        <s v="Fairfield Inn &amp; Suites Richmond Midlothian"/>
        <s v="Fairfield Inn &amp; Suites Wilkes-Barre Scranton"/>
        <s v="Fairfield by Marriott Inn &amp; Suites Whitsett Greensboro East"/>
        <s v="Courtyard By Marriott Carrollton"/>
        <s v="Courtyard By Marriott Orlando Downtown"/>
        <s v="Courtyard by Marriott Gainesville GA"/>
        <s v="Courtyard By Marriott Tampa North/I-75 Fletcher"/>
        <s v="SpringHill Suites By Marriott Newark Liberty International Airport"/>
        <s v="Courtyard By Marriott Morgantown"/>
        <s v="Fairfield Inn &amp; Suites Douglas"/>
        <s v="Courtyard By Marriott Louisville Downtown"/>
        <s v="Fairfield Inn &amp; Suites Virginia Beach Oceanfront"/>
        <s v="Fairfield Inn &amp; Suites Keene Downtown"/>
        <s v="Courtyard By Marriott Winter Haven"/>
        <s v="Fairfield Inn &amp; Suites Commerce"/>
        <s v="Fairfield by Marriott Inn &amp; Suites Knoxville Airport Alcoa"/>
        <s v="Fairfield Inn &amp; Suites Geneva Finger Lakes"/>
        <s v="Courtyard By Marriott Detroit Farmington Hills"/>
        <s v="SpringHill Suites By Marriott Dayton Beavercreek"/>
        <s v="SpringHill Suites By Marriott West Mifflin"/>
        <s v="Fairfield Inn &amp; Suites Watertown Thousand Islands"/>
        <s v="Courtyard By Marriott Blacksburg"/>
        <s v="Fairfield Inn &amp; Suites Clermont"/>
        <s v="SpringHill Suites By Marriott Philadelphia Airport/Ridley Park"/>
        <s v="AC Hotel Naples 5th Avenue"/>
        <s v="Fairfield by Marriott Inn &amp; Suites Brooksville Suncoast Parkway"/>
        <s v="Courtyard By Marriott Warner Robins"/>
        <s v="SpringHill Suites By Marriott Chambersburg"/>
        <s v="SpringHill Suites by Marriott Freeport Brunswick"/>
        <s v="Courtyard By Marriott Charlotte Matthews"/>
        <s v="SpringHill Suites By Marriott Camp Hill"/>
        <s v="Fairfield Inn By Marriott Charlotte Northlake"/>
        <s v="Fairfield Inn &amp; Suites Richmond Airport"/>
        <s v="Fairfield Inn &amp; Suites Anderson Clemson"/>
        <s v="SpringHill Suites By Marriott Tampa Suncoast Parkway"/>
        <s v="Fairfield Inn &amp; Suites Abingdon"/>
        <s v="SpringHill Suites by Marriott Roanoke North"/>
        <s v="Courtyard By Marriott Richmond Chester"/>
        <s v="Fairfield Inn &amp; Suites Santee"/>
        <s v="Fairfield Inn &amp; Suites Calhoun"/>
        <s v="Fairfield Inn By Marriott Toronto Oakville"/>
        <s v="Courtyard By Marriott Tysons McLean"/>
        <s v="Courtyard By Marriott Niagara Falls, USA"/>
        <s v="Springhill Suites by Marriott Easton PA"/>
        <s v="Courtyard By Marriott Columbia Northeast/Fort Jackson Area"/>
        <s v="Fairfield Inn &amp; Suites High Point Archdale"/>
        <s v="Fairfield Inn &amp; Suites Orlando East/UCF Area"/>
        <s v="Fairfield Inn &amp; Suites Athens"/>
        <s v="SpringHill Suites By Marriott New York Midtown Manhattan/Park Avenue"/>
        <s v="Fairfield Inn &amp; Suites Toronto Brampton"/>
        <s v="Fairfield Inn &amp; Suites Princeton"/>
        <s v="Fairfield by Marriott Inn &amp; Suites Hartford North/Enfield"/>
        <s v="SpringHill Suites By Marriott Harrisburg Hershey"/>
        <s v="SpringHill Suites By Marriott Charleston Airport &amp; Convention Center"/>
        <s v="SpringHill Suites By Marriott Devens Common Center"/>
        <s v="Fairfield Inn &amp; Suites Winston-Salem Downtown"/>
        <s v="Fairfield Inn &amp; Suites Columbus, IN"/>
        <s v="SpringHill Suites By Marriott Grand Rapids West"/>
        <s v="SpringHill Suites By Marriott Somerset Franklin Township"/>
        <s v="Fairfield by Marriott Inn &amp; Suites Providence Airport Warwick"/>
        <s v="Fairfield Inn &amp; Suites Monaca"/>
        <s v="Fairfield Inn By Marriott Medford Long Island"/>
        <s v="Courtyard By Marriott Indianapolis Fishers"/>
        <s v="Fairfield by Marriott Inn &amp; Suites Southport"/>
        <s v="Fairfield by Marriott Inn &amp; Suites Bethlehem PA"/>
        <s v="Fairfield Inn By Marriott Corning Riverside"/>
        <s v="Courtyard By Marriott Binghamton"/>
        <s v="AC Hotel Bridgewater"/>
        <s v="Fairfield Inn &amp; Suites Atlanta Suwanee"/>
        <s v="Fairfield Inn &amp; Suites Midland"/>
        <s v="Courtyard By Marriott Elkhart"/>
        <s v="Courtyard By Marriott Winston-Salem University"/>
        <s v="Courtyard By Marriott Charleston Waterfront"/>
        <s v="Fairfield Inn &amp; Suites Kingsport"/>
        <s v="Fairfield Inn &amp; Suites Springfield Northampton/Amherst"/>
        <s v="Courtyard By Marriott Albion"/>
        <s v="Fairfield Inn &amp; Suites Atlanta Acworth"/>
        <s v="Fairfield Inn &amp; Suites Detroit Troy"/>
        <s v="Fairfield Inn &amp; Suites Atlanta Vinings/Galleria"/>
        <s v="SpringHill Suites By Marriott Fort Lauderdale Miramar"/>
        <s v="AC Hotel Washington DC Convention Center"/>
        <s v="Fairfield Inn &amp; Suites Toronto Airport"/>
        <s v="Courtyard By Marriott New York Queens/Fresh Meadows"/>
        <s v="Fairfield by Marriott Inn &amp; Suites Deerfield Beach Boca Raton"/>
        <s v="Courtyard By Marriott Toronto Vaughan"/>
        <s v="Fairfield Inn &amp; Suites Barrie"/>
        <s v="Fairfield Inn By Marriott Tallahassee North/I-10"/>
        <s v="Fairfield Inn &amp; Suites Atlanta Perimeter Center"/>
        <s v="SpringHill Suites By Marriott Mishawaka-University Area"/>
        <s v="Fairfield Inn &amp; Suites Fort Lauderdale Pembroke Pines"/>
        <s v="Courtyard By Marriott Ann Arbor"/>
        <s v="Courtyard By Marriott Fayetteville Fort Liberty/Spring Lake"/>
        <s v="Fairfield Inn &amp; Suites Cordele"/>
        <s v="Fairfield Inn &amp; Suites DuBois"/>
        <s v="Fairfield Inn &amp; Suites Elmira Corning"/>
        <s v="Fairfield Inn &amp; Suites Detroit Metro Airport Romulus"/>
        <s v="Fairfield Inn &amp; Suites Beckley"/>
        <s v="Fairfield Inn &amp; Suites New York Manhattan/Central Park"/>
        <s v="Moxy NYC Times Square"/>
        <s v="Fairfield by Marriott Inn &amp; Suites Columbus Hilliard"/>
        <s v="Fairfield Inn &amp; Suites Boston Walpole"/>
        <s v="Fairfield Inn &amp; Suites Fayetteville North"/>
        <s v="Fairfield by Marriott Inn &amp; Suites Cornelia"/>
        <s v="SpringHill Suites By Marriott Frankenmuth"/>
        <s v="Fairfield Inn &amp; Suites Flint Fenton"/>
        <s v="Fairfield Inn &amp; Suites South Bend at Notre Dame"/>
        <s v="Fairfield Inn &amp; Suites Louisville Shepherdsville"/>
        <s v="AC Hotel St. Petersburg Downtown"/>
        <s v="Fairfield by Marriott Inn &amp; Suites Dalton"/>
        <s v="Courtyard By Marriott Lenox Berkshires"/>
        <s v="AC Hotel Pittsburgh Downtown"/>
        <s v="Fairfield Inn &amp; Suites Jacksonville Airport"/>
        <s v="SpringHill Suites By Marriott Greensboro"/>
        <s v="Fairfield Inn &amp; Suites Edison-South Plainfield"/>
        <s v="Fairfield Inn &amp; Suites New York Queens/Fresh Meadows"/>
        <s v="SpringHill Suites By Marriott Gainesville"/>
        <s v="Fairfield Inn By Marriott Philadelphia Airport"/>
        <s v="Fairfield by Marriott Inn and Suites Augusta Fort Eisenhower Area"/>
        <s v="Courtyard By Marriott Washington, DC/U.S. Capitol"/>
        <s v="Courtyard By Marriott Toronto Mississauga/Meadowvale"/>
        <s v="Courtyard By Marriott Elmira Horseheads"/>
        <s v="Fairfield by Marriott Niagara Falls, Canada"/>
        <s v="Fairfield Inn &amp; Suites Sault Ste. Marie"/>
        <s v="Fairfield Inn &amp; Suites Milledgeville"/>
        <s v="Courtyard By Marriott Concord"/>
        <s v="Fairfield Inn &amp; Suites Tampa Wesley Chapel"/>
        <s v="SpringHill Suites by Marriott Lexington Fritz Farm"/>
        <s v="SpringHill Suites By Marriott Richmond Northwest"/>
        <s v="Fairfield Inn &amp; Suites Towanda Wysox"/>
        <s v="Courtyard By Marriott Wilmington/Wrightsville Beach"/>
        <s v="Courtyard By Marriott Pittsburgh Greensburg"/>
        <s v="Fairfield by Marriott Inn &amp; Suites Morrow"/>
        <s v="Fairfield by Marriott Inn &amp; Suites York"/>
        <s v="Fairfield by Marriott Inn &amp; Suites Lebanon"/>
        <s v="Fairfield by Marriott Inn &amp; Suites Los Lunas"/>
        <s v="Moxy Ottawa Downtown"/>
        <s v="Four Points by Sheraton Savannah Airport"/>
        <s v="Fairfield by Marriott Inn &amp; Suites Stoughton"/>
        <s v="AC Hotel Denver RiNo"/>
        <s v="SpringHill Suites by Marriott Sandusky"/>
        <s v="Aloft El Dorado Hills"/>
        <s v="Fairfield by Marriott Inn &amp; Suites Bradford"/>
        <s v="Fairfield by Marriott Inn &amp; Suites Sidney"/>
        <s v="AC Hotel McKinney"/>
        <s v="Fairfield by Marriott Inn &amp; Suites Detroit Sterling Heights"/>
        <s v="Courtyard by Marriott New York Queens/Jamaica"/>
        <s v="Fairfield by Marriott Inn &amp; Suites New York Queens/Jamaica"/>
        <s v="Fairfield Inn Port Huron"/>
        <s v="Fairfield by Marriott Inn &amp; Suites New York Manhattan/Fifth Avenue"/>
        <s v="Courtyard by Marriott Newburgh Stewart Airport"/>
        <s v="Courtyard by Marriott Portland Downtown/Waterfront"/>
        <s v="Fairfield by Marriott Inn &amp; Suites Paramus"/>
        <s v="Courtyard by Marriott North Brunswick"/>
        <s v="Fairfield by Marriott Inn &amp; Suites Philadelphia Broomall/Newtown Square"/>
        <s v="Fairfield by Marriott Inn &amp; Suites Palm Beach"/>
        <s v="Fairfield by Marriott Inn &amp; Suites Pittsburgh Downtown"/>
        <s v="SpringHill Suites by Marriott Knoxville at Turkey Creek"/>
        <s v="Courtyard by Marriott Philadelphia Coatesville Exton"/>
        <s v="Fairfield by Marriott Inn &amp; Suites Newark Liberty International Airport"/>
        <s v="Courtyard by Marriott Charleston Downtown/Civic Center"/>
        <s v="Fairfield by Marriott Inn &amp; Suites New York Manhattan/Chelsea"/>
        <s v="SpringHill Suites by Marriott New York JFK Airport/Jamaica"/>
        <s v="SpringHill Suites by Marriott East Rutherford Meadowlands/Carlstadt"/>
        <s v="Courtyard by Marriott Lyndhurst Meadowlands"/>
        <s v="Fairfield by Marriott Inn &amp; Suites Union"/>
        <s v="SpringHill Suites by Marriott Quakertown"/>
        <s v="Courtyard by Marriott Atlanta NE/Duluth Sugarloaf"/>
        <s v="AC Hotel Atlanta Midtown"/>
        <s v="Moxy Atlanta Midtown"/>
        <s v="Courtyard by Marriott Edison Woodbridge"/>
        <s v="AC Hotel Newtown Square"/>
        <s v="Courtyard by Marriott Atlanta Kennesaw"/>
        <s v="Courtyard by Marriott Newark-University of Delaware"/>
        <s v="Courtyard by Marriott Miami Coral Gables"/>
        <s v="SpringHill Suites by Marriott Pittsburgh Mills"/>
        <s v="Fairfield by Marriott Inn &amp; Suites Philadelphia Downtown/Center City"/>
        <s v="Courtyard by Marriott Atlanta Dunwoody"/>
        <s v="Courtyard by Marriott Raleigh Cary Crossroads"/>
        <s v="Courtyard by Marriott Boynton Beach"/>
        <s v="AC Hotel Boston Cambridge"/>
        <s v="Moxy NYC East Village"/>
        <s v="SpringHill Suites by Marriott Atlanta Alpharetta"/>
        <s v="Courtyard by Marriott Philadelphia Montgomeryville"/>
        <s v="SpringHill Suites by Marriott Voorhees Mt. Laurel/Cherry Hill"/>
        <s v="Fairfield by Marriott Inn &amp; Suites Raleigh Cary"/>
        <s v="Courtyard by Marriott Atlanta Vinings/Galleria"/>
        <s v="Courtyard by Marriott Mahwah"/>
        <s v="Fairfield by Marriott Inn &amp; Suites Cambridge"/>
        <s v="Fairfield by Marriott Inn &amp; Suites Washington Casino Area"/>
        <s v="Fairfield by Marriott Inn &amp; Suites New York Queens/Queensboro Bridge"/>
        <s v="Fairfield by Marriott Inn &amp; Suites South Boston"/>
        <s v="SpringHill Suites by Marriott Woodbridge"/>
        <s v="Fairfield by Marriott Inn &amp; Suites Miami Airport West/Doral"/>
        <s v="Fairfield by Marriott Inn &amp; Suites Mahwah"/>
        <s v="Fairfield by Marriott Inn &amp; Suites New York Manhattan/Downtown East"/>
        <s v="Courtyard by Marriott Toronto Mississauga/West"/>
        <s v="AC Hotel New York Times Square"/>
        <s v="Fairfield by Marriott Inn &amp; Suites New York Manhattan/Financial District"/>
        <s v="SpringHill Suites by Marriott Miami Doral"/>
        <s v="SpringHill Suites by Marriott West Palm Beach I-95"/>
        <s v="Moxy NYC Lower East Side"/>
        <s v="Fairfield by Marriott Inn &amp; Suites Miami Airport South"/>
        <s v="Courtyard by Marriott Philadelphia Springfield"/>
        <s v="Courtyard by Marriott West Palm Beach Airport"/>
        <s v="Courtyard by Marriott Boston Dedham/Westwood"/>
        <s v="Courtyard by Marriott New York Manhattan/Midtown West"/>
        <s v="Fairfield by Marriott Inn &amp; Suites Toronto Mississauga"/>
        <s v="Courtyard by Marriott Wayne Fairfield"/>
        <s v="SpringHill Suites by Marriott Boston Peabody"/>
        <s v="AC Hotel Orlando Lake Buena Vista"/>
        <s v="Courtyard by Marriott Somerset"/>
        <s v="Fairfield by Marriott Inn &amp; Suites North Bergen"/>
        <s v="AC Hotel Pittsburgh Southpointe"/>
        <s v="Fairfield by Marriott Inn &amp; Suites Hardeeville I-95 North"/>
        <s v="Courtyard by Marriott Deptford"/>
        <s v="Fairfield by Marriott Inn &amp; Suites New York Midtown Manhattan/Penn Station"/>
        <s v="SpringHill Suites by Marriott Philadelphia West Chester/Exton"/>
        <s v="Courtyard by Marriott Philadelphia City Avenue"/>
        <s v="SpringHill Suites by Marriott Atlanta Northwest"/>
        <s v="Fairfield by Marriott Inn &amp; Suites West Palm Beach"/>
        <s v="SpringHill Suites by Marriott New York Manhattan Times Square"/>
        <s v="Moxy Miami Wynwood"/>
        <s v="Fairfield Inn Boston Woburn/Burlington"/>
        <s v="SpringHill Suites by Marriott Miami Airport South Blue Lagoon Area"/>
        <s v="SpringHill Suites by Marriott Atlanta Downtown"/>
        <s v="SpringHill Suites by Marriott Tarrytown Westchester County"/>
        <s v="Courtyard by Marriott Boston Logan Airport"/>
        <s v="SpringHill Suites by Marriott Mt. Laurel Cherry Hill"/>
        <s v="SpringHill Suites by Marriott Newark Downtown"/>
        <s v="Courtyard by Marriott Miami Homestead"/>
        <s v="Fairfield by Marriott Inn &amp; Suites Batesville"/>
        <s v="SpringHill Suites by Marriott Wisconsin Dells"/>
        <s v="Courtyard by Marriott St. Paul Downtown"/>
        <s v="Courtyard by Marriott Sioux City Downtown/Convention Center"/>
        <s v="Fairfield by Marriott Inn &amp; Suites Minneapolis-St. Paul Airport"/>
        <s v="Fairfield by Marriott Inn &amp; Suites Tupelo"/>
        <s v="Fairfield by Marriott Inn &amp; Suites Minneapolis Bloomington/Mall of America"/>
        <s v="Fairfield by Marriott Inn &amp; Suites Wisconsin Dells"/>
        <s v="Courtyard by Marriott Glassboro Rowan University"/>
        <s v="Fairfield by Marriott Inn &amp; Suites Chillicothe"/>
        <s v="Fairfield by Marriott Inn &amp; Suites Tulsa South Medical District"/>
        <s v="Fairfield by Marriott Inn &amp; Suites Houston Richmond"/>
        <s v="Fairfield by Marriott Inn &amp; Suites San Antonio SeaWorld®/Westover Hills"/>
        <s v="Fairfield by Marriott Inn &amp; Suites Dallas McKinney"/>
        <s v="Fairfield by Marriott Inn &amp; Suites Marion"/>
        <s v="Courtyard by Marriott Victoria"/>
        <s v="SpringHill Suites by Marriott Springfield Southwest"/>
        <s v="Courtyard by Marriott Houston Northwest/Cypress"/>
        <s v="SpringHill Suites by Marriott Oklahoma City Midwest City/Del City"/>
        <s v="SpringHill Suites by Marriott Overland Park Leawood"/>
        <s v="Fairfield by Marriott Inn &amp; Suites Dallas Medical/Market Center"/>
        <s v="Courtyard by Marriott Dallas Plano/Richardson"/>
        <s v="Fairfield by Marriott Inn &amp; Suites Houston Katy"/>
        <s v="SpringHill Suites by Marriott Tulsa at Tulsa Hills"/>
        <s v="Courtyard by Marriott Houston Rice University"/>
        <s v="Courtyard by Marriott Kansas City Shawnee"/>
        <s v="Fairfield by Marriott Inn &amp; Suites Dallas East"/>
        <s v="SpringHill Suites by Marriott Dallas DFW Airport South/CentrePort"/>
        <s v="Courtyard by Marriott Houston Northeast"/>
        <s v="Fairfield by Marriott Inn &amp; Suites Kansas City Lee's Summit"/>
        <s v="Courtyard by Marriott Dallas Northwest"/>
        <s v="SpringHill Suites by Marriott Dallas Rockwall"/>
        <s v="Courtyard by Marriott Dallas DFW Airport South/Irving"/>
        <s v="SpringHill Suites by Marriott Dallas Richardson/University Area"/>
        <s v="Fairfield by Marriott Inn &amp; Suites Tulsa Central"/>
        <s v="Fairfield by Marriott Inn &amp; Suites Dallas Love Field"/>
        <s v="SpringHill Suites by Marriott Kansas City Overland Park"/>
        <s v="Courtyard by Marriott Houston NW/290 Corridor"/>
        <s v="Fairfield by Marriott Inn &amp; Suites Houston The Woodlands"/>
        <s v="Courtyard by Marriott Dallas Allen at the Event Center"/>
        <s v="Courtyard by Marriott San Antonio SeaWorld®/Westover Hills"/>
        <s v="AC Hotel Fort Worth Downtown"/>
        <s v="Fairfield by Marriott Inn &amp; Suites Houston Missouri City"/>
        <s v="Fairfield by Marriott Inn &amp; Suites Houston Memorial City Area"/>
        <s v="SpringHill Suites by Marriott Dallas Arlington North"/>
        <s v="Courtyard by Marriott Dallas Flower Mound"/>
        <s v="Courtyard by Marriott Dallas DFW Airport North/Irving"/>
        <s v="Fairfield by Marriott Inn &amp; Suites Waller"/>
        <s v="SpringHill Suites by Marriott Stillwater"/>
        <s v="Fairfield by Marriott Inn &amp; Suites Fort Worth Alliance Airport"/>
        <s v="SpringHill Suites by Marriott Waco"/>
        <s v="Courtyard by Marriott Dallas Frisco"/>
        <s v="Fairfield by Marriott Inn &amp; Suites Dallas Plano North"/>
        <s v="Courtyard by Marriott St Louis Chesterfield"/>
        <s v="SpringHill Suites by Marriott Houston Medical Center/NRG Park"/>
        <s v="SpringHill Suites by Marriott Dallas NW Highway at Stemmons/I-35E"/>
        <s v="Fairfield by Marriott Inn &amp; Suites DeSoto Dallas South"/>
        <s v="Fairfield by Marriott Inn &amp; Suites St. Louis Downtown"/>
        <s v="Fairfield by Marriott Inn &amp; Suites Houston Conroe Near The Woodlands®"/>
        <s v="SpringHill Suites by Marriott Dallas Mansfield"/>
        <s v="SpringHill Suites by Marriott Dallas Downtown/West End"/>
        <s v="Courtyard by Marriott Houston Sugar Land/Lake Pointe"/>
        <s v="Fairfield Inn Kansas City Downtown/Union Hill"/>
        <s v="Fairfield by Marriott Inn &amp; Suites Rockport"/>
        <s v="Moxy Houston Downtown"/>
        <s v="Fairfield by Marriott Inn &amp; Suites San Antonio Alamo Plaza/Convention Center"/>
        <s v="SpringHill Suites by Marriott San Antonio Alamo Plaza/Convention Center"/>
        <s v="SpringHill Suites by Marriott Houston Rosenberg"/>
        <s v="Courtyard by Marriott Dallas Grand Prairie"/>
        <s v="Courtyard by Marriott Fort Worth Downtown/Blackstone"/>
        <s v="SpringHill Suites by Marriott Houston Sugar Land"/>
        <s v="Courtyard by Marriott Dallas Medical/Market Center"/>
        <s v="SpringHill Suites by Marriott Dallas DFW Airport North/Grapevine"/>
        <s v="Courtyard by Marriott Houston Medical Center/NRG Park"/>
        <s v="SpringHill Suites by Marriott Kansas City Plaza"/>
        <s v="Fairfield by Marriott Inn &amp; Suites Terrell"/>
        <s v="Fairfield by Marriott Inn &amp; Suites Effingham"/>
        <s v="Courtyard by Marriott Kansas City Olathe"/>
        <s v="Fairfield by Marriott Inn &amp; Suites Wichita Falls Northwest"/>
        <s v="Fairfield by Marriott Inn &amp; Suites Dallas DFW Airport North/Coppell Grapevine"/>
        <s v="SpringHill Suites by Marriott Kansas City Northeast"/>
        <s v="SpringHill Suites by Marriott Fort Worth Fossil Creek"/>
        <s v="SpringHill Suites by Marriott Houston Brookhollow"/>
        <s v="SpringHill Suites by Marriott Kansas City Lenexa/City Center"/>
        <s v="SpringHill Suites by Marriott Dallas Central Expressway"/>
        <s v="Fairfield by Marriott Inn &amp; Suites Fort Worth Southwest at Cityview"/>
        <s v="Fairfield by Marriott Inn &amp; Suites Fort Worth Downtown/Convention Center"/>
        <s v="Fairfield by Marriott Inn &amp; Suites Kansas City Shawnee"/>
        <s v="Fairfield by Marriott Inn &amp; Suites Fort Worth South/Burleson"/>
        <s v="SpringHill Suites by Marriott Kansas City Airport"/>
        <s v="SpringHill Suites by Marriott Denton"/>
        <s v="Courtyard by Marriott Denton"/>
        <s v="SpringHill Suites by Marriott Houston NASA/Seabrook"/>
        <s v="Fairfield by Marriott Inn &amp; Suites Houston NASA/Webster"/>
        <s v="Fairfield by Marriott Inn &amp; Suites Fort Worth Northeast"/>
        <s v="Fairfield by Marriott Inn &amp; Suites Ponca City"/>
        <s v="Fairfield by Marriott Inn &amp; Suites Kansas City Belton"/>
        <s v="Fairfield by Marriott Inn &amp; Suites Dallas DFW Airport North/ Irving"/>
        <s v="Fairfield by Marriott Inn &amp; Suites Houston Northwest/Willowbrook"/>
        <s v="Courtyard by Marriott Longview North"/>
        <s v="Fairfield by Marriott Inn &amp; Suites Kansas City at The Legends"/>
        <s v="Fairfield by Marriott Inn &amp; Suites Dallas Arlington South"/>
        <s v="Fairfield by Marriott Inn &amp; Suites El Paso"/>
        <s v="Fairfield by Marriott Inn &amp; Suites Airdrie"/>
        <s v="Courtyard by Marriott Las Cruces at NMSU"/>
        <s v="Courtyard by Marriott Santa Fe"/>
        <s v="Fairfield by Marriott Inn &amp; Suites Albuquerque North"/>
        <s v="SpringHill Suites by Marriott Salt Lake City-South Jordan"/>
        <s v="AC Hotel Tucson Downtown"/>
        <s v="Fairfield by Marriott Inn &amp; Suites Alamosa"/>
        <s v="Fairfield by Marriott Inn &amp; Suites Boulder Longmont"/>
        <s v="Courtyard by Marriott Pueblo Downtown"/>
        <s v="Courtyard by Marriott Colorado Springs South"/>
        <s v="Fairfield by Marriott Inn &amp; Suites Rawlins"/>
        <s v="Fairfield by Marriott Inn &amp; Suites Phoenix Midtown"/>
        <s v="Fairfield by Marriott Inn &amp; Suites Albuquerque Airport"/>
        <s v="SpringHill Suites by Marriott Prescott"/>
        <s v="Fairfield by Marriott Inn &amp; Suites Durango"/>
        <s v="Courtyard by Marriott Los Angeles Woodland Hills"/>
        <s v="AC Hotel Seattle Downtown"/>
        <s v="SpringHill Suites by Marriott Seattle Issaquah"/>
        <s v="Fairfield by Marriott Inn &amp; Suites Hanford"/>
        <s v="SpringHill Suites by Marriott at Anaheim Resort/Convention Center"/>
        <s v="Courtyard by Marriott Long Beach Airport"/>
        <s v="SpringHill Suites by Marriott Seattle Downtown/South Lake Union"/>
        <s v="Moxy Seattle Downtown"/>
        <s v="Fairfield by Marriott Inn &amp; Suites San Francisco Airport Oyster Point Area"/>
        <s v="AC Hotel Vancouver Waterfront"/>
        <s v="SpringHill Suites by Marriott Los Angeles Downey"/>
        <s v="AC Hotel Pasadena"/>
        <s v="SpringHill Suites by Marriott Las Vegas Henderson"/>
        <s v="Fairfield by Marriott Inn &amp; Suites Chino"/>
        <s v="Courtyard by Marriott Seattle Kirkland"/>
        <s v="Fairfield by Marriott Inn &amp; Suites Los Angeles LAX/El Segundo"/>
        <s v="SpringHill Suites by Marriott Medford Airport"/>
        <s v="AC Hotel Seattle Bellevue/Downtown"/>
        <s v="Courtyard by Marriott Seattle Sea-Tac Area"/>
        <s v="Fairfield by Marriott Inn &amp; Suites Santa Cruz"/>
        <s v="Fairfield by Marriott Inn &amp; Suites Anaheim Los Alamitos"/>
        <s v="Courtyard by Marriott Cypress Anaheim/Orange County"/>
        <s v="Fairfield by Marriott Inn &amp; Suites Riverside Moreno Valley"/>
        <s v="SpringHill Suites by Marriott Pleasanton"/>
        <s v="Fairfield by Marriott Inn &amp; Suites Seattle Sea-Tac Airport"/>
        <s v="Courtyard by Marriott Seattle Everett Downtown"/>
        <s v="SpringHill Suites by Marriott Madera"/>
        <s v="Courtyard by Marriott Seattle Northgate"/>
        <s v="SpringHill Suites by Marriott Irvine John Wayne Airport/Orange County"/>
        <s v="Fairfield Inn Issaquah"/>
        <s v="SpringHill Suites by Marriott Las Vegas North Speedway"/>
        <s v="Courtyard by Marriott San Francisco Airport Burlingame"/>
        <s v="Fairfield Inn Mission Viejo Orange County"/>
        <s v="SpringHill Suites by Marriott Oakland Airport"/>
        <s v="Courtyard by Marriott Seattle North/Lynnwood Everett"/>
        <s v="Courtyard by Marriott Los Angeles Burbank Airport"/>
        <s v="Skybridge Seattle Airport Hotel"/>
        <s v="SpringHill Suites by Marriott Medford"/>
        <s v="Fairfield by Marriott Inn &amp; Suites Penticton"/>
        <s v="SpringHill Suites by Marriott Portland Vancouver"/>
        <s v="Courtyard by Marriott Culver City Los Angeles"/>
        <s v="Moxy Portland Downtown"/>
        <s v="Fairfield by Marriott Inn &amp; Suites Los Angeles Rosemead"/>
        <s v="Courtyard by Marriott Santa Ana Orange County"/>
        <s v="Fairfield by Marriott Inn &amp; Suites Seattle Downtown/Seattle Center"/>
        <s v="Fairfield by Marriott Inn &amp; Suites Sacramento Airport Natomas"/>
        <s v="Fairfield by Marriott Inn &amp; Suites Livermore"/>
        <s v="SpringHill Suites by Marriott Irvine Lake Forest"/>
        <s v="Fairfield by Marriott Inn &amp; Suites Seattle Poulsbo"/>
        <s v="SpringHill Suites by Marriott Las Vegas Airport"/>
        <s v="Courtyard by Marriott Reno Downtown/Riverfront"/>
        <s v="Courtyard By Marriott Abilene Southwest/Abilene Mall South"/>
        <s v="SpringHill Suites By Marriott Albuquerque North/Journal Center"/>
        <s v="Courtyard By Marriott Amarillo West/Medical Center"/>
        <s v="Fairfield Inn &amp; Suites Amarillo West/Medical Center"/>
        <s v="AC Hotel Austin Hill Country"/>
        <s v="Fairfield Inn &amp; Suites Austin-University Area"/>
        <s v="Courtyard By Marriott Bloomington Normal"/>
        <s v="Fairfield Inn &amp; Suites Moab"/>
        <s v="SpringHill Suites By Marriott Moab"/>
        <s v="Fairfield Inn &amp; Suites Grand Junction Downtown/Historic Main Street"/>
        <s v="SpringHill Suites By Marriott Grand Junction Downtown/Historic Main Street"/>
        <s v="Courtyard By Marriott Monroe Airport"/>
        <s v="Fairfield Inn &amp; Suites Grand Mound Centralia"/>
        <s v="Fairfield Inn &amp; Suites Temecula"/>
        <s v="SpringHill Suites By Marriott Temecula Valley Wine Country"/>
        <s v="Courtyard By Marriott Portland Airport"/>
        <s v="Fairfield Inn &amp; Suites Portland Airport"/>
        <s v="Fairfield Inn &amp; Suites Bend Downtown"/>
        <s v="Courtyard By Marriott San Antonio Airport/North Star Mall"/>
        <s v="Fairfield Inn &amp; Suites San Antonio Airport/North Star Mall"/>
        <s v="Fairfield Inn &amp; Suites Ukiah Mendocino County"/>
        <s v="Fairfield Inn &amp; Suites Winnemucca"/>
        <s v="Courtyard By Marriott Waterloo Cedar Falls"/>
        <s v="SpringHill Suites By Marriott Hartford Airport/Windsor Locks"/>
        <s v="Courtyard By Marriott Boston Westborough"/>
        <s v="Fairfield Inn By Marriott Battle Creek"/>
        <s v="AC Hotel Burlington"/>
        <s v="Fairfield Inn &amp; Suites Waterbury Stowe"/>
        <s v="Courtyard By Marriott Buffalo Amherst/University"/>
        <s v="SpringHill Suites By Marriott Edgewood Aberdeen"/>
        <s v="Courtyard By Marriott Baltimore Downtown/Inner Harbor"/>
        <s v="Fairfield Inn &amp; Suites Columbia Northeast"/>
        <s v="SpringHill Suites By Marriott Sumter"/>
        <s v="Courtyard By Marriott Akron Downtown"/>
        <s v="Fairfield Inn &amp; Suites Canton South"/>
        <s v="Courtyard By Marriott Dalton"/>
        <s v="Fairfield Inn &amp; Suites Chattanooga South/East Ridge"/>
        <s v="Fairfield Inn &amp; Suites Chattanooga I-24/Lookout Mountain"/>
        <s v="Courtyard By Marriott Charlottesville - University Medical Center"/>
        <s v="Courtyard By Marriott Charleston-North Charleston"/>
        <s v="Fairfield by Marriott Inn &amp; Suites Charleston Downtown"/>
        <s v="SpringHill Suites By Marriott Charleston Mount Pleasant"/>
        <s v="Fairfield Inn &amp; Suites Cleveland Avon"/>
        <s v="SpringHill Suites By Marriott Cleveland Independence"/>
        <s v="Courtyard By Marriott Charlotte Ballantyne Area"/>
        <s v="Fairfield Inn By Marriott Charlotte Gastonia"/>
        <s v="SpringHill Suites By Marriott Charlotte Southwest"/>
        <s v="Courtyard By Marriott Columbus Downtown"/>
        <s v="Fairfield Inn &amp; Suites Columbus Dublin"/>
        <s v="Fairfield Inn &amp; Suites Columbus East"/>
        <s v="Courtyard By Marriott Columbus OSU"/>
        <s v="SpringHill Suites By Marriott Columbus West"/>
        <s v="Courtyard By Marriott LaGrange"/>
        <s v="AC Hotel Cincinnati at Liberty Center"/>
        <s v="Courtyard By Marriott Cincinnati Airport South/Florence"/>
        <s v="SpringHill Suites By Marriott Cincinnati North/Forest Park"/>
        <s v="Fairfield by Marriott Inn &amp; Suites Oxford"/>
        <s v="SpringHill Suites By Marriott Cincinnati Airport South"/>
        <s v="Courtyard By Marriott Lima"/>
        <s v="Courtyard By Marriott Dayton North"/>
        <s v="SpringHill Suites By Marriott Detroit Metro Airport Romulus"/>
        <s v="SpringHill Suites By Marriott Detroit Sterling Heights"/>
        <s v="Fairfield Inn By Marriott Erie Millcreek Mall"/>
        <s v="Fairfield Inn &amp; Suites Easton"/>
        <s v="SpringHill Suites By Marriott New Bern"/>
        <s v="Fairfield Inn &amp; Suites Bridgewater Branchburg/Somerville"/>
        <s v="SpringHill Suites By Marriott Pinehurst Southern Pines"/>
        <s v="Fairfield Inn &amp; Suites Fredericksburg"/>
        <s v="SpringHill Suites By Marriott Mystic Waterford"/>
        <s v="Courtyard By Marriott Grand Rapids Airport"/>
        <s v="Courtyard By Marriott Grand Rapids Downtown"/>
        <s v="SpringHill Suites By Marriott Holland"/>
        <s v="SpringHill Suites by Marriott High Point Downtown"/>
        <s v="Fairfield by Marriott Inn &amp; Suites Piedmont Greenville"/>
        <s v="Fairfield Inn By Marriott Greenville-Spartanburg Airport"/>
        <s v="Fairfield Inn &amp; Suites Harrisburg West"/>
        <s v="Courtyard By Marriott Shippensburg"/>
        <s v="Courtyard By Marriott Harrisburg West/Mechanicsburg"/>
        <s v="SpringHill Suites By Marriott Hilton Head Island"/>
        <s v="Courtyard By Marriott New Haven Orange/Milford"/>
        <s v="Courtyard By Marriott Waterbury Downtown"/>
        <s v="Courtyard By Marriott Cape Cod Hyannis"/>
        <s v="Courtyard By Marriott Carolina Beach Oceanfront"/>
        <s v="Fairfield Inn &amp; Suites Wilmington/Wrightsville Beach"/>
        <s v="Fairfield Inn &amp; Suites Terre Haute"/>
        <s v="Fairfield Inn &amp; Suites Elkin Jonesville"/>
        <s v="Fairfield Inn &amp; Suites Lock Haven"/>
        <s v="SpringHill Suites By Marriott Long Island Brookhaven"/>
        <s v="Fairfield Inn &amp; Suites Ithaca"/>
        <s v="Courtyard By Marriott St. Augustine Beach"/>
        <s v="Fairfield Inn &amp; Suites Jacksonville West/Chaffee Point"/>
        <s v="Courtyard By Marriott Jackson"/>
        <s v="Courtyard By Marriott Lafayette"/>
        <s v="Fairfield Inn &amp; Suites Lafayette"/>
        <s v="Courtyard by Marriott Lansing Downtown"/>
        <s v="Courtyard By Marriott Lexington Keeneland/Airport"/>
        <s v="Fairfield Inn &amp; Suites Lynchburg Liberty University"/>
        <s v="Fairfield Inn &amp; Suites Saginaw"/>
        <s v="SpringHill Suites By Marriott Macon"/>
        <s v="Fairfield Inn &amp; Suites Warner Robins"/>
        <s v="Fairfield Inn &amp; Suites Orlando Lake Buena Vista"/>
        <s v="SpringHill Suites By Marriott Orlando Lake Buena Vista South"/>
        <s v="Courtyard By Marriott Orlando Altamonte Springs/Maitland"/>
        <s v="Courtyard By Marriott Orlando Lake Mary/North"/>
        <s v="Fairfield Inn &amp; Suites Orlando Ocoee"/>
        <s v="SpringHill Suites By Marriott Orlando Airport"/>
        <s v="SpringHill Suites By Marriott Orlando North/Sanford"/>
        <s v="Fairfield Inn &amp; Suites Manchester South/Hooksett"/>
        <s v="Fairfield Inn &amp; Suites Homestead Florida City"/>
        <s v="Fairfield Inn &amp; Suites Muskegon Norton Shores"/>
        <s v="Fairfield Inn &amp; Suites Melbourne Viera Town Center"/>
        <s v="SpringHill Suites By Marriott Cape Canaveral Cocoa Beach"/>
        <s v="Courtyard By Marriott Stafford Quantico"/>
        <s v="Fairfield Inn &amp; Suites Quantico Stafford"/>
        <s v="Courtyard By Marriott Mobile Daphne/Eastern Shore"/>
        <s v="Fairfield Inn &amp; Suites Mobile Daphne/Eastern Shore"/>
        <s v="Fairfield by Marriott Inn &amp; Suites Virginia Beach/Norfolk Airport"/>
        <s v="SpringHill Suites By Marriott Virginia Beach Oceanfront"/>
        <s v="Moxy Virginia Beach Oceanfront"/>
        <s v="Courtyard by Marriott Port St. Lucie Tradition"/>
        <s v="Courtyard By Marriott Stuart"/>
        <s v="Fairfield by Marriott Inn &amp; Suites Weldon"/>
        <s v="Courtyard By Marriott Pittsburgh West Homestead/Waterfront"/>
        <s v="Courtyard By Marriott Pittsburgh Airport Settlers Ridge"/>
        <s v="SpringHill Suites By Marriott Wheeling Triadelphia Area"/>
        <s v="SpringHill Suites By Marriott Pittsburgh Washington"/>
        <s v="Courtyard By Marriott Petoskey at Victories Square"/>
        <s v="Courtyard By Marriott Portsmouth"/>
        <s v="Fairfield Inn By Marriott Portsmouth Seacoast"/>
        <s v="SpringHill Suites By Marriott Hampton Portsmouth"/>
        <s v="Courtyard By Marriott Providence Warwick"/>
        <s v="Fairfield Inn &amp; Suites Brunswick Freeport"/>
        <s v="Courtyard By Marriott Chapel Hill"/>
        <s v="Fairfield Inn &amp; Suites Smithfield Selma/I-95"/>
        <s v="Fairfield by Marriott Inn &amp; Suites Richmond Innsbrook"/>
        <s v="Courtyard By Marriott Richmond North/Glen Allen"/>
        <s v="Fairfield Inn &amp; Suites Richmond Ashland"/>
        <s v="SpringHill Suites by Marriott Chester"/>
        <s v="Courtyard By Marriott Fort Myers Cape Coral"/>
        <s v="Fairfield Inn &amp; Suites Naples"/>
        <s v="Courtyard By Marriott St. Joseph Benton Harbor"/>
        <s v="Courtyard By Marriott South Bend Downtown"/>
        <s v="SpringHill Suites By Marriott St. Joseph Benton Harbor"/>
        <s v="Fairfield Inn &amp; Suites Chincoteague Island Waterfront"/>
        <s v="SpringHill Suites By Marriott Frederica"/>
        <s v="Courtyard By Marriott State College"/>
        <s v="Fairfield by Marriott Inn &amp; Suites Bardstown"/>
        <s v="Fairfield by Marriott Inn &amp; Suites Louisville New Albany, IN"/>
        <s v="Fairfield Inn &amp; Suites Selinsgrove"/>
        <s v="Fairfield Inn &amp; Suites Staunton"/>
        <s v="Fairfield Inn &amp; Suites London"/>
        <s v="SpringHill Suites By Marriott Bradenton Downtown/Riverfront"/>
        <s v="Courtyard By Marriott Middletown Goshen"/>
        <s v="Courtyard by Marriott Thomasville Downtown"/>
        <s v="Fairfield Inn &amp; Suites Bowling Green"/>
        <s v="Fairfield Inn &amp; Suites Tampa Fairgrounds/Casino"/>
        <s v="Courtyard By Marriott St. Petersburg Clearwater/Madeira Beach"/>
        <s v="Fairfield Inn &amp; Suites St. Petersburg North"/>
        <s v="Courtyard By Marriott Pigeon Forge"/>
        <s v="Fairfield Inn &amp; Suites Knoxville Northwest"/>
        <s v="Courtyard By Marriott Valdosta"/>
        <s v="Fairfield Inn &amp; Suites Belleville"/>
        <s v="Courtyard By Marriott Youngstown Canfield"/>
        <s v="Fairfield Inn &amp; Suites Youngstown Boardman/Poland"/>
        <s v="Fairfield by Marriott Inn &amp; Suites Newmarket"/>
        <s v="Aloft Austin South"/>
        <s v="Aloft Broomfield Denver"/>
        <s v="Aloft Denver North Westminster"/>
        <s v="Aloft El Paso Downtown"/>
        <s v="Aloft Henderson"/>
        <s v="Aloft McAllen"/>
        <s v="Aloft Oklahoma City Quail Springs"/>
        <s v="Aloft San Antonio UTSA Area"/>
        <s v="Four Points by Sheraton Penticton at the Convention Centre"/>
        <s v="Four Points by Sheraton Appleton"/>
        <s v="Aloft Birmingham Soho Square"/>
        <s v="Aloft Charlotte Ballantyne"/>
        <s v="Aloft Charlotte City Center"/>
        <s v="Aloft Fort Lauderdale Airport"/>
        <s v="Aloft Gainesville University Area"/>
        <s v="Aloft Indianapolis Downtown"/>
        <s v="Aloft Milwaukee Downtown"/>
        <s v="Four Points by Sheraton Milwaukee North Shore"/>
        <s v="Aloft Portland Downtown Waterfront ME"/>
        <s v="Four Points by Sheraton Raleigh Arena"/>
        <s v="Aloft Ocean City"/>
        <s v="Aloft Knoxville West"/>
        <s v="Fairfield Inn &amp; Suites Colorado Springs Air Force Academy"/>
        <s v="SpringHill Suites By Marriott Denver Airport"/>
        <s v="Fairfield Inn &amp; Suites Denver Airport"/>
        <s v="Fairfield Inn &amp; Suites Greeley"/>
        <s v="Fairfield by Marriott Inn &amp; Suites Spokane Airport"/>
        <s v="SpringHill Suites By Marriott Spokane Airport"/>
        <s v="Fairfield by Marriott Inn &amp; Suites Duncan"/>
        <s v="Courtyard By Marriott Lubbock"/>
        <s v="Courtyard By Marriott Lubbock Downtown/University Area"/>
        <s v="SpringHill Suites By Marriott Lake Charles"/>
        <s v="Courtyard By Marriott Lufkin"/>
        <s v="Courtyard By Marriott Lafayette Airport"/>
        <s v="Fairfield Inn &amp; Suites Marshall"/>
        <s v="Courtyard By Marriott Little Rock Downtown"/>
        <s v="Courtyard By Marriott Lake Jackson"/>
        <s v="Fairfield Inn &amp; Suites West Monroe"/>
        <s v="Fairfield Inn &amp; Suites New Orleans Downtown/French Quarter Area"/>
        <s v="Fairfield Inn &amp; Suites New Orleans Metairie"/>
        <s v="Courtyard By Marriott New Orleans Westbank/Gretna"/>
        <s v="Fairfield Inn &amp; Suites Cut Off-Galliano"/>
        <s v="Courtyard By Marriott Omaha La Vista"/>
        <s v="Moxy Omaha Downtown"/>
        <s v="Fairfield Inn &amp; Suites Portland West/Beaverton"/>
        <s v="Fairfield Inn &amp; Suites Portland South/Lake Oswego"/>
        <s v="Courtyard By Marriott Phoenix Chandler/Fashion Center"/>
        <s v="Fairfield Inn &amp; Suites Phoenix Chandler/Fashion Center"/>
        <s v="Courtyard By Marriott Sherman"/>
        <s v="Fairfield Inn &amp; Suites Redding"/>
        <s v="Courtyard By Marriott Rockford"/>
        <s v="Fairfield Inn &amp; Suites Rockford"/>
        <s v="Courtyard By Marriott Carson City"/>
        <s v="Courtyard By Marriott Reno Sparks"/>
        <s v="Courtyard By Marriott Reno"/>
        <s v="Fairfield Inn &amp; Suites Reno Sparks"/>
        <s v="SpringHill Suites By Marriott Reno"/>
        <s v="SpringHill Suites by Marriott Truckee Lake Tahoe"/>
        <s v="Fairfield Inn &amp; Suites Bentonville Rogers"/>
        <s v="Courtyard By Marriott Sacramento Midtown"/>
        <s v="Fairfield Inn &amp; Suites Sacramento Folsom"/>
        <s v="Fairfield Inn &amp; Suites Sacramento Rancho Cordova"/>
        <s v="SpringHill Suites By Marriott Sacramento Natomas"/>
        <s v="SpringHill Suites By Marriott Sacramento Roseville"/>
        <s v="SpringHill Suites By Marriott West Sacramento"/>
        <s v="Courtyard By Marriott Vacaville"/>
        <s v="Fairfield by Marriott Inn &amp; Suites Winters Davis"/>
        <s v="Fairfield Inn &amp; Suites Sacramento Airport Woodland"/>
        <s v="Fairfield Inn &amp; Suites Santa Fe"/>
        <s v="Courtyard By Marriott San Diego Airport/Liberty Station"/>
        <s v="Courtyard By Marriott San Diego Downtown"/>
        <s v="Courtyard By Marriott San Diego Gaslamp/Convention Center"/>
        <s v="Courtyard By Marriott San Diego Mission Valley/Hotel Circle"/>
        <s v="Courtyard By Marriott San Diego Miramar"/>
        <s v="Courtyard By Marriott San Diego Carlsbad"/>
        <s v="Courtyard By Marriott San Diego Central"/>
        <s v="Courtyard By Marriott San Diego El Cajon"/>
        <s v="Fairfield Inn &amp; Suites San Diego North/San Marcos"/>
        <s v="Fairfield Inn &amp; Suites San Diego Carlsbad"/>
        <s v="Fairfield Inn &amp; Suites San Diego Old Town"/>
        <s v="SpringHill Suites by Marriott Oceanside Beach"/>
        <s v="Courtyard By Marriott San Diego Old Town"/>
        <s v="Moxy San Diego Downtown/Gaslamp Quarter"/>
        <s v="Courtyard By Marriott San Diego Del Mar/Solana Beach"/>
        <s v="SpringHill Suites By Marriott San Diego Carlsbad"/>
        <s v="SpringHill Suites By Marriott San Diego Escondido/Downtown"/>
        <s v="SpringHill Suites By Marriott San Diego Mission Valley"/>
        <s v="Fairfield Inn &amp; Suites New Braunfels"/>
        <s v="Fairfield Inn &amp; Suites San Antonio Medical Center"/>
        <s v="Courtyard By Marriott New Braunfels River Village"/>
        <s v="Fairfield by Marriott Inn &amp; Suites Atascadero"/>
        <s v="Courtyard By Marriott Paso Robles"/>
        <s v="SpringHill Suites By Marriott Paso Robles Atascadero"/>
        <s v="Fairfield by Marriott Inn &amp; Suites Lodi"/>
        <s v="Fairfield Inn &amp; Suites Stockton Lathrop"/>
        <s v="Fairfield Inn &amp; Suites Napa American Canyon"/>
        <s v="SpringHill Suites By Marriott Napa Valley"/>
        <s v="Courtyard By Marriott Vallejo Napa Valley"/>
        <s v="Fairfield Inn By Marriott St. George"/>
        <s v="SpringHill Suites By Marriott Springdale Zion National Park"/>
        <s v="AC Hotel Salt Lake City Downtown"/>
        <s v="Courtyard By Marriott Salt Lake City Airport"/>
        <s v="Courtyard By Marriott Salt Lake City Layton"/>
        <s v="Fairfield Inn &amp; Suites Salt Lake City Downtown"/>
        <s v="Fairfield Inn &amp; Suites Salt Lake City South"/>
        <s v="Fairfield Inn &amp; Suites Richfield"/>
        <s v="Fairfield by Marriott Inn &amp; Suites Salt Lake City Cottonwood"/>
        <s v="SpringHill Suites By Marriott Logan"/>
        <s v="Courtyard by Marriott Orem University Place"/>
        <s v="SpringHill Suites By Marriott Salt Lake City Airport"/>
        <s v="Courtyard By Marriott Salt Lake City Sandy"/>
        <s v="SpringHill Suites By Marriott Salt Lake City Downtown"/>
        <s v="SpringHill Suites By Marriott Salt Lake City Sugar House"/>
        <s v="AC Hotel Sacramento"/>
        <s v="Courtyard By Marriott Woodland"/>
        <s v="AC Hotel St. Louis Chesterfield"/>
        <s v="Courtyard By Marriott Santa Rosa"/>
        <s v="Fairfield Inn &amp; Suites Santa Rosa Rohnert Park"/>
        <s v="Fairfield Inn &amp; Suites Tucumcari"/>
        <s v="Fairfield Inn &amp; Suites Visalia Tulare"/>
        <s v="Courtyard By Marriott Waco"/>
        <s v="Fairfield Inn &amp; Suites Palmdale West"/>
        <s v="Moxy Fayetteville"/>
        <s v="Courtyard by Marriott Nanaimo"/>
        <s v="Courtyard By Marriott Edmonton Downtown"/>
        <s v="Fairfield Inn Edmonton International Airport"/>
        <s v="Fairfield Inn &amp; Suites Edmonton North"/>
        <s v="Fairfield Inn &amp; Suites Kamloops"/>
        <s v="Fairfield Inn &amp; Suites Kelowna"/>
        <s v="Fairfield by Marriott Inn &amp; Suites West Kelowna"/>
        <s v="Fairfield Inn &amp; Suites Yuma"/>
        <s v="Moxy Banff"/>
        <s v="Courtyard By Marriott West Springfield"/>
        <s v="Fairfield Inn &amp; Suites Springfield Holyoke"/>
        <s v="Fairfield Inn &amp; Suites Clarksville"/>
        <s v="Courtyard By Marriott Clarksville"/>
        <s v="AC Hotel Dayton"/>
        <s v="Fairfield by Marriott Inn &amp; Suites Dayton Downtown"/>
        <s v="Fairfield Inn &amp; Suites Dayton South"/>
        <s v="SpringHill Suites by Marriott Fargo"/>
        <s v="Fairfield Inn &amp; Suites Hagerstown"/>
        <s v="SpringHill Suites By Marriott Gainesville Haymarket"/>
        <s v="SpringHill Suites by Marriott Arlington TN"/>
        <s v="Fairfield Inn &amp; Suites Memphis Arlington"/>
        <s v="Courtyard By Marriott Memphis East/Bill Morris Parkway"/>
        <s v="Moxy Memphis Downtown"/>
        <s v="SpringHill Suites By Marriott Montgomery Prattville/Millbrook"/>
        <s v="Fairfield Inn &amp; Suites Milwaukee Airport"/>
        <s v="Fairfield by Marriott Inn &amp; Suites Milwaukee Brookfield"/>
        <s v="Fairfield Inn &amp; Suites Milwaukee North"/>
        <s v="SpringHill Suites By Marriott Kenosha"/>
        <s v="SpringHill Suites by Marriott Bettendorf"/>
        <s v="Fairfield Inn &amp; Suites Stroudsburg Bartonsville/Poconos"/>
        <s v="Fairfield by Marriott Inn &amp; Suites Baraboo"/>
        <s v="SpringHill Suites By Marriott Madison"/>
        <s v="Fairfield Inn &amp; Suites Paducah"/>
        <s v="Courtyard By Marriott Newport News Yorktown"/>
        <s v="Fairfield Inn &amp; Suites Middletown"/>
        <s v="Fairfield by Marriott Inn &amp; Suites Foley"/>
        <s v="Courtyard By Marriott Pensacola Downtown"/>
        <s v="SpringHill Suites By Marriott Pensacola"/>
        <s v="Fairfield Inn &amp; Suites Portsmouth Exeter"/>
        <s v="Courtyard By Marriott Rapid City"/>
        <s v="Fairfield Inn &amp; Suites Rapid City"/>
        <s v="Fairfield Inn &amp; Suites Spearfish"/>
        <s v="Courtyard by Marriott Richmond Scott’s Addition"/>
        <s v="Fairfield Inn &amp; Suites Fair Oaks Farms"/>
        <s v="SpringHill Suites By Marriott Naples"/>
        <s v="Fairfield by Marriott Inn &amp; Suites Rocky Mount"/>
        <s v="AC Hotel Savannah Historic District"/>
        <s v="SpringHill Suites By Marriott South Bend Notre Dame Area"/>
        <s v="SpringHill Suites By Marriott Louisville Hurstbourne/North"/>
        <s v="Fairfield Inn &amp; Suites Bloomsburg"/>
        <s v="Fairfield Inn &amp; Suites Verona"/>
        <s v="AC Hotel Tuscaloosa Downtown"/>
        <s v="SpringHill Suites By Marriott Tifton"/>
        <s v="SpringHill Suites By Marriott Tallahassee Central"/>
        <s v="Fairfield Inn &amp; Suites Findlay"/>
        <s v="Courtyard By Marriott Toledo North"/>
        <s v="SpringHill Suites By Marriott Tampa North/I-75 Tampa Palms"/>
        <s v="Courtyard By Marriott Tampa Northwest/Veterans Expressway"/>
        <s v="Fairfield Inn &amp; Suites Bristol"/>
        <s v="Courtyard By Marriott Knoxville Airport Alcoa"/>
        <s v="SpringHill Suites By Marriott Pigeon Forge"/>
        <s v="Fairfield Inn &amp; Suites Valdosta"/>
        <s v="Courtyard By Marriott Sandestin at Grand Boulevard"/>
        <s v="Fairfield by Marriott Inn &amp; Suites Fort Walton Beach Hurlburt Area"/>
        <s v="SpringHill Suites By Marriott Frederick"/>
        <s v="AC Hotel Ottawa Downtown"/>
        <s v="Fairfield by Marriott Inn &amp; Suites Gravenhurst Muskoka"/>
        <s v="Courtyard By Marriott Saskatoon Airport"/>
        <s v="Fairfield by Marriott Inn &amp; Suites Butte"/>
        <s v="SpringHill Suites by Marriott Baton Rouge South"/>
        <s v="Moxy Columbia Downtown"/>
        <s v="Fairfield by Marriott Inn &amp; Suites Poplar Bluff"/>
        <s v="Courtyard by Marriott Cleveland TN"/>
        <s v="SpringHill Suites by Marriott Chicago Bolingbrook"/>
        <s v="Courtyard by Marriott Chicago Glenview/Northbrook"/>
        <s v="Courtyard by Marriott Iowa City University Heights"/>
        <s v="Fairfield by Marriott Inn &amp; Suites Cedar Rapids North"/>
        <s v="SpringHill Suites by Marriott Coralville"/>
        <s v="Courtyard by Marriott Casper"/>
        <s v="Fairfield by Marriott Inn &amp; Suites Cheyenne Southwest/Downtown Area"/>
        <s v="SpringHill Suites by Marriott Denver at Anschutz Medical Campus"/>
        <s v="Fairfield by Marriott Inn &amp; Suites Denver Aurora/Parker"/>
        <s v="Fairfield by Marriott Inn &amp; Suites Denver Aurora/Medical Center"/>
        <s v="SpringHill Suites by Marriott Boulder Longmont"/>
        <s v="Courtyard by Marriott Denver Downtown"/>
        <s v="Fairfield by Marriott Inn &amp; Suites Denver Downtown"/>
        <s v="Fairfield by Marriott Inn &amp; Suites Denver Tech Center/South"/>
        <s v="Fairfield by Marriott Inn &amp; Suites Denver Airport at Gateway Park"/>
        <s v="Courtyard by Marriott Boulder Longmont"/>
        <s v="Courtyard by Marriott Boulder Broomfield"/>
        <s v="Courtyard by Marriott Denver Southwest/Littleton"/>
        <s v="Courtyard by Marriott Denver North/Westminster"/>
        <s v="Moxy Denver Cherry Creek"/>
        <s v="SpringHill Suites by Marriott Denver Parker"/>
        <s v="SpringHill Suites by Marriott Denver Downtown"/>
        <s v="SpringHill Suites by Marriott Denver West/Golden"/>
        <s v="Courtyard by Marriott Denver Airport at Gateway Park"/>
        <s v="SpringHill Suites by Marriott Denver North/Westminster"/>
        <s v="SpringHill Suites by Marriott Denver Tech Center"/>
        <s v="Fairfield by Marriott Inn &amp; Suites Denver North/Westminster"/>
        <s v="Fairfield by Marriott Inn &amp; Suites Denver Tech Center North"/>
        <s v="Fairfield by Marriott Inn &amp; Suites Enterprise"/>
        <s v="Courtyard by Marriott Ames"/>
        <s v="AC Hotel Frisco Colorado"/>
        <s v="Courtyard by Marriott El Paso East/I-10"/>
        <s v="Courtyard by Marriott El Paso Downtown/Convention Center"/>
        <s v="Courtyard by Marriott El Paso Airport"/>
        <s v="SpringHill Suites by Marriott El Paso Airport"/>
        <s v="SpringHill Suites by Marriott El Paso"/>
        <s v="Courtyard by Marriott Flagstaff"/>
        <s v="Fairfield by Marriott Inn &amp; Suites Flagstaff East"/>
        <s v="Fairfield by Marriott Inn &amp; Suites Farmington"/>
        <s v="Courtyard by Marriott Fort Collins"/>
        <s v="Fairfield by Marriott Inn &amp; Suites Fort Collins South"/>
        <s v="SpringHill Suites by Marriott Loveland Fort Collins/Windsor"/>
        <s v="SpringHill Suites by Marriott Fort Wayne Southwest"/>
        <s v="Fairfield by Marriott Inn &amp; Suites Fort Wayne Southwest"/>
        <s v="Fairfield by Marriott Inn &amp; Suites Gillette"/>
        <s v="Courtyard by Marriott Grand Junction"/>
        <s v="SpringHill Suites by Marriott Galveston Island"/>
        <s v="Courtyard by Marriott Biloxi North/D'Iberville"/>
        <s v="SpringHill Suites by Marriott Grand Island"/>
        <s v="SpringHill Suites by Marriott Great Falls"/>
        <s v="Fairfield by Marriott Inn &amp; Suites Gallup"/>
        <s v="SpringHill Suites by Marriott Gallup"/>
        <s v="Courtyard by Marriott Hammond"/>
        <s v="Fairfield by Marriott Inn &amp; Suites Helena North"/>
        <s v="Fairfield by Marriott Inn &amp; Suites Hobbs"/>
        <s v="Courtyard by Marriott Harlingen"/>
        <s v="Fairfield by Marriott Inn &amp; Suites Harlingen"/>
        <s v="Courtyard by Marriott Huntsville University Drive"/>
        <s v="Courtyard by Marriott Decatur"/>
        <s v="SpringHill Suites by Marriott Huntsville Downtown"/>
        <s v="Courtyard by Marriott Houston North/Shenandoah"/>
        <s v="AC Hotel Wichita Downtown"/>
        <s v="Fairfield by Marriott Inn &amp; Suites Hutchinson"/>
        <s v="SpringHill Suites by Marriott Wichita Airport"/>
        <s v="Fairfield by Marriott Inn &amp; Suites Pocatello"/>
        <s v="Courtyard by Marriott Pocatello"/>
        <s v="SpringHill Suites by Marriott Island Park Yellowstone"/>
        <s v="Fairfield by Marriott Inn &amp; Suites Killeen"/>
        <s v="Courtyard by Marriott Jonesboro"/>
        <s v="Fairfield by Marriott Inn &amp; Suites Jonesboro"/>
        <s v="Fairfield by Marriott Inn &amp; Suites Laramie"/>
        <s v="SpringHill Suites by Marriott Lafayette South at River Ranch"/>
        <s v="Courtyard by Marriott Little Rock West"/>
        <s v="Fairfield by Marriott Inn &amp; Suites Midland"/>
        <s v="Fairfield by Marriott Inn &amp; Suites Monahans"/>
        <s v="SpringHill Suites by Marriott Turlock"/>
        <s v="Courtyard by Marriott Memphis Downtown"/>
        <s v="Fairfield by Marriott Inn &amp; Suites Memphis Germantown"/>
        <s v="SpringHill Suites by Marriott Memphis Downtown"/>
        <s v="Courtyard by Marriott Memphis Collierville"/>
        <s v="Fairfield by Marriott Inn &amp; Suites Montgomery-EastChase Parkway"/>
        <s v="Courtyard by Marriott Montgomery Prattville"/>
        <s v="Fairfield by Marriott Inn &amp; Suites Jackson"/>
        <s v="Courtyard by Marriott Madison West/Middleton"/>
        <s v="Fairfield by Marriott Inn &amp; Suites Madison South"/>
        <s v="AC Hotel Minneapolis Downtown"/>
        <s v="Courtyard by Marriott Edina Bloomington"/>
        <s v="Courtyard by Marriott Bloomington by Mall of America"/>
        <s v="SpringHill Suites by Marriott St. Paul Downtown"/>
        <s v="Courtyard by Marriott Oklahoma City Airport"/>
        <s v="Fairfield by Marriott Inn &amp; Suites Norman"/>
        <s v="Courtyard by Marriott Norman"/>
        <s v="Courtyard by Marriott Oklahoma City North/Quail Springs"/>
        <s v="Fairfield by Marriott Inn &amp; Suites Omaha East/Council Bluffs, IA"/>
        <s v="Fairfield by Marriott Inn &amp; Suites Omaha Northwest"/>
        <s v="Fairfield by Marriott Inn &amp; Suites Omaha Papillion"/>
        <s v="Fairfield by Marriott Inn &amp; Suites Omaha West"/>
        <s v="Courtyard by Marriott Ventura Simi Valley"/>
        <s v="Fairfield by Marriott Inn &amp; Suites Moorpark Ventura County"/>
        <s v="SpringHill Suites by Marriott Portland Hillsboro"/>
        <s v="Courtyard by Marriott Portland Hillsboro"/>
        <s v="Fairfield by Marriott Inn &amp; Suites Pecos"/>
        <s v="SpringHill Suites by Marriott Panama City Beach Beachfront"/>
        <s v="Fairfield by Marriott Inn &amp; Suites Scottsdale Old Town"/>
        <s v="Fairfield by Marriott Inn &amp; Suites Phoenix West Chandler"/>
        <s v="Fairfield by Marriott Inn &amp; Suites Peoria East"/>
        <s v="Fairfield by Marriott Inn &amp; Suites Weirton"/>
        <s v="Fairfield by Marriott Inn &amp; Suites Jonestown Lebanon Valley"/>
        <s v="SpringHill Suites by Marriott Raleigh Garner"/>
        <s v="Fairfield by Marriott Inn &amp; Suites Durham Southpoint"/>
        <s v="SpringHill Suites by Marriott Raleigh Cary"/>
        <s v="Fairfield by Marriott Inn &amp; Suites South Hill I-85"/>
        <s v="Fairfield by Marriott Inn &amp; Suites Batavia"/>
        <s v="Courtyard by Marriott Rocky Mount"/>
        <s v="Fairfield by Marriott Inn &amp; Suites San Antonio Boerne"/>
        <s v="SpringHill Suites by Marriott San Antonio Downtown/Riverwalk Area"/>
        <s v="Fairfield by Marriott Inn &amp; Suites Savannah SW/Richmond Hill"/>
        <s v="Courtyard by Marriott Ocean City Oceanfront"/>
        <s v="Courtyard by Marriott Louisville Airport"/>
        <s v="Fairfield by Marriott Inn &amp; Suites Elizabethtown"/>
        <s v="SpringHill Suites by Marriott Elizabethtown"/>
        <s v="Courtyard by Marriott Springfield Airport"/>
        <s v="Fairfield by Marriott Inn &amp; Suites Branson"/>
        <s v="Courtyard by Marriott Modesto North"/>
        <s v="SpringHill Suites by Marriott San Angelo"/>
        <s v="Fairfield by Marriott Inn &amp; Suites Salt Lake City Southwest"/>
        <s v="Courtyard by Marriott Lake Placid"/>
        <s v="AC Hotel Spartanburg"/>
        <s v="Fairfield by Marriott Inn &amp; Suites Springdale"/>
        <s v="Fairfield by Marriott Inn &amp; Suites Peru"/>
        <s v="Fairfield by Marriott Inn &amp; Suites Venice"/>
        <s v="Fairfield by Marriott Inn &amp; Suites Stevens Point"/>
        <s v="Fairfield by Marriott Inn &amp; Suites Sioux Center"/>
        <s v="Fairfield by Marriott Inn &amp; Suites Rome NY"/>
        <s v="Fairfield Inn Fort Leonard Wood St. Robert"/>
        <s v="SpringHill Suites by Marriott Tallahassee North"/>
        <s v="Courtyard by Marriott Tampa Brandon"/>
        <s v="SpringHill Suites by Marriott Tampa Downtown"/>
        <s v="Fairfield by Marriott Inn &amp; Suites Tampa Brandon"/>
        <s v="Courtyard by Marriott Bristol"/>
        <s v="Courtyard by Marriott Ewing Princeton"/>
        <s v="SpringHill Suites by Marriott Ewing Princeton South"/>
        <s v="Fairfield by Marriott Inn &amp; Suites Bartlesville"/>
        <s v="Courtyard by Marriott Tulsa Central"/>
        <s v="Courtyard by Marriott Tulsa Downtown"/>
        <s v="Courtyard by Marriott Tulsa Woodland Hills"/>
        <s v="Courtyard by Marriott Traverse City"/>
        <s v="Fairfield by Marriott Inn &amp; Suites Texarkana"/>
        <s v="Courtyard by Marriott Tyler"/>
        <s v="Fairfield by Marriott Inn &amp; Suites Van Canton Area"/>
        <s v="Courtyard by Marriott Knoxville West/Bearden"/>
        <s v="Fairfield by Marriott Inn &amp; Suites Pigeon Forge"/>
        <s v="Courtyard by Marriott Kodak Sevierville"/>
        <s v="Fairfield by Marriott Inn &amp; Suites Quincy"/>
        <s v="Fairfield by Marriott Inn &amp; Suites Cuero"/>
        <s v="AC Hotel Washington DC Downtown"/>
        <s v="Fairfield by Marriott Inn &amp; Suites Potomac Mills Woodbridge"/>
        <s v="Fairfield by Marriott Inn &amp; Suites Alexandria"/>
        <s v="Fairfield by Marriott Inn &amp; Suites Waco South"/>
        <s v="SpringHill Suites by Marriott Waco Woodway"/>
        <s v="Courtyard by Marriott Wichita Falls"/>
        <s v="Fairfield by Marriott Inn &amp; Suites Winchester"/>
        <s v="SpringHill Suites by Marriott Lancaster Palmdale"/>
        <s v="Fairfield by Marriott Inn &amp; Suites Yakima"/>
        <s v="Courtyard by Marriott Ottawa Downtown"/>
        <s v="AC Hotel Atlanta Perimeter"/>
        <s v="Courtyard by Marriott Athens Downtown"/>
        <s v="Courtyard by Marriott Atlanta Conyers"/>
        <s v="Courtyard by Marriott Atlanta Marietta/I-75 North"/>
        <s v="Fairfield by Marriott Inn &amp; Suites Atlanta Gwinnett Place"/>
        <s v="Fairfield by Marriott Inn &amp; Suites Atlanta Stonecrest"/>
        <s v="Fairfield by Marriott Inn &amp; Suites Atlanta McDonough"/>
        <s v="Fairfield by Marriott Inn &amp; Suites Atlanta Cumming/Johns Creek"/>
        <s v="Courtyard by Marriott Atlanta Northlake"/>
        <s v="Courtyard by Marriott Atlanta Suwanee"/>
        <s v="Fairfield by Marriott Inn &amp; Suites Atlanta Airport North"/>
        <s v="SpringHill Suites by Marriott Conyers"/>
        <s v="SpringHill Suites by Marriott Austin Round Rock"/>
        <s v="AC Hotel Asheville Biltmore Village"/>
        <s v="Fairfield Inn Kalamazoo West"/>
        <s v="Fairfield by Marriott Inn &amp; Suites Birmingham Downtown"/>
        <s v="Courtyard by Marriott Beckley"/>
        <s v="Courtyard by Marriott Boston Brookline"/>
        <s v="AC Hotel Boston Downtown"/>
        <s v="Courtyard by Marriott Boston Woburn/Boston North"/>
        <s v="Courtyard by Marriott Boston-South Boston"/>
        <s v="Courtyard by Marriott Boston Waltham"/>
        <s v="SpringHill Suites by Marriott Arundel Mills BWI Airport"/>
        <s v="SpringHill Suites by Marriott Camden"/>
        <s v="SpringHill Suites by Marriott Orangeburg"/>
        <s v="SpringHill Suites by Marriott Charleston North/Ashley Phosphate"/>
        <s v="Courtyard by Marriott Cleveland University Circle"/>
        <s v="Courtyard by Marriott Cleveland Elyria"/>
        <s v="Courtyard by Marriott Charlotte Airport North"/>
        <s v="Moxy Charlotte Downtown"/>
        <s v="SpringHill Suites by Marriott Charlotte at Carowinds"/>
        <s v="SpringHill Suites by Marriott Charlotte Huntersville"/>
        <s v="Courtyard by Marriott Charlotte City Center"/>
        <s v="Fairfield by Marriott Inn &amp; Suites Columbus New Albany"/>
        <s v="Fairfield by Marriott Inn &amp; Suites Mansfield Ontario"/>
        <s v="Courtyard by Marriott Newark Granville"/>
        <s v="Fairfield by Marriott Inn &amp; Suites Columbus OSU"/>
        <s v="Courtyard by Marriott Dallas Mesquite"/>
        <s v="Fairfield by Marriott Inn &amp; Suites Dallas Mansfield"/>
        <s v="Fairfield by Marriott Inn &amp; Suites Dallas Lewisville"/>
        <s v="Fairfield by Marriott Inn &amp; Suites Dallas Plano/Frisco"/>
        <s v="SpringHill Suites by Marriott Dallas Plano/Frisco"/>
        <s v="Courtyard by Marriott Dallas Carrollton and Carrollton Conference Center"/>
        <s v="SpringHill Suites by Marriott Dallas Richardson/Plano"/>
        <s v="Courtyard by Marriott Fort Worth West at Cityview"/>
        <s v="Fairfield by Marriott Inn &amp; Suites Dallas Waxahachie"/>
        <s v="Fairfield Inn Forsyth Decatur"/>
        <s v="Fairfield by Marriott Inn &amp; Suites Arlington Near Six Flags"/>
        <s v="Fairfield by Marriott Inn &amp; Suites Corinth South Denton Area"/>
        <s v="Courtyard by Marriott Fort Worth Historic Stockyards"/>
        <s v="Fairfield by Marriott Inn &amp; Suites Fort Worth I-30 West Near NAS JRB"/>
        <s v="Fairfield by Marriott Inn &amp; Suites Fort Worth/Fossil Creek"/>
        <s v="SpringHill Suites by Marriott Fort Worth Historic Stockyards"/>
        <s v="Courtyard by Marriott Fort Worth I-30 West Near NAS JRB"/>
        <s v="Fairfield by Marriott Inn &amp; Suites Warrensburg"/>
        <s v="SpringHill Suites by Marriott Detroit Auburn Hills"/>
        <s v="SpringHill Suites by Marriott Detroit Southfield"/>
        <s v="Courtyard by Marriott Erie Ambassador Conference Center"/>
        <s v="Fairfield by Marriott Inn &amp; Suites Eugene East/Springfield"/>
        <s v="Fairfield by Marriott Inn &amp; Suites Woodbridge"/>
        <s v="Fairfield by Marriott Inn &amp; Suites Fargo"/>
        <s v="Courtyard by Marriott Fresno Clovis"/>
        <s v="Fairfield by Marriott Inn &amp; Suites Fresno Clovis"/>
        <s v="Fairfield by Marriott Inn &amp; Suites Fresno River Park"/>
        <s v="Fairfield by Marriott Inn &amp; Suites Selma Kingsburg"/>
        <s v="Fairfield by Marriott Inn &amp; Suites Fresno North/Shaw Avenue"/>
        <s v="Courtyard by Marriott Flint Grand Blanc"/>
        <s v="Fairfield by Marriott Inn &amp; Suites Fort Stockton"/>
        <s v="SpringHill Suites by Marriott Fort Wayne North"/>
        <s v="Fairfield by Marriott Inn &amp; Suites Warsaw"/>
        <s v="Fairfield by Marriott Inn &amp; Suites Spokane Valley"/>
        <s v="SpringHill Suites by Marriott Sandpoint"/>
        <s v="Fairfield by Marriott Inn &amp; Suites Lake City"/>
        <s v="Courtyard by Marriott Norwich"/>
        <s v="SpringHill Suites by Marriott Grand Rapids Airport Southeast"/>
        <s v="Fairfield by Marriott Inn &amp; Suites Carlisle"/>
        <s v="Fairfield by Marriott Inn &amp; Suites Harrisburg International Airport"/>
        <s v="Fairfield by Marriott Inn &amp; Suites Martinsburg"/>
        <s v="Fairfield by Marriott Inn &amp; Suites Boone"/>
        <s v="Courtyard by Marriott Houston Kemah"/>
        <s v="Courtyard by Marriott Houston NASA/Clear Lake"/>
        <s v="Fairfield by Marriott Inn &amp; Suites Houston North/Spring"/>
        <s v="Fairfield by Marriott Inn &amp; Suites Houston Hobby Airport"/>
        <s v="SpringHill Suites by Marriott Houston Hobby Airport"/>
        <s v="Fairfield by Marriott Inn &amp; Suites Houston Humble"/>
        <s v="SpringHill Suites by Marriott Houston I-45 North"/>
        <s v="Fairfield by Marriott Inn &amp; Suites Seymour"/>
        <s v="SpringHill Suites by Marriott Winston-Salem Hanes Mall"/>
        <s v="Fairfield by Marriott Inn &amp; Suites El Centro"/>
        <s v="Fairfield by Marriott Inn &amp; Suites Williamsport"/>
        <s v="SpringHill Suites by Marriott Ridgecrest"/>
        <s v="Courtyard by Marriott Jacksonville Butler Boulevard"/>
        <s v="Courtyard by Marriott St. Augustine I-95"/>
        <s v="Fairfield by Marriott Inn &amp; Suites Jacksonville Beach"/>
        <s v="SpringHill Suites by Marriott Jacksonville North I-95 Area"/>
        <s v="Fairfield by Marriott Inn &amp; Suites Jacksonville Orange Park"/>
        <s v="AC Hotel St. Augustine Downtown"/>
        <s v="Fairfield by Marriott Inn &amp; Suites St. Augustine I-95"/>
        <s v="SpringHill Suites by Marriott Kennewick Tri-Cities"/>
        <s v="AC Hotel Lansing University Area"/>
        <s v="SpringHill Suites by Marriott Lansing"/>
        <s v="Courtyard by Marriott Las Vegas Stadium Area"/>
        <s v="Fairfield Inn Las Vegas Convention Center"/>
        <s v="Fairfield by Marriott Inn &amp; Suites Las Vegas Stadium Area"/>
        <s v="Courtyard by Marriott Los Angeles Baldwin Park"/>
        <s v="Fairfield by Marriott Inn &amp; Suites Los Angeles West Covina"/>
        <s v="Fairfield by Marriott Inn &amp; Suites Belle Vernon"/>
        <s v="Courtyard by Marriott Hanover Lebanon"/>
        <s v="Fairfield by Marriott Inn &amp; Suites Lancaster East at The Outlets"/>
        <s v="Courtyard by Marriott Midland"/>
        <s v="Fairfield by Marriott Inn &amp; Suites Mt. Pleasant"/>
        <s v="AC Hotel Kansas City Plaza"/>
        <s v="Courtyard by Marriott Kansas City East/Blue Springs"/>
        <s v="Fairfield by Marriott Inn &amp; Suites Kansas City Overland Park"/>
        <s v="Courtyard by Marriott Orlando Lake Buena Vista at Vista Centre"/>
        <s v="Fairfield by Marriott Inn &amp; Suites Memphis East/Galleria"/>
        <s v="SpringHill Suites by Marriott McAllen Convention Center"/>
        <s v="Fairfield Inn Manchester-Boston Regional Airport"/>
        <s v="AC Hotel Miami Wynwood"/>
        <s v="Courtyard by Marriott Miami at Dolphin Mall"/>
        <s v="Fairfield by Marriott Inn &amp; Suites Madison Verona"/>
        <s v="Fairfield by Marriott Inn &amp; Suites Minneapolis Shakopee"/>
        <s v="Fairfield by Marriott Inn &amp; Suites St. Paul Northeast"/>
        <s v="SpringHill Suites by Marriott Minneapolis-St. Paul Airport/Eagan"/>
        <s v="Fairfield Inn Myrtle Beach Broadway at the Beach"/>
        <s v="Courtyard by Marriott New York JFK Airport"/>
        <s v="Moxy NYC Downtown"/>
        <s v="Courtyard by Marriott Jacksonville"/>
        <s v="Courtyard by Marriott Richmond Berkeley"/>
        <s v="Fairfield by Marriott Inn &amp; Suites Oakland Hayward"/>
        <s v="Courtyard by Marriott Livermore"/>
        <s v="Fairfield by Marriott Inn &amp; Suites Shawnee"/>
        <s v="Courtyard by Marriott Chesapeake Greenbrier"/>
        <s v="Fairfield by Marriott Inn &amp; Suites Elizabeth City"/>
        <s v="Fairfield by Marriott Inn &amp; Suites Philadelphia Horsham"/>
        <s v="Courtyard by Marriott Philadelphia Great Valley/Malvern"/>
        <s v="SpringHill Suites by Marriott Philadelphia Valley Forge/King of Prussia"/>
        <s v="Courtyard by Marriott Philadelphia Bensalem"/>
        <s v="Courtyard by Marriott Philadelphia Langhorne"/>
        <s v="Courtyard by Marriott Philadelphia Valley Forge/Collegeville"/>
        <s v="SpringHill Suites by Marriott Pittsburgh North Shore"/>
        <s v="Courtyard by Marriott Pittsburgh Washington/Meadow Lands"/>
        <s v="Fairfield by Marriott Inn &amp; Suites Wheeling at The Highlands"/>
        <s v="SpringHill Suites by Marriott Orange Beach at The Wharf"/>
        <s v="Courtyard by Marriott Kingston"/>
        <s v="Courtyard by Marriott Boston Raynham"/>
        <s v="Fairfield by Marriott Inn &amp; Suites Raynham Middleborough/Plymouth"/>
        <s v="SpringHill Suites by Marriott Deadwood"/>
        <s v="Courtyard by Marriott Reading Wyomissing"/>
        <s v="Fairfield by Marriott Inn &amp; Suites Raleigh-Durham Airport/Brier Creek"/>
        <s v="Courtyard by Marriott Raleigh North/Triangle Town Center"/>
        <s v="SpringHill Suites by Marriott Richmond North/Glen Allen"/>
        <s v="SpringHill Suites by Marriott Punta Gorda Harborside"/>
        <s v="SpringHill Suites by Marriott San Antonio Medical Center/Northwest"/>
        <s v="SpringHill Suites by Marriott San Antonio Northwest at The RIM"/>
        <s v="Fairfield by Marriott Inn &amp; Suites South Bend Mishawaka"/>
        <s v="Fairfield by Marriott Inn &amp; Suites New Buffalo"/>
        <s v="Fairfield by Marriott Inn &amp; Suites Tacoma DuPont"/>
        <s v="SpringHill Suites by Marriott Milpitas Silicon Valley"/>
        <s v="Courtyard by Marriott San Jose North/Silicon Valley"/>
        <s v="SpringHill Suites by Marriott Salt Lake City Draper"/>
        <s v="SpringHill Suites by Marriott Anaheim Placentia/Fullerton"/>
        <s v="SpringHill Suites by Marriott Lakeland"/>
        <s v="Fairfield by Marriott Inn &amp; Suites Temple Belton"/>
        <s v="Fairfield by Marriott Inn &amp; Suites Johnson City"/>
        <s v="SpringHill Suites by Marriott Lindale Tyler"/>
        <s v="Courtyard by Marriott Bethesda Chevy Chase"/>
        <s v="Fairfield by Marriott Inn &amp; Suites Guelph"/>
        <s v="Fairfield Inn Warren Niles"/>
        <m/>
      </sharedItems>
    </cacheField>
    <cacheField name="GoLiveDate" numFmtId="0">
      <sharedItems containsDate="1" containsBlank="1" containsMixedTypes="1" minDate="2025-10-14T00:00:00" maxDate="2027-06-04T00:00:00" count="33">
        <d v="2025-10-28T00:00:00"/>
        <d v="2025-10-14T00:00:00"/>
        <d v="2025-12-09T00:00:00"/>
        <d v="2026-01-20T00:00:00"/>
        <d v="2026-03-03T00:00:00"/>
        <d v="2026-02-17T00:00:00"/>
        <s v="NA"/>
        <d v="2026-03-17T00:00:00"/>
        <d v="2026-04-07T00:00:00"/>
        <d v="2026-04-21T00:00:00"/>
        <d v="2026-05-05T00:00:00"/>
        <d v="2026-05-12T00:00:00"/>
        <d v="2026-04-14T00:00:00"/>
        <d v="2026-04-16T00:00:00"/>
        <d v="2026-05-14T00:00:00"/>
        <d v="2026-05-19T00:00:00"/>
        <d v="2026-05-28T00:00:00"/>
        <d v="2026-06-03T00:00:00"/>
        <d v="2026-06-18T00:00:00"/>
        <d v="2026-06-23T00:00:00"/>
        <d v="2026-06-25T00:00:00"/>
        <d v="2026-06-30T00:00:00"/>
        <d v="2026-08-03T00:00:00"/>
        <d v="2026-08-06T00:00:00"/>
        <d v="2026-08-19T00:00:00"/>
        <d v="2026-08-27T00:00:00"/>
        <d v="2027-06-03T00:00:00"/>
        <d v="2026-06-02T00:00:00"/>
        <d v="2026-06-09T00:00:00"/>
        <d v="2026-06-16T00:00:00"/>
        <d v="2026-07-07T00:00:00"/>
        <d v="2026-07-21T00:00:00"/>
        <m/>
      </sharedItems>
    </cacheField>
    <cacheField name="New Opening" numFmtId="0">
      <sharedItems containsBlank="1" count="3">
        <s v="N"/>
        <s v="Y"/>
        <m/>
      </sharedItems>
    </cacheField>
    <cacheField name="Room Count" numFmtId="0">
      <sharedItems containsBlank="1" containsMixedTypes="1" containsNumber="1" containsInteger="1" minValue="40" maxValue="612" count="189">
        <n v="115"/>
        <n v="132"/>
        <n v="157"/>
        <n v="126"/>
        <n v="137"/>
        <n v="89"/>
        <n v="125"/>
        <n v="143"/>
        <n v="168"/>
        <n v="92"/>
        <n v="81"/>
        <n v="91"/>
        <n v="87"/>
        <n v="96"/>
        <n v="117"/>
        <n v="254"/>
        <n v="102"/>
        <n v="99"/>
        <n v="90"/>
        <n v="104"/>
        <n v="84"/>
        <n v="101"/>
        <n v="120"/>
        <n v="83"/>
        <n v="112"/>
        <n v="144"/>
        <n v="95"/>
        <n v="85"/>
        <n v="200"/>
        <n v="111"/>
        <n v="108"/>
        <n v="109"/>
        <n v="106"/>
        <n v="158"/>
        <n v="75"/>
        <n v="141"/>
        <n v="153"/>
        <n v="107"/>
        <n v="118"/>
        <n v="78"/>
        <n v="105"/>
        <n v="129"/>
        <n v="122"/>
        <n v="82"/>
        <n v="114"/>
        <n v="86"/>
        <n v="134"/>
        <n v="100"/>
        <n v="80"/>
        <n v="94"/>
        <n v="97"/>
        <n v="131"/>
        <n v="148"/>
        <n v="160"/>
        <n v="152"/>
        <n v="77"/>
        <n v="154"/>
        <n v="171"/>
        <n v="161"/>
        <n v="146"/>
        <n v="121"/>
        <n v="172"/>
        <n v="116"/>
        <n v="140"/>
        <n v="175"/>
        <n v="142"/>
        <n v="127"/>
        <n v="98"/>
        <n v="123"/>
        <n v="66"/>
        <n v="191"/>
        <n v="128"/>
        <n v="195"/>
        <n v="261"/>
        <n v="136"/>
        <n v="64"/>
        <n v="150"/>
        <n v="110"/>
        <n v="93"/>
        <n v="103"/>
        <n v="113"/>
        <n v="79"/>
        <n v="60"/>
        <n v="133"/>
        <n v="174"/>
        <n v="163"/>
        <n v="88"/>
        <n v="73"/>
        <n v="151"/>
        <n v="196"/>
        <n v="230"/>
        <n v="184"/>
        <n v="62"/>
        <n v="76"/>
        <n v="130"/>
        <n v="74"/>
        <n v="138"/>
        <n v="187"/>
        <n v="72"/>
        <n v="124"/>
        <n v="63"/>
        <n v="59"/>
        <n v="219"/>
        <n v="149"/>
        <n v="135"/>
        <n v="198"/>
        <n v="286"/>
        <n v="284"/>
        <n v="156"/>
        <n v="139"/>
        <n v="57"/>
        <n v="70"/>
        <n v="265"/>
        <n v="155"/>
        <n v="226"/>
        <n v="181"/>
        <n v="179"/>
        <n v="145"/>
        <n v="164"/>
        <n v="119"/>
        <n v="166"/>
        <n v="250"/>
        <n v="220"/>
        <n v="69"/>
        <n v="210"/>
        <n v="61"/>
        <n v="67"/>
        <n v="65"/>
        <n v="224"/>
        <n v="71"/>
        <n v="350"/>
        <n v="216"/>
        <n v="183"/>
        <n v="202"/>
        <n v="173"/>
        <n v="147"/>
        <n v="190"/>
        <n v="176"/>
        <n v="289"/>
        <n v="180"/>
        <n v="165"/>
        <n v="167"/>
        <e v="#N/A"/>
        <n v="233"/>
        <n v="40"/>
        <n v="229"/>
        <n v="234"/>
        <n v="170"/>
        <n v="612"/>
        <n v="218"/>
        <n v="177"/>
        <n v="199"/>
        <n v="221"/>
        <n v="213"/>
        <n v="245"/>
        <n v="225"/>
        <n v="232"/>
        <n v="239"/>
        <n v="48"/>
        <n v="189"/>
        <n v="204"/>
        <n v="56"/>
        <n v="162"/>
        <n v="159"/>
        <n v="227"/>
        <n v="290"/>
        <n v="303"/>
        <n v="399"/>
        <n v="333"/>
        <n v="169"/>
        <n v="351"/>
        <n v="54"/>
        <n v="228"/>
        <n v="252"/>
        <n v="203"/>
        <n v="197"/>
        <n v="68"/>
        <n v="209"/>
        <n v="194"/>
        <n v="214"/>
        <n v="260"/>
        <n v="266"/>
        <n v="205"/>
        <n v="206"/>
        <n v="246"/>
        <n v="321"/>
        <n v="188"/>
        <n v="18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6">
  <r>
    <x v="0"/>
    <s v="PITSS"/>
    <s v="100027"/>
    <s v="PITSS"/>
    <n v="57"/>
    <x v="0"/>
    <s v="SpringHill Suites By Marriott Pittsburgh Southside Works"/>
    <x v="0"/>
    <x v="0"/>
  </r>
  <r>
    <x v="0"/>
    <s v="CAESH"/>
    <n v="100029"/>
    <s v="CAESH"/>
    <n v="58"/>
    <x v="0"/>
    <s v="SpringHill Suites By Marriott Columbia Downtown/The Vista"/>
    <x v="0"/>
    <x v="0"/>
  </r>
  <r>
    <x v="0"/>
    <s v="BWISL"/>
    <n v="100031"/>
    <s v="BWISL"/>
    <n v="59"/>
    <x v="0"/>
    <s v="SpringHill Suites by Marriott Baltimore Downtown Convention Center Area"/>
    <x v="0"/>
    <x v="0"/>
  </r>
  <r>
    <x v="1"/>
    <s v="MCOWS"/>
    <n v="100033"/>
    <s v="MCOWS"/>
    <n v="60"/>
    <x v="0"/>
    <s v="SpringHill Suites by Marriott Winter Park"/>
    <x v="1"/>
    <x v="0"/>
  </r>
  <r>
    <x v="0"/>
    <s v="CHIFO"/>
    <n v="100035"/>
    <s v="CHIFO"/>
    <n v="61"/>
    <x v="0"/>
    <s v="Fairfield by Marriott Inn &amp; Suites Chicago O'Hare"/>
    <x v="0"/>
    <x v="0"/>
  </r>
  <r>
    <x v="2"/>
    <s v="ALBTY"/>
    <n v="100037"/>
    <s v="ALBTY"/>
    <n v="71"/>
    <x v="0"/>
    <s v="Courtyard By Marriott Albany Troy/Waterfront"/>
    <x v="2"/>
    <x v="0"/>
  </r>
  <r>
    <x v="3"/>
    <s v="BISCN"/>
    <n v="100039"/>
    <s v="BISCN"/>
    <n v="72"/>
    <x v="0"/>
    <s v="Courtyard By Marriott Bismarck North"/>
    <x v="3"/>
    <x v="0"/>
  </r>
  <r>
    <x v="2"/>
    <s v="MSPOX"/>
    <n v="100041"/>
    <s v="MSPOX"/>
    <n v="75"/>
    <x v="0"/>
    <s v="Moxy Minneapolis Uptown"/>
    <x v="2"/>
    <x v="0"/>
  </r>
  <r>
    <x v="2"/>
    <s v="BZNAR"/>
    <n v="100043"/>
    <s v="BZNAR"/>
    <n v="79"/>
    <x v="0"/>
    <s v="AC Hotel Bozeman Downtown"/>
    <x v="2"/>
    <x v="0"/>
  </r>
  <r>
    <x v="3"/>
    <s v="YYZAP"/>
    <n v="100045"/>
    <s v="YYZAP"/>
    <n v="88"/>
    <x v="0"/>
    <s v="Courtyard By Marriott Toronto Airport"/>
    <x v="3"/>
    <x v="0"/>
  </r>
  <r>
    <x v="2"/>
    <s v="YYBFI"/>
    <n v="100047"/>
    <s v="YYBFI"/>
    <n v="89"/>
    <x v="0"/>
    <s v="Fairfield by Marriott Inn &amp; Suites North Bay"/>
    <x v="2"/>
    <x v="0"/>
  </r>
  <r>
    <x v="3"/>
    <s v="YSBFI"/>
    <n v="100049"/>
    <s v="YSBFI"/>
    <n v="90"/>
    <x v="0"/>
    <s v="Fairfield Inn &amp; Suites Sudbury"/>
    <x v="3"/>
    <x v="0"/>
  </r>
  <r>
    <x v="3"/>
    <s v="WASAX"/>
    <n v="100051"/>
    <s v="WASAX"/>
    <n v="92"/>
    <x v="0"/>
    <s v="SpringHill Suites By Marriott Alexandria"/>
    <x v="3"/>
    <x v="0"/>
  </r>
  <r>
    <x v="2"/>
    <s v="TPAPC"/>
    <n v="100053"/>
    <s v="TPAPC"/>
    <n v="93"/>
    <x v="0"/>
    <s v="Fairfield Inn &amp; Suites Lakeland Plant City"/>
    <x v="2"/>
    <x v="0"/>
  </r>
  <r>
    <x v="3"/>
    <s v="TIXFI"/>
    <n v="100055"/>
    <s v="TIXFI"/>
    <n v="94"/>
    <x v="0"/>
    <s v="Fairfield Inn &amp; Suites Titusville Kennedy Space Center"/>
    <x v="3"/>
    <x v="0"/>
  </r>
  <r>
    <x v="2"/>
    <s v="RQSFO"/>
    <n v="100057"/>
    <s v="RQSFO"/>
    <n v="95"/>
    <x v="0"/>
    <s v="Fairfield by Marriott Inn &amp; Suites Orillia"/>
    <x v="2"/>
    <x v="0"/>
  </r>
  <r>
    <x v="2"/>
    <s v="INDCU"/>
    <n v="100059"/>
    <s v="INDCU"/>
    <n v="97"/>
    <x v="0"/>
    <s v="Courtyard By Marriott Indianapolis Plainfield"/>
    <x v="2"/>
    <x v="0"/>
  </r>
  <r>
    <x v="3"/>
    <s v="IAGCY"/>
    <n v="100061"/>
    <s v="IAGCY"/>
    <n v="98"/>
    <x v="0"/>
    <s v="Courtyard By Marriott Niagara Falls"/>
    <x v="3"/>
    <x v="0"/>
  </r>
  <r>
    <x v="3"/>
    <s v="FLOCS"/>
    <n v="100063"/>
    <s v="FLOCS"/>
    <n v="99"/>
    <x v="0"/>
    <s v="SpringHill Suites By Marriott Cheraw"/>
    <x v="3"/>
    <x v="0"/>
  </r>
  <r>
    <x v="3"/>
    <s v="CVGMT"/>
    <n v="100065"/>
    <s v="CVGMT"/>
    <n v="101"/>
    <x v="0"/>
    <s v="Fairfield Inn &amp; Suites Cincinnati Uptown/University Area"/>
    <x v="3"/>
    <x v="0"/>
  </r>
  <r>
    <x v="2"/>
    <s v="AHNSH"/>
    <n v="100067"/>
    <s v="AHNSH"/>
    <n v="102"/>
    <x v="0"/>
    <s v="SpringHill Suites By Marriott Athens West"/>
    <x v="2"/>
    <x v="0"/>
  </r>
  <r>
    <x v="2"/>
    <s v="AVLAR"/>
    <n v="100069"/>
    <s v="AVLAR"/>
    <n v="105"/>
    <x v="0"/>
    <s v="Courtyard By Marriott Asheville Airport"/>
    <x v="2"/>
    <x v="0"/>
  </r>
  <r>
    <x v="3"/>
    <s v="AZOCY"/>
    <n v="100071"/>
    <s v="AZOCY"/>
    <n v="106"/>
    <x v="0"/>
    <s v="Courtyard By Marriott Kalamazoo Portage"/>
    <x v="3"/>
    <x v="0"/>
  </r>
  <r>
    <x v="2"/>
    <s v="BNAAF"/>
    <n v="100073"/>
    <s v="BNAAF"/>
    <n v="107"/>
    <x v="0"/>
    <s v="Fairfield Inn &amp; Suites Nashville Airport"/>
    <x v="2"/>
    <x v="0"/>
  </r>
  <r>
    <x v="2"/>
    <s v="BNAOX"/>
    <n v="100075"/>
    <s v="BNAOX"/>
    <n v="108"/>
    <x v="0"/>
    <s v="Moxy Nashville Downtown"/>
    <x v="2"/>
    <x v="0"/>
  </r>
  <r>
    <x v="2"/>
    <s v="BTVFB"/>
    <n v="100077"/>
    <s v="BTVFB"/>
    <n v="110"/>
    <x v="0"/>
    <s v="Fairfield Inn By Marriott Burlington Williston"/>
    <x v="2"/>
    <x v="0"/>
  </r>
  <r>
    <x v="3"/>
    <s v="BWIFD"/>
    <n v="100079"/>
    <s v="BWIFD"/>
    <n v="111"/>
    <x v="0"/>
    <s v="Fairfield by Marriott Inn &amp; Suites Aberdeen, MD"/>
    <x v="3"/>
    <x v="0"/>
  </r>
  <r>
    <x v="3"/>
    <s v="CAKCY"/>
    <n v="100081"/>
    <s v="CAKCY"/>
    <n v="112"/>
    <x v="0"/>
    <s v="Courtyard By Marriott Akron Stow"/>
    <x v="3"/>
    <x v="0"/>
  </r>
  <r>
    <x v="3"/>
    <s v="CHOFI"/>
    <n v="100083"/>
    <s v="CHOFI"/>
    <n v="113"/>
    <x v="0"/>
    <s v="Fairfield Inn &amp; Suites Charlottesville North"/>
    <x v="3"/>
    <x v="0"/>
  </r>
  <r>
    <x v="3"/>
    <s v="CLESH"/>
    <n v="100085"/>
    <s v="CLESH"/>
    <n v="114"/>
    <x v="0"/>
    <s v="SpringHill Suites By Marriott Cleveland Solon"/>
    <x v="3"/>
    <x v="0"/>
  </r>
  <r>
    <x v="3"/>
    <s v="CLTFR"/>
    <n v="100087"/>
    <s v="CLTFR"/>
    <n v="115"/>
    <x v="0"/>
    <s v="Fairfield by Marriott Inn &amp; Suites Charlotte Monroe"/>
    <x v="3"/>
    <x v="0"/>
  </r>
  <r>
    <x v="4"/>
    <s v="BOSLT"/>
    <n v="100089"/>
    <s v="BOSLT"/>
    <n v="132"/>
    <x v="0"/>
    <s v="Courtyard By Marriott Boston Littleton"/>
    <x v="4"/>
    <x v="0"/>
  </r>
  <r>
    <x v="3"/>
    <s v="LEXLE"/>
    <n v="100091"/>
    <s v="LEXLE"/>
    <n v="133"/>
    <x v="0"/>
    <s v="Fairfield Inn &amp; Suites Lexington East/I-75"/>
    <x v="3"/>
    <x v="0"/>
  </r>
  <r>
    <x v="4"/>
    <s v="AVLCB"/>
    <n v="100093"/>
    <s v="AVLCB"/>
    <n v="134"/>
    <x v="0"/>
    <s v="Courtyard by Marriott Asheville Biltmore Village"/>
    <x v="4"/>
    <x v="0"/>
  </r>
  <r>
    <x v="4"/>
    <s v="BWIBO"/>
    <n v="100095"/>
    <s v="BWIBO"/>
    <n v="135"/>
    <x v="0"/>
    <s v="Courtyard By Marriott Bowie"/>
    <x v="4"/>
    <x v="0"/>
  </r>
  <r>
    <x v="3"/>
    <s v="SAVFN"/>
    <n v="100097"/>
    <s v="SAVFN"/>
    <n v="136"/>
    <x v="0"/>
    <s v="Fairfield by Marriott Inn &amp; Suites Savannah I-95 North"/>
    <x v="3"/>
    <x v="0"/>
  </r>
  <r>
    <x v="4"/>
    <s v="AIDFI"/>
    <n v="100099"/>
    <s v="AIDFI"/>
    <n v="137"/>
    <x v="0"/>
    <s v="Fairfield Inn &amp; Suites Anderson"/>
    <x v="4"/>
    <x v="0"/>
  </r>
  <r>
    <x v="4"/>
    <s v="AHNSE"/>
    <s v="100101"/>
    <s v="AHNSE"/>
    <n v="138"/>
    <x v="0"/>
    <s v="SpringHill Suites By Marriott Athens Downtown/University Area"/>
    <x v="4"/>
    <x v="0"/>
  </r>
  <r>
    <x v="3"/>
    <s v="EWBFS"/>
    <n v="100103"/>
    <s v="EWBFS"/>
    <n v="139"/>
    <x v="0"/>
    <s v="Fairfield Inn &amp; Suites Somerset"/>
    <x v="3"/>
    <x v="0"/>
  </r>
  <r>
    <x v="4"/>
    <s v="DABPC"/>
    <n v="100105"/>
    <s v="DABPC"/>
    <n v="140"/>
    <x v="0"/>
    <s v="Fairfield Inn &amp; Suites Palm Coast I-95"/>
    <x v="4"/>
    <x v="0"/>
  </r>
  <r>
    <x v="3"/>
    <s v="PITFM"/>
    <n v="100107"/>
    <s v="PITFM"/>
    <n v="141"/>
    <x v="0"/>
    <s v="Fairfield Inn &amp; Suites Pittsburgh North/McCandless Crossing"/>
    <x v="3"/>
    <x v="0"/>
  </r>
  <r>
    <x v="4"/>
    <s v="CHAOW"/>
    <n v="100109"/>
    <s v="CHAOW"/>
    <n v="142"/>
    <x v="0"/>
    <s v="SpringHill Suites By Marriott Chattanooga North/Ooltewah"/>
    <x v="4"/>
    <x v="0"/>
  </r>
  <r>
    <x v="4"/>
    <s v="ABYAB"/>
    <n v="100111"/>
    <s v="ABYAB"/>
    <n v="143"/>
    <x v="0"/>
    <s v="Fairfield Inn &amp; Suites Albany"/>
    <x v="4"/>
    <x v="0"/>
  </r>
  <r>
    <x v="4"/>
    <s v="BMGSH"/>
    <n v="100113"/>
    <s v="BMGSH"/>
    <n v="144"/>
    <x v="0"/>
    <s v="SpringHill Suites By Marriott Bloomington"/>
    <x v="4"/>
    <x v="0"/>
  </r>
  <r>
    <x v="4"/>
    <s v="AHNGV"/>
    <n v="100115"/>
    <s v="AHNGV"/>
    <n v="145"/>
    <x v="0"/>
    <s v="Fairfield Inn &amp; Suites Gainesville"/>
    <x v="4"/>
    <x v="0"/>
  </r>
  <r>
    <x v="4"/>
    <s v="CHSCS"/>
    <n v="100117"/>
    <s v="CHSCS"/>
    <n v="146"/>
    <x v="0"/>
    <s v="Fairfield Inn &amp; Suites Charleston Airport/Convention Center"/>
    <x v="4"/>
    <x v="0"/>
  </r>
  <r>
    <x v="3"/>
    <s v="ORFOC"/>
    <n v="100119"/>
    <s v="ORFOC"/>
    <n v="147"/>
    <x v="0"/>
    <s v="Courtyard By Marriott Virginia Beach Oceanfront/South"/>
    <x v="3"/>
    <x v="0"/>
  </r>
  <r>
    <x v="4"/>
    <s v="CLECA"/>
    <n v="100121"/>
    <s v="CLECA"/>
    <n v="148"/>
    <x v="0"/>
    <s v="Courtyard By Marriott Cleveland Airport South"/>
    <x v="4"/>
    <x v="0"/>
  </r>
  <r>
    <x v="4"/>
    <s v="AOOFI"/>
    <n v="100123"/>
    <s v="AOOFI"/>
    <n v="149"/>
    <x v="0"/>
    <s v="Fairfield Inn &amp; Suites Bedford"/>
    <x v="4"/>
    <x v="0"/>
  </r>
  <r>
    <x v="3"/>
    <s v="IPTFL"/>
    <n v="100125"/>
    <s v="IPTFL"/>
    <n v="150"/>
    <x v="0"/>
    <s v="Fairfield Inn &amp; Suites Lewisburg"/>
    <x v="3"/>
    <x v="0"/>
  </r>
  <r>
    <x v="3"/>
    <s v="WASWB"/>
    <n v="100127"/>
    <s v="WASWB"/>
    <n v="151"/>
    <x v="0"/>
    <s v="Courtyard By Marriott Potomac Mills Woodbridge"/>
    <x v="3"/>
    <x v="0"/>
  </r>
  <r>
    <x v="3"/>
    <s v="EVVFJ"/>
    <n v="100129"/>
    <s v="EVVFJ"/>
    <n v="152"/>
    <x v="0"/>
    <s v="Fairfield Inn &amp; Suites Jasper"/>
    <x v="3"/>
    <x v="0"/>
  </r>
  <r>
    <x v="4"/>
    <s v="ALBFY"/>
    <n v="100131"/>
    <s v="ALBFY"/>
    <n v="153"/>
    <x v="0"/>
    <s v="Fairfield Inn &amp; Suites Albany Airport"/>
    <x v="4"/>
    <x v="0"/>
  </r>
  <r>
    <x v="4"/>
    <s v="BWIAF"/>
    <n v="100133"/>
    <s v="BWIAF"/>
    <n v="154"/>
    <x v="0"/>
    <s v="Fairfield Inn &amp; Suites Baltimore BWI Airport"/>
    <x v="4"/>
    <x v="0"/>
  </r>
  <r>
    <x v="4"/>
    <s v="AGSNW"/>
    <n v="100135"/>
    <s v="AGSNW"/>
    <n v="155"/>
    <x v="0"/>
    <s v="Fairfield Inn &amp; Suites Augusta Washington Rd./I-20"/>
    <x v="4"/>
    <x v="0"/>
  </r>
  <r>
    <x v="4"/>
    <s v="BWICO"/>
    <n v="100137"/>
    <s v="BWICO"/>
    <n v="156"/>
    <x v="0"/>
    <s v="SpringHill Suites By Marriott Columbia Fort Meade Area"/>
    <x v="4"/>
    <x v="0"/>
  </r>
  <r>
    <x v="4"/>
    <s v="CLTFT"/>
    <n v="100139"/>
    <s v="CLTFT"/>
    <n v="157"/>
    <x v="0"/>
    <s v="Courtyard By Marriott Charlotte Fort Mill, SC"/>
    <x v="4"/>
    <x v="0"/>
  </r>
  <r>
    <x v="4"/>
    <s v="ACYFA"/>
    <n v="100141"/>
    <s v="ACYFA"/>
    <n v="158"/>
    <x v="0"/>
    <s v="Fairfield Inn &amp; Suites Atlantic City Absecon"/>
    <x v="4"/>
    <x v="0"/>
  </r>
  <r>
    <x v="3"/>
    <s v="IADDL"/>
    <n v="100143"/>
    <s v="IADDL"/>
    <n v="159"/>
    <x v="0"/>
    <s v="SpringHill Suites By Marriott Dulles Airport"/>
    <x v="3"/>
    <x v="0"/>
  </r>
  <r>
    <x v="4"/>
    <s v="ATLES"/>
    <n v="100145"/>
    <s v="ATLES"/>
    <n v="160"/>
    <x v="0"/>
    <s v="SpringHill Suites by Marriott Suwanee Johns Creek"/>
    <x v="4"/>
    <x v="0"/>
  </r>
  <r>
    <x v="3"/>
    <s v="INTFI"/>
    <n v="100147"/>
    <s v="INTFI"/>
    <n v="161"/>
    <x v="0"/>
    <s v="Fairfield Inn &amp; Suites Winston-Salem Hanes Mall"/>
    <x v="3"/>
    <x v="0"/>
  </r>
  <r>
    <x v="4"/>
    <s v="CAEFD"/>
    <n v="100149"/>
    <s v="CAEFD"/>
    <n v="162"/>
    <x v="0"/>
    <s v="Fairfield by Marriott Inn &amp; Suites Columbia Downtown"/>
    <x v="4"/>
    <x v="0"/>
  </r>
  <r>
    <x v="4"/>
    <s v="BGMFI"/>
    <n v="100151"/>
    <s v="BGMFI"/>
    <n v="163"/>
    <x v="0"/>
    <s v="Fairfield Inn By Marriott Binghamton"/>
    <x v="4"/>
    <x v="0"/>
  </r>
  <r>
    <x v="3"/>
    <s v="TPAFR"/>
    <n v="100153"/>
    <s v="TPAFR"/>
    <n v="164"/>
    <x v="0"/>
    <s v="Fairfield by Marriott Inn &amp; Suites Tampa Riverview"/>
    <x v="3"/>
    <x v="0"/>
  </r>
  <r>
    <x v="4"/>
    <s v="CLTFN"/>
    <n v="100155"/>
    <s v="CLTFN"/>
    <n v="165"/>
    <x v="0"/>
    <s v="Fairfield by Marriott Inn &amp; Suites Charlotte University Research Park"/>
    <x v="4"/>
    <x v="0"/>
  </r>
  <r>
    <x v="3"/>
    <s v="LEXNW"/>
    <n v="100157"/>
    <s v="LEXNW"/>
    <n v="166"/>
    <x v="0"/>
    <s v="Fairfield Inn &amp; Suites Lexington North"/>
    <x v="3"/>
    <x v="0"/>
  </r>
  <r>
    <x v="4"/>
    <s v="CLTBY"/>
    <n v="100159"/>
    <s v="CLTBY"/>
    <n v="167"/>
    <x v="0"/>
    <s v="Fairfield Inn &amp; Suites Shelby"/>
    <x v="4"/>
    <x v="0"/>
  </r>
  <r>
    <x v="4"/>
    <s v="ALBWS"/>
    <n v="100161"/>
    <s v="ALBWS"/>
    <n v="168"/>
    <x v="0"/>
    <s v="Courtyard By Marriott Albany Thruway"/>
    <x v="4"/>
    <x v="0"/>
  </r>
  <r>
    <x v="4"/>
    <s v="CVGFC"/>
    <n v="100163"/>
    <s v="CVGFC"/>
    <n v="169"/>
    <x v="0"/>
    <s v="Fairfield by Marriott Inn &amp; Suites Cincinnati Airport South/Florence"/>
    <x v="4"/>
    <x v="0"/>
  </r>
  <r>
    <x v="4"/>
    <s v="BWISI"/>
    <n v="100165"/>
    <s v="BWISI"/>
    <n v="170"/>
    <x v="0"/>
    <s v="SpringHill Suites By Marriott Baltimore Downtown/Inner Harbor"/>
    <x v="4"/>
    <x v="0"/>
  </r>
  <r>
    <x v="3"/>
    <s v="EWBPF"/>
    <n v="100167"/>
    <s v="EWBPF"/>
    <n v="171"/>
    <x v="0"/>
    <s v="Fairfield Inn &amp; Suites Plymouth"/>
    <x v="3"/>
    <x v="0"/>
  </r>
  <r>
    <x v="4"/>
    <s v="BNAWO"/>
    <n v="100169"/>
    <s v="BNAWO"/>
    <n v="172"/>
    <x v="0"/>
    <s v="SpringHill Suites By Marriott Nashville Brentwood"/>
    <x v="4"/>
    <x v="0"/>
  </r>
  <r>
    <x v="3"/>
    <s v="VKSCY"/>
    <n v="100171"/>
    <s v="VKSCY"/>
    <n v="173"/>
    <x v="0"/>
    <s v="Courtyard By Marriott Vicksburg"/>
    <x v="3"/>
    <x v="0"/>
  </r>
  <r>
    <x v="4"/>
    <s v="BHMSG"/>
    <n v="100173"/>
    <s v="BHMSG"/>
    <n v="175"/>
    <x v="0"/>
    <s v="SpringHill Suites By Marriott Birmingham Gardendale"/>
    <x v="4"/>
    <x v="0"/>
  </r>
  <r>
    <x v="3"/>
    <s v="MSPNF"/>
    <n v="100175"/>
    <s v="MSPNF"/>
    <n v="177"/>
    <x v="0"/>
    <s v="Fairfield Inn &amp; Suites Northfield"/>
    <x v="3"/>
    <x v="0"/>
  </r>
  <r>
    <x v="4"/>
    <s v="BHMCO"/>
    <n v="100177"/>
    <s v="BHMCO"/>
    <n v="179"/>
    <x v="0"/>
    <s v="SpringHill Suites By Marriott Birmingham Colonnade/Grandview"/>
    <x v="4"/>
    <x v="0"/>
  </r>
  <r>
    <x v="4"/>
    <s v="BNAFS"/>
    <n v="100179"/>
    <s v="BNAFS"/>
    <n v="181"/>
    <x v="0"/>
    <s v="SpringHill Suites by Marriott Franklin Mint"/>
    <x v="4"/>
    <x v="0"/>
  </r>
  <r>
    <x v="4"/>
    <s v="CHIFH"/>
    <n v="100181"/>
    <s v="CHIFH"/>
    <n v="183"/>
    <x v="0"/>
    <s v="Fairfield Inn &amp; Suites Chicago Southeast/Hammond, IN"/>
    <x v="4"/>
    <x v="0"/>
  </r>
  <r>
    <x v="4"/>
    <s v="BHMGD"/>
    <n v="100183"/>
    <s v="BHMGD"/>
    <n v="185"/>
    <x v="0"/>
    <s v="Fairfield Inn &amp; Suites Gadsden"/>
    <x v="4"/>
    <x v="0"/>
  </r>
  <r>
    <x v="4"/>
    <s v="DLHFD"/>
    <n v="100185"/>
    <s v="DLHFD"/>
    <n v="187"/>
    <x v="0"/>
    <s v="Fairfield Inn &amp; Suites Duluth"/>
    <x v="4"/>
    <x v="0"/>
  </r>
  <r>
    <x v="4"/>
    <s v="BZNFY"/>
    <n v="100187"/>
    <s v="BZNFY"/>
    <n v="190"/>
    <x v="0"/>
    <s v="Fairfield by Marriott Inn &amp; Suites Livingston Yellowstone"/>
    <x v="4"/>
    <x v="0"/>
  </r>
  <r>
    <x v="4"/>
    <s v="ALOCL"/>
    <n v="100189"/>
    <s v="ALOCL"/>
    <n v="192"/>
    <x v="0"/>
    <s v="Fairfield by Marriott Inn &amp; Suites Clear Lake"/>
    <x v="4"/>
    <x v="0"/>
  </r>
  <r>
    <x v="4"/>
    <s v="ATWCY"/>
    <n v="100191"/>
    <s v="ATWCY"/>
    <n v="193"/>
    <x v="0"/>
    <s v="Courtyard By Marriott Appleton Riverfront"/>
    <x v="4"/>
    <x v="0"/>
  </r>
  <r>
    <x v="3"/>
    <s v="OMAUF"/>
    <n v="100193"/>
    <s v="OMAUF"/>
    <n v="199"/>
    <x v="0"/>
    <s v="Courtyard By Marriott Omaha East/Council Bluffs, IA"/>
    <x v="3"/>
    <x v="0"/>
  </r>
  <r>
    <x v="3"/>
    <s v="DSMSA"/>
    <n v="100195"/>
    <s v="DSMSA"/>
    <n v="203"/>
    <x v="0"/>
    <s v="SpringHill Suites By Marriott Ames"/>
    <x v="3"/>
    <x v="0"/>
  </r>
  <r>
    <x v="5"/>
    <s v="YYTCY"/>
    <n v="100197"/>
    <s v="YYTCY"/>
    <n v="211"/>
    <x v="0"/>
    <s v="Courtyard By Marriott St. John's Newfoundland"/>
    <x v="5"/>
    <x v="0"/>
  </r>
  <r>
    <x v="5"/>
    <s v="YYTFI"/>
    <n v="100199"/>
    <s v="YYTFI"/>
    <n v="212"/>
    <x v="0"/>
    <s v="Fairfield Inn &amp; Suites St. John's Newfoundland"/>
    <x v="5"/>
    <x v="0"/>
  </r>
  <r>
    <x v="5"/>
    <s v="YHZOX"/>
    <n v="100201"/>
    <s v="YHZOX"/>
    <n v="213"/>
    <x v="0"/>
    <s v="Moxy Halifax Downtown"/>
    <x v="5"/>
    <x v="0"/>
  </r>
  <r>
    <x v="5"/>
    <s v="YHZCY"/>
    <n v="100203"/>
    <s v="YHZCY"/>
    <n v="214"/>
    <x v="0"/>
    <s v="Courtyard By Marriott Halifax Downtown"/>
    <x v="5"/>
    <x v="0"/>
  </r>
  <r>
    <x v="4"/>
    <s v="DTWDR"/>
    <n v="100205"/>
    <s v="DTWDR"/>
    <n v="215"/>
    <x v="0"/>
    <s v="Fairfield by Marriott Inn &amp; Suites Rochester Hills"/>
    <x v="4"/>
    <x v="0"/>
  </r>
  <r>
    <x v="4"/>
    <s v="FAYSL"/>
    <n v="100207"/>
    <s v="FAYSL"/>
    <n v="216"/>
    <x v="0"/>
    <s v="SpringHill Suites By Marriott Lumberton"/>
    <x v="4"/>
    <x v="0"/>
  </r>
  <r>
    <x v="4"/>
    <s v="HYAFI"/>
    <n v="100209"/>
    <s v="HYAFI"/>
    <n v="217"/>
    <x v="0"/>
    <s v="Fairfield Inn &amp; Suites Cape Cod Hyannis"/>
    <x v="4"/>
    <x v="0"/>
  </r>
  <r>
    <x v="5"/>
    <s v="ORFNC"/>
    <n v="100211"/>
    <s v="ORFNC"/>
    <n v="218"/>
    <x v="0"/>
    <s v="SpringHill Suites By Marriott Chesapeake Greenbrier"/>
    <x v="5"/>
    <x v="0"/>
  </r>
  <r>
    <x v="4"/>
    <s v="HARFL"/>
    <n v="100213"/>
    <s v="HARFL"/>
    <n v="219"/>
    <x v="0"/>
    <s v="Fairfield by Marriott Inn &amp; Suites Lebanon Near Expo Center"/>
    <x v="4"/>
    <x v="0"/>
  </r>
  <r>
    <x v="5"/>
    <s v="TPACW"/>
    <n v="100215"/>
    <s v="TPACW"/>
    <n v="220"/>
    <x v="0"/>
    <s v="Fairfield Inn &amp; Suites St. Petersburg Clearwater"/>
    <x v="5"/>
    <x v="0"/>
  </r>
  <r>
    <x v="4"/>
    <s v="FHKNY"/>
    <n v="100217"/>
    <s v="FHKNY"/>
    <n v="221"/>
    <x v="0"/>
    <s v="Courtyard By Marriott Fishkill"/>
    <x v="4"/>
    <x v="0"/>
  </r>
  <r>
    <x v="4"/>
    <s v="GFLFI"/>
    <n v="100219"/>
    <s v="GFLFI"/>
    <n v="222"/>
    <x v="0"/>
    <s v="Fairfield by Marriott Inn &amp; Suites Queensbury Glens Falls/Lake George Area"/>
    <x v="4"/>
    <x v="0"/>
  </r>
  <r>
    <x v="5"/>
    <s v="YKFCY"/>
    <n v="100221"/>
    <s v="YKFCY"/>
    <n v="223"/>
    <x v="0"/>
    <s v="Courtyard By Marriott Waterloo St. Jacobs"/>
    <x v="5"/>
    <x v="0"/>
  </r>
  <r>
    <x v="4"/>
    <s v="CAECS"/>
    <n v="100223"/>
    <s v="CAECS"/>
    <n v="224"/>
    <x v="0"/>
    <s v="SpringHill Suites by Marriott Columbia near Fort Jackson"/>
    <x v="4"/>
    <x v="0"/>
  </r>
  <r>
    <x v="5"/>
    <s v="TPAHF"/>
    <n v="100225"/>
    <s v="TPAHF"/>
    <n v="225"/>
    <x v="0"/>
    <s v="Fairfield Inn &amp; Suites Holiday Tarpon Springs"/>
    <x v="5"/>
    <x v="0"/>
  </r>
  <r>
    <x v="4"/>
    <s v="ISPCY"/>
    <n v="100227"/>
    <s v="ISPCY"/>
    <n v="226"/>
    <x v="0"/>
    <s v="Courtyard By Marriott Long Island MacArthur Airport"/>
    <x v="4"/>
    <x v="0"/>
  </r>
  <r>
    <x v="4"/>
    <s v="FLLAW"/>
    <n v="100229"/>
    <s v="FLLAW"/>
    <n v="227"/>
    <x v="0"/>
    <s v="AC Hotel Fort Lauderdale Beach"/>
    <x v="4"/>
    <x v="0"/>
  </r>
  <r>
    <x v="5"/>
    <s v="MTHFI"/>
    <n v="100231"/>
    <s v="MTHFI"/>
    <n v="228"/>
    <x v="0"/>
    <s v="Fairfield by Marriott Inn &amp; Suites Marathon Florida Keys"/>
    <x v="5"/>
    <x v="0"/>
  </r>
  <r>
    <x v="5"/>
    <s v="SHDFI"/>
    <n v="100233"/>
    <s v="SHDFI"/>
    <n v="229"/>
    <x v="0"/>
    <s v="Fairfield Inn &amp; Suites Harrisonburg"/>
    <x v="5"/>
    <x v="0"/>
  </r>
  <r>
    <x v="5"/>
    <s v="PBISH"/>
    <n v="100235"/>
    <s v="PBISH"/>
    <n v="230"/>
    <x v="0"/>
    <s v="SpringHill Suites By Marriott Boca Raton"/>
    <x v="5"/>
    <x v="0"/>
  </r>
  <r>
    <x v="4"/>
    <s v="HHHCY"/>
    <n v="100237"/>
    <s v="HHHCY"/>
    <n v="231"/>
    <x v="0"/>
    <s v="Courtyard By Marriott Hilton Head Island"/>
    <x v="4"/>
    <x v="0"/>
  </r>
  <r>
    <x v="5"/>
    <s v="PVDLN"/>
    <n v="100239"/>
    <s v="PVDLN"/>
    <n v="232"/>
    <x v="0"/>
    <s v="Courtyard By Marriott Providence Lincoln"/>
    <x v="5"/>
    <x v="0"/>
  </r>
  <r>
    <x v="5"/>
    <s v="SBYFI"/>
    <n v="100241"/>
    <s v="SBYFI"/>
    <n v="233"/>
    <x v="0"/>
    <s v="Fairfield Inn &amp; Suites Ocean City"/>
    <x v="5"/>
    <x v="0"/>
  </r>
  <r>
    <x v="5"/>
    <s v="RSWFM"/>
    <n v="100243"/>
    <s v="RSWFM"/>
    <n v="234"/>
    <x v="0"/>
    <s v="Fairfield by Marriott Inn &amp; Suites Cape Coral/North Fort Myers"/>
    <x v="5"/>
    <x v="0"/>
  </r>
  <r>
    <x v="5"/>
    <s v="YNGFS"/>
    <n v="100245"/>
    <s v="YNGFS"/>
    <n v="235"/>
    <x v="0"/>
    <s v="Fairfield Inn &amp; Suites Youngstown Austintown"/>
    <x v="5"/>
    <x v="0"/>
  </r>
  <r>
    <x v="4"/>
    <s v="FLOSH"/>
    <n v="100247"/>
    <s v="FLOSH"/>
    <n v="236"/>
    <x v="0"/>
    <s v="SpringHill Suites By Marriott Florence"/>
    <x v="4"/>
    <x v="0"/>
  </r>
  <r>
    <x v="5"/>
    <s v="LYHSH"/>
    <n v="100249"/>
    <s v="LYHSH"/>
    <n v="237"/>
    <x v="0"/>
    <s v="SpringHill Suites By Marriott Lynchburg Airport/University Area"/>
    <x v="5"/>
    <x v="0"/>
  </r>
  <r>
    <x v="5"/>
    <s v="MGWMG"/>
    <n v="100251"/>
    <s v="MGWMG"/>
    <n v="238"/>
    <x v="0"/>
    <s v="Fairfield Inn &amp; Suites Morgantown"/>
    <x v="5"/>
    <x v="0"/>
  </r>
  <r>
    <x v="5"/>
    <s v="YKFCK"/>
    <n v="100253"/>
    <s v="YKFCK"/>
    <n v="239"/>
    <x v="0"/>
    <s v="Courtyard By Marriott Kitchener"/>
    <x v="5"/>
    <x v="0"/>
  </r>
  <r>
    <x v="4"/>
    <s v="BWIMS"/>
    <n v="100255"/>
    <s v="BWIMS"/>
    <n v="240"/>
    <x v="0"/>
    <s v="Fairfield Inn &amp; Suites Baltimore White Marsh"/>
    <x v="4"/>
    <x v="0"/>
  </r>
  <r>
    <x v="4"/>
    <s v="HKYCY"/>
    <n v="100257"/>
    <s v="HKYCY"/>
    <n v="241"/>
    <x v="0"/>
    <s v="Courtyard By Marriott Hickory"/>
    <x v="4"/>
    <x v="0"/>
  </r>
  <r>
    <x v="4"/>
    <s v="HVNFW"/>
    <n v="100259"/>
    <s v="HVNFW"/>
    <n v="242"/>
    <x v="0"/>
    <s v="Fairfield by Marriott Inn &amp; Suites Wallingford New Haven"/>
    <x v="4"/>
    <x v="0"/>
  </r>
  <r>
    <x v="5"/>
    <s v="MCOMS"/>
    <n v="100261"/>
    <s v="MCOMS"/>
    <n v="243"/>
    <x v="0"/>
    <s v="Fairfield by Marriott Inn &amp; Suites Orlando at Millenia"/>
    <x v="5"/>
    <x v="0"/>
  </r>
  <r>
    <x v="4"/>
    <s v="AVLCK"/>
    <n v="100263"/>
    <s v="AVLCK"/>
    <n v="244"/>
    <x v="0"/>
    <s v="Fairfield Inn &amp; Suites Cherokee"/>
    <x v="4"/>
    <x v="0"/>
  </r>
  <r>
    <x v="5"/>
    <s v="RICFC"/>
    <n v="100265"/>
    <s v="RICFC"/>
    <n v="245"/>
    <x v="0"/>
    <s v="Fairfield Inn &amp; Suites Stony Creek"/>
    <x v="5"/>
    <x v="0"/>
  </r>
  <r>
    <x v="5"/>
    <s v="PWMPT"/>
    <n v="100267"/>
    <s v="PWMPT"/>
    <n v="246"/>
    <x v="0"/>
    <s v="Fairfield by Marriott Inn &amp; Suites Portland Maine Airport"/>
    <x v="5"/>
    <x v="0"/>
  </r>
  <r>
    <x v="5"/>
    <s v="TPATT"/>
    <n v="100269"/>
    <s v="TPATT"/>
    <n v="247"/>
    <x v="0"/>
    <s v="Fairfield Inn &amp; Suites Tampa North"/>
    <x v="5"/>
    <x v="0"/>
  </r>
  <r>
    <x v="5"/>
    <s v="YYZSV"/>
    <n v="100271"/>
    <s v="YYZSV"/>
    <n v="248"/>
    <x v="0"/>
    <s v="SpringHill Suites By Marriott Toronto Vaughan"/>
    <x v="5"/>
    <x v="0"/>
  </r>
  <r>
    <x v="4"/>
    <s v="AVLFA"/>
    <n v="100273"/>
    <s v="AVLFA"/>
    <n v="249"/>
    <x v="0"/>
    <s v="Fairfield Inn &amp; Suites Asheville Tunnel Road"/>
    <x v="4"/>
    <x v="0"/>
  </r>
  <r>
    <x v="4"/>
    <s v="GRRCH"/>
    <n v="100275"/>
    <s v="GRRCH"/>
    <n v="250"/>
    <x v="0"/>
    <s v="Courtyard By Marriott Holland Downtown"/>
    <x v="4"/>
    <x v="0"/>
  </r>
  <r>
    <x v="5"/>
    <s v="RDUAA"/>
    <n v="100277"/>
    <s v="RDUAA"/>
    <n v="251"/>
    <x v="0"/>
    <s v="AC Hotel Durham"/>
    <x v="5"/>
    <x v="0"/>
  </r>
  <r>
    <x v="5"/>
    <s v="TPACR"/>
    <n v="100279"/>
    <s v="TPACR"/>
    <n v="252"/>
    <x v="0"/>
    <s v="Fairfield Inn &amp; Suites Clearwater"/>
    <x v="5"/>
    <x v="0"/>
  </r>
  <r>
    <x v="6"/>
    <s v="HHHBS"/>
    <n v="100281"/>
    <s v="HHHBS"/>
    <n v="253"/>
    <x v="0"/>
    <s v="SpringHill Suites by Marriott Beaufort"/>
    <x v="6"/>
    <x v="0"/>
  </r>
  <r>
    <x v="5"/>
    <s v="ROCCD"/>
    <n v="100283"/>
    <s v="ROCCD"/>
    <n v="254"/>
    <x v="0"/>
    <s v="Courtyard By Marriott Rochester Downtown"/>
    <x v="5"/>
    <x v="0"/>
  </r>
  <r>
    <x v="4"/>
    <s v="HARCA"/>
    <n v="100285"/>
    <s v="HARCA"/>
    <n v="255"/>
    <x v="0"/>
    <s v="Courtyard By Marriott Hershey Chocolate Avenue"/>
    <x v="4"/>
    <x v="0"/>
  </r>
  <r>
    <x v="4"/>
    <s v="CMHOX"/>
    <n v="100287"/>
    <s v="CMHOX"/>
    <n v="256"/>
    <x v="0"/>
    <s v="Moxy Columbus Short North"/>
    <x v="4"/>
    <x v="0"/>
  </r>
  <r>
    <x v="5"/>
    <s v="PITMR"/>
    <n v="100289"/>
    <s v="PITMR"/>
    <n v="257"/>
    <x v="0"/>
    <s v="Courtyard By Marriott Pittsburgh Monroeville"/>
    <x v="5"/>
    <x v="0"/>
  </r>
  <r>
    <x v="4"/>
    <s v="ERISH"/>
    <n v="100291"/>
    <s v="ERISH"/>
    <n v="258"/>
    <x v="0"/>
    <s v="SpringHill Suites By Marriott Erie"/>
    <x v="4"/>
    <x v="0"/>
  </r>
  <r>
    <x v="4"/>
    <s v="CVGEG"/>
    <n v="100293"/>
    <s v="CVGEG"/>
    <n v="259"/>
    <x v="0"/>
    <s v="Fairfield Inn &amp; Suites Cincinnati Eastgate"/>
    <x v="4"/>
    <x v="0"/>
  </r>
  <r>
    <x v="5"/>
    <s v="PBIFD"/>
    <n v="100295"/>
    <s v="PBIFD"/>
    <n v="260"/>
    <x v="0"/>
    <s v="Fairfield Inn &amp; Suites Delray Beach I-95"/>
    <x v="5"/>
    <x v="0"/>
  </r>
  <r>
    <x v="4"/>
    <s v="CVGNP"/>
    <n v="100297"/>
    <s v="CVGNP"/>
    <n v="261"/>
    <x v="0"/>
    <s v="Fairfield by Marriott Inn &amp; Suites Newport Cincinnati"/>
    <x v="4"/>
    <x v="0"/>
  </r>
  <r>
    <x v="5"/>
    <s v="RDUAH"/>
    <s v="100299"/>
    <s v="RDUAH"/>
    <n v="262"/>
    <x v="0"/>
    <s v="AC Hotel Chapel Hill Downtown"/>
    <x v="5"/>
    <x v="0"/>
  </r>
  <r>
    <x v="5"/>
    <s v="LCIPL"/>
    <n v="100301"/>
    <s v="LCIPL"/>
    <n v="263"/>
    <x v="0"/>
    <s v="Fairfield by Marriott Inn &amp; Suites Plymouth White Mountains"/>
    <x v="5"/>
    <x v="0"/>
  </r>
  <r>
    <x v="4"/>
    <s v="HARSH"/>
    <n v="100303"/>
    <s v="HARSH"/>
    <n v="264"/>
    <x v="0"/>
    <s v="SpringHill Suites By Marriott Hershey Near the Park"/>
    <x v="4"/>
    <x v="0"/>
  </r>
  <r>
    <x v="5"/>
    <s v="PITSC"/>
    <n v="100305"/>
    <s v="PITSC"/>
    <n v="265"/>
    <x v="0"/>
    <s v="Fairfield Inn &amp; Suites Wheeling-St. Clairsville, OH"/>
    <x v="5"/>
    <x v="0"/>
  </r>
  <r>
    <x v="5"/>
    <s v="WASSP"/>
    <n v="100307"/>
    <s v="WASSP"/>
    <n v="266"/>
    <x v="0"/>
    <s v="Courtyard By Marriott Springfield"/>
    <x v="5"/>
    <x v="0"/>
  </r>
  <r>
    <x v="4"/>
    <s v="FLLMM"/>
    <n v="100309"/>
    <s v="FLLMM"/>
    <n v="267"/>
    <x v="0"/>
    <s v="Courtyard By Marriott Fort Lauderdale SW/Miramar"/>
    <x v="4"/>
    <x v="0"/>
  </r>
  <r>
    <x v="5"/>
    <s v="MLBFI"/>
    <n v="100311"/>
    <s v="MLBFI"/>
    <n v="268"/>
    <x v="0"/>
    <s v="Fairfield by Marriott Inn &amp; Suites Melbourne West/Palm Bay"/>
    <x v="5"/>
    <x v="0"/>
  </r>
  <r>
    <x v="5"/>
    <s v="SWFFG"/>
    <n v="100313"/>
    <s v="SWFFG"/>
    <n v="269"/>
    <x v="0"/>
    <s v="Fairfield by Marriott Inn &amp; Suites Goshen Middletown"/>
    <x v="5"/>
    <x v="0"/>
  </r>
  <r>
    <x v="4"/>
    <s v="CLTSD"/>
    <n v="100315"/>
    <s v="CLTSD"/>
    <n v="270"/>
    <x v="0"/>
    <s v="SpringHill Suites by Marriott Charlotte City Center"/>
    <x v="4"/>
    <x v="0"/>
  </r>
  <r>
    <x v="4"/>
    <s v="CHARM"/>
    <n v="100317"/>
    <s v="CHARM"/>
    <n v="271"/>
    <x v="0"/>
    <s v="Fairfield by Marriott Inn &amp; Suites Rome"/>
    <x v="4"/>
    <x v="0"/>
  </r>
  <r>
    <x v="4"/>
    <s v="CLTHC"/>
    <n v="100319"/>
    <s v="CLTHC"/>
    <n v="272"/>
    <x v="0"/>
    <s v="SpringHill Suites By Marriott Charlotte Concord Mills/Speedway"/>
    <x v="4"/>
    <x v="0"/>
  </r>
  <r>
    <x v="4"/>
    <s v="FLLCO"/>
    <n v="100321"/>
    <s v="FLLCO"/>
    <n v="273"/>
    <x v="0"/>
    <s v="Courtyard by Marriott Oceanside Fort Lauderdale Beach"/>
    <x v="4"/>
    <x v="0"/>
  </r>
  <r>
    <x v="5"/>
    <s v="RSWNP"/>
    <n v="100323"/>
    <s v="RSWNP"/>
    <n v="274"/>
    <x v="0"/>
    <s v="Courtyard By Marriott Naples"/>
    <x v="5"/>
    <x v="0"/>
  </r>
  <r>
    <x v="4"/>
    <s v="FLLCP"/>
    <n v="100325"/>
    <s v="FLLCP"/>
    <n v="275"/>
    <x v="0"/>
    <s v="Courtyard By Marriott Fort Lauderdale North/Cypress Creek"/>
    <x v="4"/>
    <x v="0"/>
  </r>
  <r>
    <x v="4"/>
    <s v="CAEOB"/>
    <n v="100327"/>
    <s v="CAEOB"/>
    <n v="276"/>
    <x v="0"/>
    <s v="Fairfield Inn By Marriott Orangeburg"/>
    <x v="4"/>
    <x v="0"/>
  </r>
  <r>
    <x v="4"/>
    <s v="CLTFV"/>
    <n v="100329"/>
    <s v="CLTFV"/>
    <n v="277"/>
    <x v="0"/>
    <s v="Fairfield Inn &amp; Suites Statesville"/>
    <x v="4"/>
    <x v="0"/>
  </r>
  <r>
    <x v="5"/>
    <s v="PVDFK"/>
    <n v="100331"/>
    <s v="PVDFK"/>
    <n v="278"/>
    <x v="0"/>
    <s v="Fairfield Inn &amp; Suites South Kingstown Newport Area"/>
    <x v="5"/>
    <x v="0"/>
  </r>
  <r>
    <x v="5"/>
    <s v="MLBFP"/>
    <n v="100333"/>
    <s v="MLBFP"/>
    <n v="279"/>
    <x v="0"/>
    <s v="Fairfield Inn &amp; Suites Fort Pierce"/>
    <x v="5"/>
    <x v="0"/>
  </r>
  <r>
    <x v="5"/>
    <s v="ORFNW"/>
    <n v="100335"/>
    <s v="ORFNW"/>
    <n v="280"/>
    <x v="0"/>
    <s v="SpringHill Suites By Marriott Norfolk Virginia Beach"/>
    <x v="5"/>
    <x v="0"/>
  </r>
  <r>
    <x v="5"/>
    <s v="MBSCB"/>
    <n v="100337"/>
    <s v="MBSCB"/>
    <n v="281"/>
    <x v="0"/>
    <s v="Courtyard By Marriott Bay City"/>
    <x v="5"/>
    <x v="0"/>
  </r>
  <r>
    <x v="4"/>
    <s v="FLLLD"/>
    <n v="100339"/>
    <s v="FLLLD"/>
    <n v="282"/>
    <x v="0"/>
    <s v="Fairfield Inn &amp; Suites Fort Lauderdale Downtown/Las Olas"/>
    <x v="4"/>
    <x v="0"/>
  </r>
  <r>
    <x v="4"/>
    <s v="ILGBW"/>
    <n v="100341"/>
    <s v="ILGBW"/>
    <n v="283"/>
    <x v="0"/>
    <s v="Courtyard By Marriott Wilmington Brandywine"/>
    <x v="4"/>
    <x v="0"/>
  </r>
  <r>
    <x v="4"/>
    <s v="CLTHP"/>
    <n v="100343"/>
    <s v="CLTHP"/>
    <n v="284"/>
    <x v="0"/>
    <s v="SpringHill Suites by Marriott Charlotte Airport Lake Pointe"/>
    <x v="4"/>
    <x v="0"/>
  </r>
  <r>
    <x v="4"/>
    <s v="INDST"/>
    <n v="100345"/>
    <s v="INDST"/>
    <n v="285"/>
    <x v="0"/>
    <s v="SpringHill Suites By Marriott Terre Haute"/>
    <x v="4"/>
    <x v="0"/>
  </r>
  <r>
    <x v="5"/>
    <s v="RDUSX"/>
    <n v="100347"/>
    <s v="RDUSX"/>
    <n v="286"/>
    <x v="0"/>
    <s v="SpringHill Suites By Marriott Raleigh Apex"/>
    <x v="5"/>
    <x v="0"/>
  </r>
  <r>
    <x v="4"/>
    <s v="FLLFN"/>
    <n v="100349"/>
    <s v="FLLFN"/>
    <n v="287"/>
    <x v="0"/>
    <s v="Fairfield by Marriott Inn &amp; Suites Fort Lauderdale Northwest"/>
    <x v="4"/>
    <x v="0"/>
  </r>
  <r>
    <x v="4"/>
    <s v="INDCV"/>
    <n v="100351"/>
    <s v="INDCV"/>
    <n v="288"/>
    <x v="0"/>
    <s v="Courtyard By Marriott Indianapolis West-Speedway"/>
    <x v="4"/>
    <x v="0"/>
  </r>
  <r>
    <x v="4"/>
    <s v="FLLDB"/>
    <s v="100353"/>
    <s v="FLLDB"/>
    <n v="289"/>
    <x v="0"/>
    <s v="SpringHill Suites By Marriott Fort Lauderdale Airport &amp; Cruise Port"/>
    <x v="4"/>
    <x v="0"/>
  </r>
  <r>
    <x v="4"/>
    <s v="HARFH"/>
    <n v="100355"/>
    <s v="HARFH"/>
    <n v="290"/>
    <x v="0"/>
    <s v="Fairfield Inn &amp; Suites Harrisburg West/Mechanicsburg"/>
    <x v="4"/>
    <x v="0"/>
  </r>
  <r>
    <x v="4"/>
    <s v="CMHAC"/>
    <n v="100357"/>
    <s v="CMHAC"/>
    <n v="291"/>
    <x v="0"/>
    <s v="AC Hotel Columbus Dublin"/>
    <x v="4"/>
    <x v="0"/>
  </r>
  <r>
    <x v="4"/>
    <s v="INDIF"/>
    <n v="100359"/>
    <s v="INDIF"/>
    <n v="292"/>
    <x v="0"/>
    <s v="Fairfield Inn &amp; Suites Indianapolis Fishers"/>
    <x v="4"/>
    <x v="0"/>
  </r>
  <r>
    <x v="5"/>
    <s v="TTNCY"/>
    <n v="100361"/>
    <s v="TTNCY"/>
    <n v="293"/>
    <x v="0"/>
    <s v="Courtyard By Marriott Princeton"/>
    <x v="5"/>
    <x v="0"/>
  </r>
  <r>
    <x v="4"/>
    <s v="CHSFN"/>
    <n v="100363"/>
    <s v="CHSFN"/>
    <n v="294"/>
    <x v="0"/>
    <s v="Fairfield Inn &amp; Suites Charleston North/Ashley Phosphate"/>
    <x v="4"/>
    <x v="0"/>
  </r>
  <r>
    <x v="4"/>
    <s v="FLLCS"/>
    <n v="100365"/>
    <s v="FLLCS"/>
    <n v="295"/>
    <x v="0"/>
    <s v="Courtyard By Marriott Fort Lauderdale Coral Springs"/>
    <x v="4"/>
    <x v="0"/>
  </r>
  <r>
    <x v="4"/>
    <s v="AZOSP"/>
    <n v="100367"/>
    <s v="AZOSP"/>
    <n v="296"/>
    <x v="0"/>
    <s v="SpringHill Suites by Marriott Kalamazoo Portage"/>
    <x v="4"/>
    <x v="0"/>
  </r>
  <r>
    <x v="5"/>
    <s v="RSWSE"/>
    <n v="100369"/>
    <s v="RSWSE"/>
    <n v="297"/>
    <x v="0"/>
    <s v="SpringHill Suites By Marriott Fort Myers Estero"/>
    <x v="5"/>
    <x v="0"/>
  </r>
  <r>
    <x v="4"/>
    <s v="CAKAM"/>
    <n v="100371"/>
    <s v="CAKAM"/>
    <n v="298"/>
    <x v="0"/>
    <s v="Fairfield Inn &amp; Suites Akron Fairlawn"/>
    <x v="4"/>
    <x v="0"/>
  </r>
  <r>
    <x v="4"/>
    <s v="FLLAD"/>
    <n v="100373"/>
    <s v="FLLAD"/>
    <n v="299"/>
    <x v="0"/>
    <s v="Fairfield Inn &amp; Suites Fort Lauderdale Airport &amp; Cruise Port"/>
    <x v="4"/>
    <x v="0"/>
  </r>
  <r>
    <x v="5"/>
    <s v="MGMSM"/>
    <n v="100377"/>
    <s v="MGMSM"/>
    <n v="301"/>
    <x v="0"/>
    <s v="SpringHill Suites By Marriott Montgomery Downtown"/>
    <x v="5"/>
    <x v="0"/>
  </r>
  <r>
    <x v="5"/>
    <s v="STCAL"/>
    <n v="100379"/>
    <s v="STCAL"/>
    <n v="302"/>
    <x v="0"/>
    <s v="Fairfield Inn &amp; Suites Alexandria"/>
    <x v="5"/>
    <x v="0"/>
  </r>
  <r>
    <x v="5"/>
    <s v="STCCY"/>
    <n v="100381"/>
    <s v="STCCY"/>
    <n v="303"/>
    <x v="0"/>
    <s v="Courtyard By Marriott St. Cloud"/>
    <x v="5"/>
    <x v="0"/>
  </r>
  <r>
    <x v="5"/>
    <s v="RSTFI"/>
    <n v="100383"/>
    <s v="RSTFI"/>
    <n v="305"/>
    <x v="0"/>
    <s v="Fairfield Inn &amp; Suites Rochester Mayo Clinic Area/Saint Marys"/>
    <x v="5"/>
    <x v="0"/>
  </r>
  <r>
    <x v="5"/>
    <s v="DSMWF"/>
    <n v="100385"/>
    <s v="DSMWF"/>
    <n v="307"/>
    <x v="0"/>
    <s v="Fairfield Inn &amp; Suites Des Moines West"/>
    <x v="5"/>
    <x v="0"/>
  </r>
  <r>
    <x v="5"/>
    <s v="LSECY"/>
    <n v="100387"/>
    <s v="LSECY"/>
    <n v="309"/>
    <x v="0"/>
    <s v="Courtyard By Marriott La Crosse Downtown/Mississippi Riverfront"/>
    <x v="5"/>
    <x v="0"/>
  </r>
  <r>
    <x v="5"/>
    <s v="MSPWC"/>
    <n v="100389"/>
    <s v="MSPWC"/>
    <n v="310"/>
    <x v="0"/>
    <s v="Courtyard By Marriott St. Paul Woodbury"/>
    <x v="5"/>
    <x v="0"/>
  </r>
  <r>
    <x v="5"/>
    <s v="MLIBC"/>
    <n v="100391"/>
    <s v="MLIBC"/>
    <n v="311"/>
    <x v="0"/>
    <s v="Courtyard by Marriott Bettendorf"/>
    <x v="5"/>
    <x v="0"/>
  </r>
  <r>
    <x v="5"/>
    <s v="MEMSF"/>
    <n v="100395"/>
    <s v="MEMSF"/>
    <n v="314"/>
    <x v="0"/>
    <s v="Fairfield by Marriott Inn &amp; Suites Southaven Snowden Grove"/>
    <x v="5"/>
    <x v="0"/>
  </r>
  <r>
    <x v="5"/>
    <s v="MSPFB"/>
    <n v="100397"/>
    <s v="MSPFB"/>
    <n v="315"/>
    <x v="0"/>
    <s v="Fairfield Inn &amp; Suites Minneapolis North/Blaine"/>
    <x v="5"/>
    <x v="0"/>
  </r>
  <r>
    <x v="5"/>
    <s v="MSPRV"/>
    <n v="100401"/>
    <s v="MSPRV"/>
    <n v="319"/>
    <x v="0"/>
    <s v="Fairfield Inn &amp; Suites Minneapolis St. Paul/Roseville"/>
    <x v="5"/>
    <x v="0"/>
  </r>
  <r>
    <x v="5"/>
    <s v="PAHCY"/>
    <n v="100403"/>
    <s v="PAHCY"/>
    <n v="320"/>
    <x v="0"/>
    <s v="Courtyard By Marriott Paducah"/>
    <x v="5"/>
    <x v="0"/>
  </r>
  <r>
    <x v="5"/>
    <s v="MEMGT"/>
    <n v="100405"/>
    <s v="MEMGT"/>
    <n v="321"/>
    <x v="0"/>
    <s v="Courtyard By Marriott Memphis Germantown"/>
    <x v="5"/>
    <x v="0"/>
  </r>
  <r>
    <x v="5"/>
    <s v="DSMSH"/>
    <n v="100407"/>
    <s v="DSMSH"/>
    <n v="323"/>
    <x v="0"/>
    <s v="SpringHill Suites By Marriott Des Moines West"/>
    <x v="5"/>
    <x v="0"/>
  </r>
  <r>
    <x v="5"/>
    <s v="MKEFW"/>
    <n v="100409"/>
    <s v="MKEFW"/>
    <n v="324"/>
    <x v="0"/>
    <s v="Fairfield Inn &amp; Suites Milwaukee West"/>
    <x v="5"/>
    <x v="0"/>
  </r>
  <r>
    <x v="5"/>
    <s v="PFNFI"/>
    <n v="100411"/>
    <s v="PFNFI"/>
    <n v="326"/>
    <x v="0"/>
    <s v="Fairfield Inn &amp; Suites Panama City Beach"/>
    <x v="5"/>
    <x v="0"/>
  </r>
  <r>
    <x v="5"/>
    <s v="MKEKN"/>
    <n v="100415"/>
    <s v="MKEKN"/>
    <n v="328"/>
    <x v="0"/>
    <s v="Fairfield Inn &amp; Suites Kenosha Pleasant Prairie"/>
    <x v="5"/>
    <x v="0"/>
  </r>
  <r>
    <x v="5"/>
    <s v="GTRCY"/>
    <n v="100417"/>
    <s v="GTRCY"/>
    <n v="329"/>
    <x v="0"/>
    <s v="Courtyard By Marriott Columbus"/>
    <x v="5"/>
    <x v="0"/>
  </r>
  <r>
    <x v="5"/>
    <s v="MOBCY"/>
    <n v="100419"/>
    <s v="MOBCY"/>
    <n v="330"/>
    <x v="0"/>
    <s v="Courtyard By Marriott Mobile"/>
    <x v="5"/>
    <x v="0"/>
  </r>
  <r>
    <x v="5"/>
    <s v="GTRFI"/>
    <n v="100421"/>
    <s v="GTRFI"/>
    <n v="332"/>
    <x v="0"/>
    <s v="Fairfield Inn &amp; Suites Columbus"/>
    <x v="5"/>
    <x v="0"/>
  </r>
  <r>
    <x v="5"/>
    <s v="OWBCY"/>
    <n v="100423"/>
    <s v="OWBCY"/>
    <n v="335"/>
    <x v="0"/>
    <s v="Courtyard By Marriott Owensboro"/>
    <x v="5"/>
    <x v="0"/>
  </r>
  <r>
    <x v="5"/>
    <s v="SBMFI"/>
    <n v="100427"/>
    <s v="SBMFI"/>
    <n v="338"/>
    <x v="0"/>
    <s v="Fairfield by Marriott Inn &amp; Suites Sheboygan"/>
    <x v="5"/>
    <x v="0"/>
  </r>
  <r>
    <x v="5"/>
    <s v="SCRFI"/>
    <n v="100429"/>
    <s v="SCRFI"/>
    <n v="339"/>
    <x v="0"/>
    <s v="Fairfield Inn By Marriott Scranton"/>
    <x v="5"/>
    <x v="0"/>
  </r>
  <r>
    <x v="5"/>
    <s v="YGKCY"/>
    <n v="100431"/>
    <s v="YGKCY"/>
    <n v="340"/>
    <x v="0"/>
    <s v="Courtyard By Marriott Kingston Highway 401/Division Street"/>
    <x v="5"/>
    <x v="0"/>
  </r>
  <r>
    <x v="5"/>
    <s v="SDFLE"/>
    <n v="100433"/>
    <s v="SDFLE"/>
    <n v="341"/>
    <x v="0"/>
    <s v="Fairfield Inn &amp; Suites Louisville East"/>
    <x v="5"/>
    <x v="0"/>
  </r>
  <r>
    <x v="5"/>
    <s v="YQMFI"/>
    <n v="100435"/>
    <s v="YQMFI"/>
    <n v="342"/>
    <x v="0"/>
    <s v="Fairfield Inn &amp; Suites Moncton"/>
    <x v="5"/>
    <x v="0"/>
  </r>
  <r>
    <x v="2"/>
    <s v="AUSBU"/>
    <n v="200009"/>
    <s v="AUSBU"/>
    <n v="73"/>
    <x v="1"/>
    <s v="Fairfield Inn &amp; Suites Austin Buda"/>
    <x v="2"/>
    <x v="0"/>
  </r>
  <r>
    <x v="3"/>
    <s v="MCIFG"/>
    <n v="200011"/>
    <s v="MCIFG"/>
    <n v="74"/>
    <x v="1"/>
    <s v="Fairfield Inn &amp; Suites Kansas City North/Gladstone"/>
    <x v="3"/>
    <x v="0"/>
  </r>
  <r>
    <x v="2"/>
    <s v="JACSH"/>
    <n v="200013"/>
    <s v="JACSH"/>
    <n v="76"/>
    <x v="1"/>
    <s v="SpringHill Suites By Marriott Jackson Hole"/>
    <x v="2"/>
    <x v="0"/>
  </r>
  <r>
    <x v="2"/>
    <s v="DENLF"/>
    <n v="200015"/>
    <s v="DENLF"/>
    <n v="77"/>
    <x v="1"/>
    <s v="Fairfield by Marriott Inn &amp; Suites Denver Southwest/Littleton"/>
    <x v="2"/>
    <x v="0"/>
  </r>
  <r>
    <x v="3"/>
    <s v="CYSFI"/>
    <n v="200017"/>
    <s v="CYSFI"/>
    <n v="78"/>
    <x v="1"/>
    <s v="Fairfield Inn &amp; Suites Cheyenne"/>
    <x v="3"/>
    <x v="0"/>
  </r>
  <r>
    <x v="3"/>
    <s v="YVEFI"/>
    <n v="200019"/>
    <s v="YVEFI"/>
    <n v="80"/>
    <x v="1"/>
    <s v="Fairfield Inn &amp; Suites Vernon"/>
    <x v="3"/>
    <x v="0"/>
  </r>
  <r>
    <x v="2"/>
    <s v="PDXNH"/>
    <n v="200021"/>
    <s v="PDXNH"/>
    <n v="81"/>
    <x v="1"/>
    <s v="Courtyard By Marriott Portland North"/>
    <x v="2"/>
    <x v="0"/>
  </r>
  <r>
    <x v="3"/>
    <s v="YSNFI"/>
    <n v="200023"/>
    <s v="YSNFI"/>
    <n v="82"/>
    <x v="1"/>
    <s v="Fairfield by Marriott Inn &amp; Suites Salmon Arm"/>
    <x v="3"/>
    <x v="0"/>
  </r>
  <r>
    <x v="3"/>
    <s v="YXSCY"/>
    <n v="200025"/>
    <s v="YXSCY"/>
    <n v="83"/>
    <x v="1"/>
    <s v="Courtyard By Marriott Prince George"/>
    <x v="3"/>
    <x v="0"/>
  </r>
  <r>
    <x v="3"/>
    <s v="YRVFI"/>
    <n v="200027"/>
    <s v="YRVFI"/>
    <n v="84"/>
    <x v="1"/>
    <s v="Fairfield by Marriott Inn &amp; Suites Revelstoke"/>
    <x v="3"/>
    <x v="0"/>
  </r>
  <r>
    <x v="3"/>
    <s v="EATML"/>
    <n v="200029"/>
    <s v="EATML"/>
    <n v="85"/>
    <x v="1"/>
    <s v="Fairfield Inn &amp; Suites Moses Lake"/>
    <x v="3"/>
    <x v="0"/>
  </r>
  <r>
    <x v="3"/>
    <s v="BOIFW"/>
    <n v="200031"/>
    <s v="BOIFW"/>
    <n v="87"/>
    <x v="1"/>
    <s v="Fairfield Inn &amp; Suites Boise West"/>
    <x v="3"/>
    <x v="0"/>
  </r>
  <r>
    <x v="2"/>
    <s v="YQLFI"/>
    <n v="200033"/>
    <s v="YQLFI"/>
    <n v="91"/>
    <x v="1"/>
    <s v="Fairfield Inn &amp; Suites Lethbridge"/>
    <x v="2"/>
    <x v="0"/>
  </r>
  <r>
    <x v="3"/>
    <s v="LITSH"/>
    <n v="200035"/>
    <s v="LITSH"/>
    <n v="96"/>
    <x v="1"/>
    <s v="SpringHill Suites By Marriott Little Rock West"/>
    <x v="3"/>
    <x v="0"/>
  </r>
  <r>
    <x v="3"/>
    <s v="DALSK"/>
    <n v="200037"/>
    <s v="DALSK"/>
    <n v="100"/>
    <x v="1"/>
    <s v="SpringHill Suites By Marriott Dallas McKinney/Allen"/>
    <x v="3"/>
    <x v="0"/>
  </r>
  <r>
    <x v="2"/>
    <s v="AUSCP"/>
    <n v="200039"/>
    <s v="AUSCP"/>
    <n v="103"/>
    <x v="1"/>
    <s v="SpringHill Suites By Marriott Austin Cedar Park"/>
    <x v="2"/>
    <x v="0"/>
  </r>
  <r>
    <x v="2"/>
    <s v="AUSNL"/>
    <n v="200041"/>
    <s v="AUSNL"/>
    <n v="104"/>
    <x v="1"/>
    <s v="Courtyard By Marriott Austin Northwest/Lakeline"/>
    <x v="2"/>
    <x v="0"/>
  </r>
  <r>
    <x v="2"/>
    <s v="BOICY"/>
    <n v="200043"/>
    <s v="BOICY"/>
    <n v="109"/>
    <x v="1"/>
    <s v="Courtyard By Marriott Boise Downtown"/>
    <x v="2"/>
    <x v="0"/>
  </r>
  <r>
    <x v="3"/>
    <s v="OMASB"/>
    <n v="200045"/>
    <s v="OMASB"/>
    <n v="174"/>
    <x v="1"/>
    <s v="Courtyard By Marriott Omaha Bellevue at Beardmore Event Center"/>
    <x v="3"/>
    <x v="0"/>
  </r>
  <r>
    <x v="3"/>
    <s v="LBFFI"/>
    <n v="200047"/>
    <s v="LBFFI"/>
    <n v="176"/>
    <x v="1"/>
    <s v="Fairfield Inn &amp; Suites North Platte"/>
    <x v="3"/>
    <x v="0"/>
  </r>
  <r>
    <x v="3"/>
    <s v="OKCAC"/>
    <n v="200049"/>
    <s v="OKCAC"/>
    <n v="178"/>
    <x v="1"/>
    <s v="AC Hotel Oklahoma City Bricktown"/>
    <x v="3"/>
    <x v="0"/>
  </r>
  <r>
    <x v="3"/>
    <s v="HOTFA"/>
    <n v="200051"/>
    <s v="HOTFA"/>
    <n v="180"/>
    <x v="1"/>
    <s v="Fairfield Inn &amp; Suites Arkadelphia"/>
    <x v="3"/>
    <x v="0"/>
  </r>
  <r>
    <x v="4"/>
    <s v="CGIFC"/>
    <n v="200053"/>
    <s v="CGIFC"/>
    <n v="182"/>
    <x v="1"/>
    <s v="Fairfield Inn &amp; Suites Cape Girardeau"/>
    <x v="4"/>
    <x v="0"/>
  </r>
  <r>
    <x v="3"/>
    <s v="MFRFK"/>
    <n v="200055"/>
    <s v="MFRFK"/>
    <n v="184"/>
    <x v="1"/>
    <s v="Fairfield Inn &amp; Suites Klamath Falls"/>
    <x v="3"/>
    <x v="0"/>
  </r>
  <r>
    <x v="4"/>
    <s v="CNMFI"/>
    <n v="200057"/>
    <s v="CNMFI"/>
    <n v="186"/>
    <x v="1"/>
    <s v="Fairfield Inn &amp; Suites Carlsbad"/>
    <x v="4"/>
    <x v="0"/>
  </r>
  <r>
    <x v="4"/>
    <s v="AUSSM"/>
    <n v="200059"/>
    <s v="AUSSM"/>
    <n v="188"/>
    <x v="1"/>
    <s v="Courtyard By Marriott San Marcos"/>
    <x v="4"/>
    <x v="0"/>
  </r>
  <r>
    <x v="4"/>
    <s v="DENFW"/>
    <n v="200061"/>
    <s v="DENFW"/>
    <n v="189"/>
    <x v="1"/>
    <s v="Fairfield Inn &amp; Suites Denver West/Federal Center"/>
    <x v="4"/>
    <x v="0"/>
  </r>
  <r>
    <x v="4"/>
    <s v="CRPFC"/>
    <n v="200063"/>
    <s v="CRPFC"/>
    <n v="191"/>
    <x v="1"/>
    <s v="Fairfield Inn &amp; Suites Corpus Christi Aransas Pass"/>
    <x v="4"/>
    <x v="0"/>
  </r>
  <r>
    <x v="3"/>
    <s v="LITCR"/>
    <n v="200065"/>
    <s v="LITCR"/>
    <n v="194"/>
    <x v="1"/>
    <s v="Courtyard By Marriott Russellville"/>
    <x v="3"/>
    <x v="0"/>
  </r>
  <r>
    <x v="3"/>
    <s v="SJTFI"/>
    <n v="200067"/>
    <s v="SJTFI"/>
    <n v="195"/>
    <x v="1"/>
    <s v="Fairfield Inn &amp; Suites San Angelo"/>
    <x v="3"/>
    <x v="0"/>
  </r>
  <r>
    <x v="4"/>
    <s v="CHISN"/>
    <n v="200069"/>
    <s v="CHISN"/>
    <n v="196"/>
    <x v="1"/>
    <s v="SpringHill Suites By Marriott Chicago Chinatown"/>
    <x v="4"/>
    <x v="0"/>
  </r>
  <r>
    <x v="4"/>
    <s v="AUSCY"/>
    <n v="200071"/>
    <s v="AUSCY"/>
    <n v="197"/>
    <x v="1"/>
    <s v="Courtyard By Marriott Austin-University Area"/>
    <x v="4"/>
    <x v="0"/>
  </r>
  <r>
    <x v="4"/>
    <s v="CYSSH"/>
    <n v="200073"/>
    <s v="CYSSH"/>
    <n v="198"/>
    <x v="1"/>
    <s v="SpringHill Suites By Marriott Cheyenne"/>
    <x v="4"/>
    <x v="0"/>
  </r>
  <r>
    <x v="3"/>
    <s v="PHXMZ"/>
    <n v="200075"/>
    <s v="PHXMZ"/>
    <n v="200"/>
    <x v="1"/>
    <s v="Courtyard By Marriott Phoenix Mesa Gateway Airport"/>
    <x v="3"/>
    <x v="0"/>
  </r>
  <r>
    <x v="4"/>
    <s v="COSSM"/>
    <n v="200077"/>
    <s v="COSSM"/>
    <n v="201"/>
    <x v="1"/>
    <s v="Fairfield Inn &amp; Suites Colorado Springs North/Air Force Academy"/>
    <x v="4"/>
    <x v="0"/>
  </r>
  <r>
    <x v="4"/>
    <s v="DENFL"/>
    <n v="200079"/>
    <s v="DENFL"/>
    <n v="202"/>
    <x v="1"/>
    <s v="Fairfield by Marriott Inn &amp; Suites Denver Southwest/Lakewood"/>
    <x v="4"/>
    <x v="0"/>
  </r>
  <r>
    <x v="4"/>
    <s v="AUSWL"/>
    <n v="200081"/>
    <s v="AUSWL"/>
    <n v="204"/>
    <x v="1"/>
    <s v="SpringHill Suites By Marriott Austin West/Lakeway"/>
    <x v="4"/>
    <x v="0"/>
  </r>
  <r>
    <x v="4"/>
    <s v="COSSN"/>
    <n v="200083"/>
    <s v="COSSN"/>
    <n v="205"/>
    <x v="1"/>
    <s v="SpringHill Suites By Marriott Colorado Springs North/Air Force Academy"/>
    <x v="4"/>
    <x v="0"/>
  </r>
  <r>
    <x v="4"/>
    <s v="BFFFI"/>
    <n v="200085"/>
    <s v="BFFFI"/>
    <n v="206"/>
    <x v="1"/>
    <s v="Fairfield Inn &amp; Suites Scottsbluff"/>
    <x v="4"/>
    <x v="0"/>
  </r>
  <r>
    <x v="3"/>
    <s v="MAFLD"/>
    <n v="200087"/>
    <s v="MAFLD"/>
    <n v="207"/>
    <x v="1"/>
    <s v="SpringHill Suites By Marriott Midland Odessa"/>
    <x v="3"/>
    <x v="0"/>
  </r>
  <r>
    <x v="4"/>
    <s v="BOIDT"/>
    <n v="200089"/>
    <s v="BOIDT"/>
    <n v="208"/>
    <x v="1"/>
    <s v="SpringHill Suites By Marriott Boise ParkCenter"/>
    <x v="4"/>
    <x v="0"/>
  </r>
  <r>
    <x v="4"/>
    <s v="CHIFD"/>
    <n v="200091"/>
    <s v="CHIFD"/>
    <n v="209"/>
    <x v="1"/>
    <s v="Fairfield Inn &amp; Suites Chicago Downtown/Magnificent Mile"/>
    <x v="4"/>
    <x v="0"/>
  </r>
  <r>
    <x v="4"/>
    <s v="AMADT"/>
    <n v="200093"/>
    <s v="AMADT"/>
    <n v="210"/>
    <x v="1"/>
    <s v="Courtyard By Marriott Amarillo Downtown"/>
    <x v="4"/>
    <x v="0"/>
  </r>
  <r>
    <x v="5"/>
    <s v="MSYSD"/>
    <n v="200097"/>
    <s v="MSYSD"/>
    <n v="306"/>
    <x v="1"/>
    <s v="SpringHill Suites By Marriott Slidell"/>
    <x v="5"/>
    <x v="0"/>
  </r>
  <r>
    <x v="5"/>
    <s v="MHKCM"/>
    <n v="200101"/>
    <s v="MHKCM"/>
    <n v="313"/>
    <x v="1"/>
    <s v="Courtyard by Marriott Manhattan Aggieville"/>
    <x v="5"/>
    <x v="0"/>
  </r>
  <r>
    <x v="5"/>
    <s v="SHVSH"/>
    <n v="200103"/>
    <s v="SHVSH"/>
    <n v="316"/>
    <x v="1"/>
    <s v="SpringHill Suites By Marriott Shreveport-Bossier City/Louisiana Downs"/>
    <x v="5"/>
    <x v="0"/>
  </r>
  <r>
    <x v="5"/>
    <s v="PNCST"/>
    <n v="200105"/>
    <s v="PNCST"/>
    <n v="318"/>
    <x v="1"/>
    <s v="Fairfield Inn &amp; Suites Stillwater"/>
    <x v="5"/>
    <x v="0"/>
  </r>
  <r>
    <x v="5"/>
    <s v="LNKSE"/>
    <n v="200107"/>
    <s v="LNKSE"/>
    <n v="322"/>
    <x v="1"/>
    <s v="Fairfield Inn &amp; Suites Lincoln Southeast"/>
    <x v="5"/>
    <x v="0"/>
  </r>
  <r>
    <x v="5"/>
    <s v="LITCO"/>
    <n v="200115"/>
    <s v="LITCO"/>
    <n v="334"/>
    <x v="1"/>
    <s v="Courtyard By Marriott Conway"/>
    <x v="5"/>
    <x v="0"/>
  </r>
  <r>
    <x v="5"/>
    <s v="LITAR"/>
    <n v="200117"/>
    <s v="LITAR"/>
    <n v="336"/>
    <x v="1"/>
    <s v="AC Hotel Little Rock Downtown"/>
    <x v="5"/>
    <x v="0"/>
  </r>
  <r>
    <x v="7"/>
    <s v="AVLBS"/>
    <n v="100467"/>
    <s v="AVLBS"/>
    <n v="359"/>
    <x v="0"/>
    <s v="Fairfield by Marriott Inn &amp; Suites Asheville Outlets"/>
    <x v="7"/>
    <x v="0"/>
  </r>
  <r>
    <x v="7"/>
    <s v="AVLFF"/>
    <n v="100529"/>
    <s v="AVLFF"/>
    <n v="390"/>
    <x v="0"/>
    <s v="Fairfield Inn &amp; Suites Asheville Airport/Fletcher"/>
    <x v="7"/>
    <x v="0"/>
  </r>
  <r>
    <x v="7"/>
    <s v="AVLHV"/>
    <n v="100597"/>
    <s v="AVLHV"/>
    <n v="424"/>
    <x v="0"/>
    <s v="Fairfield Inn &amp; Suites Hendersonville Flat Rock"/>
    <x v="7"/>
    <x v="0"/>
  </r>
  <r>
    <x v="7"/>
    <s v="CAKSH"/>
    <n v="100505"/>
    <s v="CAKSH"/>
    <n v="378"/>
    <x v="0"/>
    <s v="SpringHill Suites By Marriott Canton"/>
    <x v="7"/>
    <x v="0"/>
  </r>
  <r>
    <x v="7"/>
    <s v="CHOFC"/>
    <n v="100569"/>
    <s v="CHOFC"/>
    <n v="410"/>
    <x v="0"/>
    <s v="Fairfield Inn &amp; Suites Charlottesville Downtown/University Area"/>
    <x v="7"/>
    <x v="0"/>
  </r>
  <r>
    <x v="7"/>
    <s v="CLEMD"/>
    <n v="100497"/>
    <s v="CLEMD"/>
    <n v="374"/>
    <x v="0"/>
    <s v="Fairfield Inn &amp; Suites Medina"/>
    <x v="7"/>
    <x v="0"/>
  </r>
  <r>
    <x v="7"/>
    <s v="CLTCG"/>
    <n v="100459"/>
    <s v="CLTCG"/>
    <n v="355"/>
    <x v="0"/>
    <s v="Courtyard By Marriott Charlotte Gastonia"/>
    <x v="7"/>
    <x v="0"/>
  </r>
  <r>
    <x v="7"/>
    <s v="CLTLN"/>
    <n v="100519"/>
    <s v="CLTLN"/>
    <n v="385"/>
    <x v="0"/>
    <s v="Courtyard By Marriott Charlotte Lake Norman"/>
    <x v="7"/>
    <x v="0"/>
  </r>
  <r>
    <x v="7"/>
    <s v="CLTMR"/>
    <n v="100559"/>
    <s v="CLTMR"/>
    <n v="405"/>
    <x v="0"/>
    <s v="Fairfield Inn By Marriott Charlotte Mooresville/Lake Norman"/>
    <x v="7"/>
    <x v="0"/>
  </r>
  <r>
    <x v="7"/>
    <s v="CLTPV"/>
    <n v="100473"/>
    <s v="CLTPV"/>
    <n v="362"/>
    <x v="0"/>
    <s v="Fairfield Inn &amp; Suites Charlotte Pineville"/>
    <x v="7"/>
    <x v="0"/>
  </r>
  <r>
    <x v="7"/>
    <s v="CLTUT"/>
    <n v="100609"/>
    <s v="CLTUT"/>
    <n v="430"/>
    <x v="0"/>
    <s v="Fairfield Inn &amp; Suites Charlotte Uptown"/>
    <x v="7"/>
    <x v="0"/>
  </r>
  <r>
    <x v="7"/>
    <s v="CMHFG"/>
    <n v="100489"/>
    <s v="CMHFG"/>
    <n v="370"/>
    <x v="0"/>
    <s v="Fairfield Inn &amp; Suites Columbus Grove City"/>
    <x v="7"/>
    <x v="0"/>
  </r>
  <r>
    <x v="7"/>
    <s v="CMHOS"/>
    <n v="100451"/>
    <s v="CMHOS"/>
    <n v="351"/>
    <x v="0"/>
    <s v="SpringHill Suites By Marriott Columbus OSU"/>
    <x v="7"/>
    <x v="0"/>
  </r>
  <r>
    <x v="7"/>
    <s v="CSGAO"/>
    <n v="100643"/>
    <s v="CSGAO"/>
    <n v="447"/>
    <x v="0"/>
    <s v="Fairfield Inn &amp; Suites Auburn Opelika"/>
    <x v="7"/>
    <x v="0"/>
  </r>
  <r>
    <x v="7"/>
    <s v="CSGCA"/>
    <n v="100661"/>
    <s v="CSGCA"/>
    <n v="458"/>
    <x v="0"/>
    <s v="Courtyard By Marriott Auburn"/>
    <x v="7"/>
    <x v="0"/>
  </r>
  <r>
    <x v="7"/>
    <s v="CVGCA"/>
    <n v="100465"/>
    <s v="CVGCA"/>
    <n v="358"/>
    <x v="0"/>
    <s v="Courtyard By Marriott Cincinnati Airport"/>
    <x v="7"/>
    <x v="0"/>
  </r>
  <r>
    <x v="7"/>
    <s v="CVGCM"/>
    <n v="100565"/>
    <s v="CVGCM"/>
    <n v="408"/>
    <x v="0"/>
    <s v="Courtyard By Marriott Cincinnati Mason"/>
    <x v="7"/>
    <x v="0"/>
  </r>
  <r>
    <x v="7"/>
    <s v="CVGCT"/>
    <n v="100463"/>
    <s v="CVGCT"/>
    <n v="357"/>
    <x v="0"/>
    <s v="Courtyard By Marriott Cincinnati Downtown"/>
    <x v="7"/>
    <x v="0"/>
  </r>
  <r>
    <x v="7"/>
    <s v="DAYCS"/>
    <n v="100453"/>
    <s v="DAYCS"/>
    <n v="352"/>
    <x v="0"/>
    <s v="Courtyard By Marriott Springfield Downtown"/>
    <x v="7"/>
    <x v="0"/>
  </r>
  <r>
    <x v="7"/>
    <s v="DAYFN"/>
    <n v="100637"/>
    <s v="DAYFN"/>
    <n v="444"/>
    <x v="0"/>
    <s v="Fairfield Inn &amp; Suites Dayton North"/>
    <x v="7"/>
    <x v="0"/>
  </r>
  <r>
    <x v="7"/>
    <s v="DAYSN"/>
    <n v="100457"/>
    <s v="DAYSN"/>
    <n v="354"/>
    <x v="0"/>
    <s v="SpringHill Suites By Marriott Dayton Vandalia"/>
    <x v="7"/>
    <x v="0"/>
  </r>
  <r>
    <x v="7"/>
    <s v="FLLLC"/>
    <n v="100563"/>
    <s v="FLLLC"/>
    <n v="407"/>
    <x v="0"/>
    <s v="Courtyard By Marriott Fort Lauderdale Downtown"/>
    <x v="7"/>
    <x v="0"/>
  </r>
  <r>
    <x v="7"/>
    <s v="FLOFS"/>
    <n v="100553"/>
    <s v="FLOFS"/>
    <n v="402"/>
    <x v="0"/>
    <s v="Fairfield Inn &amp; Suites Florence I-20"/>
    <x v="7"/>
    <x v="0"/>
  </r>
  <r>
    <x v="7"/>
    <s v="FSMCY"/>
    <n v="200139"/>
    <s v="FSMCY"/>
    <n v="480"/>
    <x v="1"/>
    <s v="Courtyard By Marriott Fort Smith Downtown"/>
    <x v="7"/>
    <x v="0"/>
  </r>
  <r>
    <x v="7"/>
    <s v="FYVFA"/>
    <n v="200121"/>
    <s v="FYVFA"/>
    <n v="456"/>
    <x v="1"/>
    <s v="Fairfield Inn &amp; Suites Fayetteville"/>
    <x v="7"/>
    <x v="0"/>
  </r>
  <r>
    <x v="7"/>
    <s v="GNVFO"/>
    <n v="100603"/>
    <s v="GNVFO"/>
    <n v="427"/>
    <x v="0"/>
    <s v="Fairfield Inn &amp; Suites Ocala"/>
    <x v="7"/>
    <x v="0"/>
  </r>
  <r>
    <x v="7"/>
    <s v="GRRAR"/>
    <n v="100619"/>
    <s v="GRRAR"/>
    <n v="435"/>
    <x v="0"/>
    <s v="AC Hotel Grand Rapids Downtown"/>
    <x v="7"/>
    <x v="0"/>
  </r>
  <r>
    <x v="7"/>
    <s v="GRRFW"/>
    <n v="100579"/>
    <s v="GRRFW"/>
    <n v="415"/>
    <x v="0"/>
    <s v="Fairfield by Marriott Inn &amp; Suites Grand Rapids Wyoming"/>
    <x v="7"/>
    <x v="0"/>
  </r>
  <r>
    <x v="7"/>
    <s v="GRRSH"/>
    <n v="100587"/>
    <s v="GRRSH"/>
    <n v="419"/>
    <x v="0"/>
    <s v="SpringHill Suites By Marriott Grand Rapids North"/>
    <x v="7"/>
    <x v="0"/>
  </r>
  <r>
    <x v="7"/>
    <s v="GSOAB"/>
    <n v="100631"/>
    <s v="GSOAB"/>
    <n v="441"/>
    <x v="0"/>
    <s v="Fairfield Inn &amp; Suites Asheboro"/>
    <x v="7"/>
    <x v="0"/>
  </r>
  <r>
    <x v="7"/>
    <s v="GSOAP"/>
    <n v="100639"/>
    <s v="GSOAP"/>
    <n v="445"/>
    <x v="0"/>
    <s v="Fairfield Inn By Marriott Greensboro Airport"/>
    <x v="7"/>
    <x v="0"/>
  </r>
  <r>
    <x v="7"/>
    <s v="GSPFD"/>
    <n v="100531"/>
    <s v="GSPFD"/>
    <n v="391"/>
    <x v="0"/>
    <s v="Fairfield by Marriott Inn &amp; Suites Greenville Spartanburg/Duncan"/>
    <x v="7"/>
    <x v="0"/>
  </r>
  <r>
    <x v="7"/>
    <s v="GSPFF"/>
    <n v="100499"/>
    <s v="GSPFF"/>
    <n v="375"/>
    <x v="0"/>
    <s v="Fairfield by Marriott Inn &amp; Suites Seneca Clemson Univ Area"/>
    <x v="7"/>
    <x v="0"/>
  </r>
  <r>
    <x v="7"/>
    <s v="GSPPH"/>
    <n v="100483"/>
    <s v="GSPPH"/>
    <n v="367"/>
    <x v="0"/>
    <s v="Courtyard By Marriott Greenville-Spartanburg Airport"/>
    <x v="7"/>
    <x v="0"/>
  </r>
  <r>
    <x v="7"/>
    <s v="HARFF"/>
    <n v="100543"/>
    <s v="HARFF"/>
    <n v="397"/>
    <x v="0"/>
    <s v="Fairfield Inn &amp; Suites Harrisburg Hershey"/>
    <x v="7"/>
    <x v="0"/>
  </r>
  <r>
    <x v="7"/>
    <s v="HKYSB"/>
    <n v="100437"/>
    <s v="HKYSB"/>
    <n v="344"/>
    <x v="0"/>
    <s v="Courtyard By Marriott Statesville Mooresville/Lake Norman"/>
    <x v="7"/>
    <x v="0"/>
  </r>
  <r>
    <x v="7"/>
    <s v="IADDH"/>
    <n v="100605"/>
    <s v="IADDH"/>
    <n v="428"/>
    <x v="0"/>
    <s v="Fairfield by Marriott Inn &amp; Suites Herndon Reston"/>
    <x v="7"/>
    <x v="0"/>
  </r>
  <r>
    <x v="7"/>
    <s v="IADFR"/>
    <n v="100523"/>
    <s v="IADFR"/>
    <n v="387"/>
    <x v="0"/>
    <s v="SpringHill Suites By Marriott Fairfax Fair Oaks"/>
    <x v="7"/>
    <x v="0"/>
  </r>
  <r>
    <x v="7"/>
    <s v="IADHE"/>
    <n v="100449"/>
    <s v="IADHE"/>
    <n v="350"/>
    <x v="0"/>
    <s v="Courtyard By Marriott Dulles Airport Herndon"/>
    <x v="7"/>
    <x v="0"/>
  </r>
  <r>
    <x v="7"/>
    <s v="ILGNC"/>
    <n v="100617"/>
    <s v="ILGNC"/>
    <n v="434"/>
    <x v="0"/>
    <s v="Fairfield Inn &amp; Suites Wilmington New Castle"/>
    <x v="7"/>
    <x v="0"/>
  </r>
  <r>
    <x v="7"/>
    <s v="ILMWC"/>
    <n v="100501"/>
    <s v="ILMWC"/>
    <n v="376"/>
    <x v="0"/>
    <s v="Courtyard By Marriott Wilmington Downtown/Historic District"/>
    <x v="7"/>
    <x v="0"/>
  </r>
  <r>
    <x v="7"/>
    <s v="INDES"/>
    <n v="100583"/>
    <s v="INDES"/>
    <n v="417"/>
    <x v="0"/>
    <s v="Fairfield Inn &amp; Suites Indianapolis East"/>
    <x v="7"/>
    <x v="0"/>
  </r>
  <r>
    <x v="7"/>
    <s v="INDFF"/>
    <n v="100611"/>
    <s v="INDFF"/>
    <n v="431"/>
    <x v="0"/>
    <s v="Fairfield by Marriott Inn &amp; Suites Franklin"/>
    <x v="7"/>
    <x v="0"/>
  </r>
  <r>
    <x v="7"/>
    <s v="INDFK"/>
    <n v="100613"/>
    <s v="INDFK"/>
    <n v="432"/>
    <x v="0"/>
    <s v="Fairfield by Marriott Inn &amp; Suites Kokomo"/>
    <x v="7"/>
    <x v="0"/>
  </r>
  <r>
    <x v="7"/>
    <s v="INDFN"/>
    <n v="100601"/>
    <s v="INDFN"/>
    <n v="426"/>
    <x v="0"/>
    <s v="Fairfield Inn &amp; Suites Indianapolis Northwest"/>
    <x v="7"/>
    <x v="0"/>
  </r>
  <r>
    <x v="7"/>
    <s v="INDML"/>
    <n v="100443"/>
    <s v="INDML"/>
    <n v="347"/>
    <x v="0"/>
    <s v="Fairfield Inn &amp; Suites Indianapolis Carmel"/>
    <x v="7"/>
    <x v="0"/>
  </r>
  <r>
    <x v="7"/>
    <s v="INDNB"/>
    <n v="100615"/>
    <s v="INDNB"/>
    <n v="433"/>
    <x v="0"/>
    <s v="Fairfield Inn &amp; Suites Indianapolis Noblesville"/>
    <x v="7"/>
    <x v="0"/>
  </r>
  <r>
    <x v="7"/>
    <s v="INDNW"/>
    <n v="100561"/>
    <s v="INDNW"/>
    <n v="406"/>
    <x v="0"/>
    <s v="Courtyard By Marriott Indianapolis Northwest"/>
    <x v="7"/>
    <x v="0"/>
  </r>
  <r>
    <x v="7"/>
    <s v="INDPF"/>
    <n v="100627"/>
    <s v="INDPF"/>
    <n v="439"/>
    <x v="0"/>
    <s v="Fairfield Inn &amp; Suites Indianapolis Plainfield"/>
    <x v="7"/>
    <x v="0"/>
  </r>
  <r>
    <x v="7"/>
    <s v="INDSP"/>
    <n v="100567"/>
    <s v="INDSP"/>
    <n v="409"/>
    <x v="0"/>
    <s v="Courtyard By Marriott Indianapolis South"/>
    <x v="7"/>
    <x v="0"/>
  </r>
  <r>
    <x v="7"/>
    <s v="ISPCP"/>
    <n v="100503"/>
    <s v="ISPCP"/>
    <n v="377"/>
    <x v="0"/>
    <s v="SpringHill Suites By Marriott Carle Place Garden City"/>
    <x v="7"/>
    <x v="0"/>
  </r>
  <r>
    <x v="7"/>
    <s v="MSNCY"/>
    <n v="100659"/>
    <s v="MSNCY"/>
    <n v="457"/>
    <x v="0"/>
    <s v="Courtyard By Marriott Madison East"/>
    <x v="7"/>
    <x v="0"/>
  </r>
  <r>
    <x v="7"/>
    <s v="MSNME"/>
    <n v="100651"/>
    <s v="MSNME"/>
    <n v="451"/>
    <x v="0"/>
    <s v="Fairfield Inn &amp; Suites Madison East"/>
    <x v="7"/>
    <x v="0"/>
  </r>
  <r>
    <x v="7"/>
    <s v="PHXSG"/>
    <n v="200143"/>
    <s v="PHXSG"/>
    <n v="482"/>
    <x v="1"/>
    <s v="SpringHill Suites By Marriott Phoenix Goodyear"/>
    <x v="7"/>
    <x v="0"/>
  </r>
  <r>
    <x v="7"/>
    <s v="PITRK"/>
    <n v="100469"/>
    <s v="PITRK"/>
    <n v="360"/>
    <x v="0"/>
    <s v="Fairfield Inn &amp; Suites Slippery Rock"/>
    <x v="7"/>
    <x v="0"/>
  </r>
  <r>
    <x v="7"/>
    <s v="PITUT"/>
    <n v="100641"/>
    <s v="PITUT"/>
    <n v="446"/>
    <x v="0"/>
    <s v="SpringHill Suites By Marriott Pittsburgh Butler/Centre City"/>
    <x v="7"/>
    <x v="0"/>
  </r>
  <r>
    <x v="7"/>
    <s v="PNSGS"/>
    <n v="100687"/>
    <s v="PNSGS"/>
    <n v="479"/>
    <x v="0"/>
    <s v="Courtyard By Marriott Gulf Shores Craft Farms"/>
    <x v="7"/>
    <x v="0"/>
  </r>
  <r>
    <x v="7"/>
    <s v="PSCCP"/>
    <n v="200157"/>
    <s v="PSCCP"/>
    <n v="491"/>
    <x v="1"/>
    <s v="Courtyard by Marriott Pasco Tri-Cities Airport"/>
    <x v="7"/>
    <x v="0"/>
  </r>
  <r>
    <x v="7"/>
    <s v="PSCCY"/>
    <n v="200159"/>
    <s v="PSCCY"/>
    <n v="492"/>
    <x v="1"/>
    <s v="Courtyard By Marriott Richland Columbia Point"/>
    <x v="7"/>
    <x v="0"/>
  </r>
  <r>
    <x v="7"/>
    <s v="PVDDT"/>
    <n v="100547"/>
    <s v="PVDDT"/>
    <n v="399"/>
    <x v="0"/>
    <s v="Courtyard By Marriott Providence Downtown"/>
    <x v="7"/>
    <x v="0"/>
  </r>
  <r>
    <x v="7"/>
    <s v="PVDFM"/>
    <n v="100607"/>
    <s v="PVDFM"/>
    <n v="429"/>
    <x v="0"/>
    <s v="Fairfield by Marriott Inn &amp; Suites Mansfield"/>
    <x v="7"/>
    <x v="0"/>
  </r>
  <r>
    <x v="7"/>
    <s v="PVDSH"/>
    <n v="100575"/>
    <s v="PVDSH"/>
    <n v="413"/>
    <x v="0"/>
    <s v="SpringHill Suites By Marriott Providence West Warwick"/>
    <x v="7"/>
    <x v="0"/>
  </r>
  <r>
    <x v="7"/>
    <s v="RDUAD"/>
    <n v="100549"/>
    <s v="RDUAD"/>
    <n v="400"/>
    <x v="0"/>
    <s v="AC Hotel Raleigh Downtown"/>
    <x v="7"/>
    <x v="0"/>
  </r>
  <r>
    <x v="7"/>
    <s v="RDUSS"/>
    <n v="100573"/>
    <s v="RDUSS"/>
    <n v="412"/>
    <x v="0"/>
    <s v="SpringHill Suites by Marriott Durham City View"/>
    <x v="7"/>
    <x v="0"/>
  </r>
  <r>
    <x v="7"/>
    <s v="RICCH"/>
    <n v="100461"/>
    <s v="RICCH"/>
    <n v="356"/>
    <x v="0"/>
    <s v="Fairfield Inn By Marriott Richmond Chester"/>
    <x v="7"/>
    <x v="0"/>
  </r>
  <r>
    <x v="7"/>
    <s v="RICOX"/>
    <n v="100629"/>
    <s v="RICOX"/>
    <n v="440"/>
    <x v="0"/>
    <s v="Moxy Richmond Downtown"/>
    <x v="7"/>
    <x v="0"/>
  </r>
  <r>
    <x v="7"/>
    <s v="RKHCY"/>
    <n v="100527"/>
    <s v="RKHCY"/>
    <n v="389"/>
    <x v="0"/>
    <s v="Courtyard By Marriott Rock Hill"/>
    <x v="7"/>
    <x v="0"/>
  </r>
  <r>
    <x v="7"/>
    <s v="ROAFI"/>
    <n v="100447"/>
    <s v="ROAFI"/>
    <n v="349"/>
    <x v="0"/>
    <s v="Fairfield Inn &amp; Suites Christiansburg"/>
    <x v="7"/>
    <x v="0"/>
  </r>
  <r>
    <x v="7"/>
    <s v="RSWFI"/>
    <n v="100635"/>
    <s v="RSWFI"/>
    <n v="443"/>
    <x v="0"/>
    <s v="Fairfield Inn By Marriott Fort Myers Cape Coral"/>
    <x v="7"/>
    <x v="0"/>
  </r>
  <r>
    <x v="7"/>
    <s v="SATSS"/>
    <n v="200129"/>
    <s v="SATSS"/>
    <n v="464"/>
    <x v="1"/>
    <s v="SpringHill Suites By Marriott San Antonio SeaWorld/Lackland"/>
    <x v="7"/>
    <x v="0"/>
  </r>
  <r>
    <x v="7"/>
    <s v="SBNFG"/>
    <n v="100455"/>
    <s v="SBNFG"/>
    <n v="353"/>
    <x v="0"/>
    <s v="Fairfield Inn &amp; Suites Goshen"/>
    <x v="7"/>
    <x v="0"/>
  </r>
  <r>
    <x v="7"/>
    <s v="SCECO"/>
    <n v="100507"/>
    <s v="SCECO"/>
    <n v="379"/>
    <x v="0"/>
    <s v="Fairfield Inn &amp; Suites State College"/>
    <x v="7"/>
    <x v="0"/>
  </r>
  <r>
    <x v="7"/>
    <s v="SCESH"/>
    <n v="100491"/>
    <s v="SCESH"/>
    <n v="371"/>
    <x v="0"/>
    <s v="SpringHill Suites By Marriott State College"/>
    <x v="7"/>
    <x v="0"/>
  </r>
  <r>
    <x v="7"/>
    <s v="SCHCY"/>
    <n v="100481"/>
    <s v="SCHCY"/>
    <n v="366"/>
    <x v="0"/>
    <s v="Courtyard By Marriott Schenectady at Mohawk Harbor"/>
    <x v="7"/>
    <x v="0"/>
  </r>
  <r>
    <x v="7"/>
    <s v="SDFFM"/>
    <n v="100595"/>
    <s v="SDFFM"/>
    <n v="423"/>
    <x v="0"/>
    <s v="Fairfield by Marriott Inn &amp; Suites Madison Historic Eagle Cotton Mill"/>
    <x v="7"/>
    <x v="0"/>
  </r>
  <r>
    <x v="7"/>
    <s v="SDFVF"/>
    <n v="100493"/>
    <s v="SDFVF"/>
    <n v="372"/>
    <x v="0"/>
    <s v="Fairfield by Marriott Inn &amp; Suites Shelbyville"/>
    <x v="7"/>
    <x v="0"/>
  </r>
  <r>
    <x v="7"/>
    <s v="SHRFI"/>
    <n v="200151"/>
    <s v="SHRFI"/>
    <n v="488"/>
    <x v="1"/>
    <s v="Fairfield Inn &amp; Suites Sheridan"/>
    <x v="7"/>
    <x v="0"/>
  </r>
  <r>
    <x v="7"/>
    <s v="SLCAC"/>
    <n v="200153"/>
    <s v="SLCAC"/>
    <n v="489"/>
    <x v="1"/>
    <s v="AC Hotel Park City"/>
    <x v="7"/>
    <x v="0"/>
  </r>
  <r>
    <x v="7"/>
    <s v="SLCCD"/>
    <n v="200149"/>
    <s v="SLCCD"/>
    <n v="487"/>
    <x v="1"/>
    <s v="Courtyard By Marriott Salt Lake City Downtown"/>
    <x v="7"/>
    <x v="0"/>
  </r>
  <r>
    <x v="7"/>
    <s v="SLCCW"/>
    <n v="200163"/>
    <s v="SLCCW"/>
    <n v="494"/>
    <x v="1"/>
    <s v="Courtyard By Marriott Salt Lake City Cottonwood"/>
    <x v="7"/>
    <x v="0"/>
  </r>
  <r>
    <x v="7"/>
    <s v="SLCFM"/>
    <n v="200145"/>
    <s v="SLCFM"/>
    <n v="484"/>
    <x v="1"/>
    <s v="Fairfield Inn &amp; Suites Salt Lake City Midvale"/>
    <x v="7"/>
    <x v="0"/>
  </r>
  <r>
    <x v="7"/>
    <s v="SLCPS"/>
    <n v="200155"/>
    <s v="SLCPS"/>
    <n v="490"/>
    <x v="1"/>
    <s v="SpringHill Suites By Marriott Provo"/>
    <x v="7"/>
    <x v="0"/>
  </r>
  <r>
    <x v="7"/>
    <s v="SLCSV"/>
    <n v="200147"/>
    <s v="SLCSV"/>
    <n v="486"/>
    <x v="1"/>
    <s v="SpringHill Suites By Marriott Salt Lake City West Valley"/>
    <x v="7"/>
    <x v="0"/>
  </r>
  <r>
    <x v="7"/>
    <s v="SRQBT"/>
    <n v="100511"/>
    <s v="SRQBT"/>
    <n v="381"/>
    <x v="0"/>
    <s v="Courtyard by Marriott Sarasota at University Town Center"/>
    <x v="7"/>
    <x v="0"/>
  </r>
  <r>
    <x v="7"/>
    <s v="SRQFI"/>
    <n v="100539"/>
    <s v="SRQFI"/>
    <n v="395"/>
    <x v="0"/>
    <s v="Fairfield Inn &amp; Suites Sarasota Lakewood Ranch"/>
    <x v="7"/>
    <x v="0"/>
  </r>
  <r>
    <x v="7"/>
    <s v="TBNFR"/>
    <n v="200133"/>
    <s v="TBNFR"/>
    <n v="466"/>
    <x v="1"/>
    <s v="Fairfield Inn &amp; Suites Rolla"/>
    <x v="7"/>
    <x v="0"/>
  </r>
  <r>
    <x v="7"/>
    <s v="TCLSH"/>
    <n v="100649"/>
    <s v="TCLSH"/>
    <n v="450"/>
    <x v="0"/>
    <s v="SpringHill Suites By Marriott Tuscaloosa"/>
    <x v="7"/>
    <x v="0"/>
  </r>
  <r>
    <x v="7"/>
    <s v="TOLFC"/>
    <n v="100517"/>
    <s v="TOLFC"/>
    <n v="384"/>
    <x v="0"/>
    <s v="Fairfield Inn &amp; Suites Port Clinton Waterfront"/>
    <x v="7"/>
    <x v="0"/>
  </r>
  <r>
    <x v="7"/>
    <s v="TPACE"/>
    <n v="100475"/>
    <s v="TPACE"/>
    <n v="363"/>
    <x v="0"/>
    <s v="SpringHill Suites By Marriott St. Petersburg Clearwater"/>
    <x v="7"/>
    <x v="0"/>
  </r>
  <r>
    <x v="7"/>
    <s v="TPALK"/>
    <n v="100515"/>
    <s v="TPALK"/>
    <n v="383"/>
    <x v="0"/>
    <s v="Courtyard By Marriott Lakeland"/>
    <x v="7"/>
    <x v="0"/>
  </r>
  <r>
    <x v="7"/>
    <s v="TPASD"/>
    <n v="100551"/>
    <s v="TPASD"/>
    <n v="401"/>
    <x v="0"/>
    <s v="Courtyard By Marriott St. Petersburg Downtown"/>
    <x v="7"/>
    <x v="0"/>
  </r>
  <r>
    <x v="7"/>
    <s v="TPASH"/>
    <n v="100535"/>
    <s v="TPASH"/>
    <n v="393"/>
    <x v="0"/>
    <s v="SpringHill Suites By Marriott Tampa Westshore/Airport"/>
    <x v="7"/>
    <x v="0"/>
  </r>
  <r>
    <x v="7"/>
    <s v="VPSDF"/>
    <n v="100673"/>
    <s v="VPSDF"/>
    <n v="471"/>
    <x v="0"/>
    <s v="Fairfield Inn &amp; Suites Destin"/>
    <x v="7"/>
    <x v="0"/>
  </r>
  <r>
    <x v="7"/>
    <s v="VPSFC"/>
    <n v="100671"/>
    <s v="VPSFC"/>
    <n v="470"/>
    <x v="0"/>
    <s v="Fairfield Inn &amp; Suites Crestview"/>
    <x v="7"/>
    <x v="0"/>
  </r>
  <r>
    <x v="7"/>
    <s v="VPSFI"/>
    <n v="100679"/>
    <s v="VPSFI"/>
    <n v="474"/>
    <x v="0"/>
    <s v="Fairfield Inn &amp; Suites Fort Walton Beach-Eglin AFB"/>
    <x v="7"/>
    <x v="0"/>
  </r>
  <r>
    <x v="7"/>
    <s v="WASGE"/>
    <n v="100593"/>
    <s v="WASGE"/>
    <n v="422"/>
    <x v="0"/>
    <s v="Fairfield Inn &amp; Suites Germantown Gaithersburg"/>
    <x v="7"/>
    <x v="0"/>
  </r>
  <r>
    <x v="7"/>
    <s v="WASSW"/>
    <n v="100599"/>
    <s v="WASSW"/>
    <n v="425"/>
    <x v="0"/>
    <s v="SpringHill Suites By Marriott Potomac Mills Woodbridge"/>
    <x v="7"/>
    <x v="0"/>
  </r>
  <r>
    <x v="7"/>
    <s v="YHMBU"/>
    <n v="100621"/>
    <s v="YHMBU"/>
    <n v="436"/>
    <x v="0"/>
    <s v="Courtyard By Marriott Burlington"/>
    <x v="7"/>
    <x v="0"/>
  </r>
  <r>
    <x v="7"/>
    <s v="YHMCY"/>
    <n v="100525"/>
    <s v="YHMCY"/>
    <n v="388"/>
    <x v="0"/>
    <s v="Courtyard By Marriott Hamilton"/>
    <x v="7"/>
    <x v="0"/>
  </r>
  <r>
    <x v="8"/>
    <s v="JAXIL"/>
    <n v="100737"/>
    <s v="JAXIL"/>
    <n v="1171"/>
    <x v="0"/>
    <s v="SpringHill Suites By Marriott Amelia Island"/>
    <x v="8"/>
    <x v="0"/>
  </r>
  <r>
    <x v="8"/>
    <s v="ATLZL"/>
    <n v="100725"/>
    <s v="ATL8"/>
    <n v="1170"/>
    <x v="0"/>
    <s v="Fairfield Inn &amp; Suites Atlanta Lithia Springs"/>
    <x v="8"/>
    <x v="0"/>
  </r>
  <r>
    <x v="8"/>
    <s v="JAXCY"/>
    <n v="100737"/>
    <s v="JAXIL"/>
    <n v="582"/>
    <x v="0"/>
    <s v="Courtyard By Marriott Amelia Island"/>
    <x v="8"/>
    <x v="0"/>
  </r>
  <r>
    <x v="8"/>
    <s v="ATLYL"/>
    <n v="100725"/>
    <s v="ATL8"/>
    <n v="576"/>
    <x v="0"/>
    <s v="Courtyard By Marriott Atlanta Lithia Springs"/>
    <x v="8"/>
    <x v="0"/>
  </r>
  <r>
    <x v="8"/>
    <s v="MYRSO"/>
    <n v="200219"/>
    <s v="MYRSO"/>
    <n v="1172"/>
    <x v="1"/>
    <s v="SpringHill Suites By Marriott Myrtle Beach Oceanfront"/>
    <x v="8"/>
    <x v="0"/>
  </r>
  <r>
    <x v="8"/>
    <s v="MYRCO"/>
    <n v="200219"/>
    <s v="MYRSO"/>
    <n v="525"/>
    <x v="1"/>
    <s v="Courtyard By Marriott Myrtle Beach Oceanfront"/>
    <x v="8"/>
    <x v="0"/>
  </r>
  <r>
    <x v="9"/>
    <s v="SDFFD"/>
    <n v="200553"/>
    <s v="SDFSD"/>
    <n v="813"/>
    <x v="1"/>
    <s v="Fairfield Inn &amp; Suites Louisville Downtown"/>
    <x v="9"/>
    <x v="0"/>
  </r>
  <r>
    <x v="9"/>
    <s v="SDFSD"/>
    <n v="200553"/>
    <s v="SDFSD"/>
    <n v="1174"/>
    <x v="1"/>
    <s v="SpringHill Suites By Marriott Louisville Downtown"/>
    <x v="9"/>
    <x v="0"/>
  </r>
  <r>
    <x v="10"/>
    <s v="NYCMW"/>
    <n v="110181"/>
    <s v="NYCSH"/>
    <n v="1011"/>
    <x v="2"/>
    <e v="#N/A"/>
    <x v="10"/>
    <x v="0"/>
  </r>
  <r>
    <x v="10"/>
    <s v="NYCSH"/>
    <n v="110181"/>
    <s v="NYCSH"/>
    <n v="1173"/>
    <x v="2"/>
    <e v="#N/A"/>
    <x v="10"/>
    <x v="0"/>
  </r>
  <r>
    <x v="8"/>
    <s v="HSVDF"/>
    <n v="100425"/>
    <s v="HSVDF"/>
    <n v="337"/>
    <x v="0"/>
    <s v="Fairfield by Marriott Inn &amp; Suites Decatur"/>
    <x v="8"/>
    <x v="0"/>
  </r>
  <r>
    <x v="8"/>
    <s v="CHIOX"/>
    <n v="200113"/>
    <s v="CHIOX"/>
    <n v="333"/>
    <x v="1"/>
    <s v="Moxy Chicago Downtown"/>
    <x v="8"/>
    <x v="0"/>
  </r>
  <r>
    <x v="8"/>
    <s v="DFWCA"/>
    <n v="200111"/>
    <s v="DFWCA"/>
    <n v="331"/>
    <x v="1"/>
    <s v="Fairfield Inn &amp; Suites Decatur at Decatur Conference Center"/>
    <x v="8"/>
    <x v="0"/>
  </r>
  <r>
    <x v="8"/>
    <s v="FSDNW"/>
    <n v="100413"/>
    <s v="FSDNW"/>
    <n v="327"/>
    <x v="0"/>
    <s v="Fairfield Inn &amp; Suites Sioux Falls Airport"/>
    <x v="8"/>
    <x v="0"/>
  </r>
  <r>
    <x v="8"/>
    <s v="ICTFE"/>
    <n v="200109"/>
    <s v="ICTFE"/>
    <n v="325"/>
    <x v="1"/>
    <s v="Fairfield Inn &amp; Suites Wichita East"/>
    <x v="8"/>
    <x v="0"/>
  </r>
  <r>
    <x v="8"/>
    <s v="GPTSH"/>
    <n v="100399"/>
    <s v="GPTSH"/>
    <n v="317"/>
    <x v="0"/>
    <s v="SpringHill Suites By Marriott Gulfport I-10"/>
    <x v="8"/>
    <x v="0"/>
  </r>
  <r>
    <x v="8"/>
    <s v="BHMTV"/>
    <n v="100393"/>
    <s v="BHMTV"/>
    <n v="312"/>
    <x v="0"/>
    <s v="Courtyard By Marriott Birmingham Trussville"/>
    <x v="8"/>
    <x v="0"/>
  </r>
  <r>
    <x v="8"/>
    <s v="FOESH"/>
    <n v="200099"/>
    <s v="FOESH"/>
    <n v="308"/>
    <x v="1"/>
    <s v="SpringHill Suites By Marriott Topeka Southwest"/>
    <x v="8"/>
    <x v="0"/>
  </r>
  <r>
    <x v="8"/>
    <s v="LAWFI"/>
    <n v="200095"/>
    <s v="LAWFI"/>
    <n v="304"/>
    <x v="1"/>
    <s v="Fairfield Inn &amp; Suites Lawton"/>
    <x v="8"/>
    <x v="0"/>
  </r>
  <r>
    <x v="8"/>
    <s v="GTRSV"/>
    <n v="100375"/>
    <s v="GTRSV"/>
    <n v="300"/>
    <x v="0"/>
    <s v="Courtyard By Marriott Starkville MSU at The Mill Conference Center"/>
    <x v="8"/>
    <x v="0"/>
  </r>
  <r>
    <x v="8"/>
    <s v="MHTDT"/>
    <n v="100441"/>
    <s v="MHTDT"/>
    <n v="346"/>
    <x v="0"/>
    <s v="Courtyard By Marriott Keene Downtown"/>
    <x v="8"/>
    <x v="0"/>
  </r>
  <r>
    <x v="8"/>
    <s v="ITHFC"/>
    <n v="100479"/>
    <s v="ITHFC"/>
    <n v="365"/>
    <x v="0"/>
    <s v="Fairfield by Marriott Inn &amp; Suites Cortland"/>
    <x v="8"/>
    <x v="0"/>
  </r>
  <r>
    <x v="8"/>
    <s v="MCOFA"/>
    <n v="100485"/>
    <s v="MCOFA"/>
    <n v="368"/>
    <x v="0"/>
    <s v="Fairfield Inn By Marriott Orlando Airport"/>
    <x v="8"/>
    <x v="0"/>
  </r>
  <r>
    <x v="8"/>
    <s v="JAXJS"/>
    <n v="100487"/>
    <s v="JAXJS"/>
    <n v="369"/>
    <x v="0"/>
    <s v="Courtyard By Marriott Jacksonville Flagler Center"/>
    <x v="8"/>
    <x v="0"/>
  </r>
  <r>
    <x v="8"/>
    <s v="LANFW"/>
    <n v="100509"/>
    <s v="LANFW"/>
    <n v="380"/>
    <x v="0"/>
    <s v="Fairfield Inn &amp; Suites Lansing West"/>
    <x v="8"/>
    <x v="0"/>
  </r>
  <r>
    <x v="8"/>
    <s v="PHFCN"/>
    <n v="100521"/>
    <s v="PHFCN"/>
    <n v="386"/>
    <x v="0"/>
    <s v="Courtyard By Marriott Newport News Airport"/>
    <x v="8"/>
    <x v="0"/>
  </r>
  <r>
    <x v="8"/>
    <s v="LANDT"/>
    <n v="100533"/>
    <s v="LANDT"/>
    <n v="392"/>
    <x v="0"/>
    <s v="Fairfield Inn &amp; Suites Lansing at Eastwood"/>
    <x v="8"/>
    <x v="0"/>
  </r>
  <r>
    <x v="8"/>
    <s v="MWDFI"/>
    <n v="100541"/>
    <s v="MWDFI"/>
    <n v="396"/>
    <x v="0"/>
    <s v="Fairfield Inn By Marriott Middletown Monroe"/>
    <x v="8"/>
    <x v="0"/>
  </r>
  <r>
    <x v="8"/>
    <s v="JAXCO"/>
    <n v="100545"/>
    <s v="JAXCO"/>
    <n v="398"/>
    <x v="0"/>
    <s v="Courtyard By Marriott Jacksonville Orange Park"/>
    <x v="8"/>
    <x v="0"/>
  </r>
  <r>
    <x v="8"/>
    <s v="PBIAP"/>
    <n v="100555"/>
    <s v="PBIAP"/>
    <n v="403"/>
    <x v="0"/>
    <s v="Fairfield Inn &amp; Suites Boca Raton"/>
    <x v="8"/>
    <x v="0"/>
  </r>
  <r>
    <x v="8"/>
    <s v="PHFHC"/>
    <n v="100557"/>
    <s v="PHFHC"/>
    <n v="404"/>
    <x v="0"/>
    <s v="SpringHill Suites By Marriott Hampton"/>
    <x v="8"/>
    <x v="0"/>
  </r>
  <r>
    <x v="8"/>
    <s v="MCOWF"/>
    <n v="100577"/>
    <s v="MCOWF"/>
    <n v="414"/>
    <x v="0"/>
    <s v="Fairfield Inn &amp; Suites Orlando International Drive/Convention Center"/>
    <x v="8"/>
    <x v="0"/>
  </r>
  <r>
    <x v="8"/>
    <s v="PGVCY"/>
    <n v="100585"/>
    <s v="PGVCY"/>
    <n v="418"/>
    <x v="0"/>
    <s v="Courtyard By Marriott Greenville"/>
    <x v="8"/>
    <x v="0"/>
  </r>
  <r>
    <x v="8"/>
    <s v="OGSFI"/>
    <n v="100591"/>
    <s v="OGSFI"/>
    <n v="421"/>
    <x v="0"/>
    <s v="Fairfield Inn &amp; Suites Canton"/>
    <x v="8"/>
    <x v="0"/>
  </r>
  <r>
    <x v="8"/>
    <s v="ORFDT"/>
    <n v="100625"/>
    <s v="ORFDT"/>
    <n v="438"/>
    <x v="0"/>
    <s v="Courtyard By Marriott Norfolk Downtown"/>
    <x v="8"/>
    <x v="0"/>
  </r>
  <r>
    <x v="8"/>
    <s v="MOBSA"/>
    <s v="100645"/>
    <s v="MOBSA"/>
    <n v="448"/>
    <x v="0"/>
    <s v="Fairfield Inn &amp; Suites Mobile Saraland"/>
    <x v="8"/>
    <x v="0"/>
  </r>
  <r>
    <x v="8"/>
    <s v="MEMSH"/>
    <n v="100647"/>
    <s v="MEMSH"/>
    <n v="449"/>
    <x v="0"/>
    <s v="Fairfield Inn &amp; Suites Memphis Southaven"/>
    <x v="8"/>
    <x v="0"/>
  </r>
  <r>
    <x v="8"/>
    <s v="MVNFI"/>
    <n v="200119"/>
    <s v="MVNFI"/>
    <n v="452"/>
    <x v="1"/>
    <s v="Fairfield Inn &amp; Suites Mt. Vernon Rend Lake"/>
    <x v="8"/>
    <x v="0"/>
  </r>
  <r>
    <x v="8"/>
    <s v="MSPDC"/>
    <n v="100653"/>
    <s v="MSPDC"/>
    <n v="453"/>
    <x v="0"/>
    <s v="Courtyard By Marriott Minneapolis Downtown"/>
    <x v="8"/>
    <x v="0"/>
  </r>
  <r>
    <x v="8"/>
    <s v="MDWMU"/>
    <n v="100657"/>
    <s v="MDWMU"/>
    <n v="455"/>
    <x v="0"/>
    <s v="SpringHill Suites By Marriott Chicago Southeast/Munster, IN"/>
    <x v="8"/>
    <x v="0"/>
  </r>
  <r>
    <x v="8"/>
    <s v="MLUFS"/>
    <n v="200123"/>
    <s v="MLUFS"/>
    <n v="459"/>
    <x v="1"/>
    <s v="Fairfield Inn &amp; Suites Ruston"/>
    <x v="8"/>
    <x v="0"/>
  </r>
  <r>
    <x v="8"/>
    <s v="OKCEL"/>
    <n v="200125"/>
    <s v="OKCEL"/>
    <n v="460"/>
    <x v="1"/>
    <s v="Fairfield Inn &amp; Suites Oklahoma City El Reno"/>
    <x v="8"/>
    <x v="0"/>
  </r>
  <r>
    <x v="8"/>
    <s v="OWBFI"/>
    <n v="100665"/>
    <s v="OWBFI"/>
    <n v="462"/>
    <x v="0"/>
    <s v="Fairfield Inn By Marriott Owensboro"/>
    <x v="8"/>
    <x v="0"/>
  </r>
  <r>
    <x v="8"/>
    <s v="LITBN"/>
    <n v="200127"/>
    <s v="LITBN"/>
    <n v="463"/>
    <x v="1"/>
    <s v="Fairfield Inn &amp; Suites Little Rock Benton"/>
    <x v="8"/>
    <x v="0"/>
  </r>
  <r>
    <x v="8"/>
    <s v="MLUFE"/>
    <n v="200131"/>
    <s v="MLUFE"/>
    <n v="465"/>
    <x v="1"/>
    <s v="Fairfield Inn &amp; Suites El Dorado"/>
    <x v="8"/>
    <x v="0"/>
  </r>
  <r>
    <x v="8"/>
    <s v="LFTCS"/>
    <n v="200135"/>
    <s v="LFTCS"/>
    <n v="469"/>
    <x v="1"/>
    <s v="Courtyard By Marriott Lafayette South"/>
    <x v="8"/>
    <x v="0"/>
  </r>
  <r>
    <x v="8"/>
    <s v="BNAOP"/>
    <n v="100677"/>
    <s v="BNAOP"/>
    <n v="473"/>
    <x v="0"/>
    <s v="Fairfield Inn &amp; Suites Nashville at Opryland"/>
    <x v="8"/>
    <x v="0"/>
  </r>
  <r>
    <x v="8"/>
    <s v="BNACO"/>
    <n v="100681"/>
    <s v="BNACO"/>
    <n v="475"/>
    <x v="0"/>
    <s v="Courtyard By Marriott Nashville at Opryland"/>
    <x v="8"/>
    <x v="0"/>
  </r>
  <r>
    <x v="8"/>
    <s v="BNASM"/>
    <n v="100683"/>
    <s v="BNASM"/>
    <n v="476"/>
    <x v="0"/>
    <s v="SpringHill Suites By Marriott Nashville MetroCenter"/>
    <x v="8"/>
    <x v="0"/>
  </r>
  <r>
    <x v="8"/>
    <s v="MSPMS"/>
    <n v="100685"/>
    <s v="MSPMS"/>
    <n v="477"/>
    <x v="0"/>
    <s v="SpringHill Suites By Marriott Minneapolis-St. Paul Airport/Mall of America"/>
    <x v="8"/>
    <x v="0"/>
  </r>
  <r>
    <x v="8"/>
    <s v="LNKCY"/>
    <n v="200137"/>
    <s v="LNKCY"/>
    <n v="478"/>
    <x v="1"/>
    <s v="Courtyard By Marriott Lincoln Downtown/Haymarket"/>
    <x v="8"/>
    <x v="0"/>
  </r>
  <r>
    <x v="8"/>
    <s v="OMASW"/>
    <n v="200141"/>
    <s v="OMASW"/>
    <n v="481"/>
    <x v="1"/>
    <s v="Fairfield by Marriott Inn &amp; Suites Omaha at MH Landing"/>
    <x v="8"/>
    <x v="0"/>
  </r>
  <r>
    <x v="8"/>
    <s v="MSOFI"/>
    <n v="100689"/>
    <s v="MSOFI"/>
    <n v="483"/>
    <x v="0"/>
    <s v="Fairfield by Marriott Inn &amp; Suites Missoula Airport"/>
    <x v="8"/>
    <x v="0"/>
  </r>
  <r>
    <x v="8"/>
    <s v="BNAWE"/>
    <n v="100691"/>
    <s v="BNAWE"/>
    <n v="485"/>
    <x v="0"/>
    <s v="Courtyard By Marriott Nashville Vanderbilt/West End"/>
    <x v="8"/>
    <x v="0"/>
  </r>
  <r>
    <x v="8"/>
    <s v="PHXFT"/>
    <n v="200161"/>
    <s v="PHXFT"/>
    <n v="493"/>
    <x v="1"/>
    <s v="Fairfield by Marriott Inn &amp; Suites Phoenix West/Tolleson"/>
    <x v="8"/>
    <x v="0"/>
  </r>
  <r>
    <x v="8"/>
    <s v="PHXMP"/>
    <n v="200167"/>
    <s v="PHXMP"/>
    <n v="496"/>
    <x v="1"/>
    <s v="Fairfield Inn &amp; Suites Phoenix Tempe/Airport"/>
    <x v="8"/>
    <x v="0"/>
  </r>
  <r>
    <x v="8"/>
    <s v="FNTFG"/>
    <n v="100939"/>
    <s v="FNTFG"/>
    <n v="683"/>
    <x v="0"/>
    <s v="Fairfield Inn &amp; Suites Flint Grand Blanc"/>
    <x v="8"/>
    <x v="0"/>
  </r>
  <r>
    <x v="8"/>
    <s v="INTCD"/>
    <n v="100937"/>
    <s v="INTCD"/>
    <n v="682"/>
    <x v="0"/>
    <s v="Courtyard By Marriott Winston-Salem Downtown"/>
    <x v="8"/>
    <x v="0"/>
  </r>
  <r>
    <x v="8"/>
    <s v="LBESS"/>
    <n v="100935"/>
    <s v="LBESS"/>
    <n v="681"/>
    <x v="0"/>
    <s v="Fairfield Inn &amp; Suites Somerset"/>
    <x v="8"/>
    <x v="0"/>
  </r>
  <r>
    <x v="8"/>
    <s v="ATLCB"/>
    <n v="100933"/>
    <s v="ATLCB"/>
    <n v="680"/>
    <x v="0"/>
    <s v="Courtyard By Marriott Atlanta Buckhead"/>
    <x v="8"/>
    <x v="0"/>
  </r>
  <r>
    <x v="8"/>
    <s v="ATLGR"/>
    <n v="100931"/>
    <s v="ATLGR"/>
    <n v="679"/>
    <x v="0"/>
    <s v="SpringHill Suites By Marriott Atlanta Alpharetta/Roswell"/>
    <x v="8"/>
    <x v="0"/>
  </r>
  <r>
    <x v="8"/>
    <s v="JAXAE"/>
    <n v="100929"/>
    <s v="JAXAE"/>
    <n v="678"/>
    <x v="0"/>
    <s v="AC Hotel Jacksonville St Johns Town Center"/>
    <x v="8"/>
    <x v="0"/>
  </r>
  <r>
    <x v="8"/>
    <s v="ATLDC"/>
    <n v="100927"/>
    <s v="ATLDC"/>
    <n v="677"/>
    <x v="0"/>
    <s v="Courtyard By Marriott Atlanta Decatur Downtown/Emory"/>
    <x v="8"/>
    <x v="0"/>
  </r>
  <r>
    <x v="8"/>
    <s v="DAYJV"/>
    <n v="100925"/>
    <s v="DAYJV"/>
    <n v="676"/>
    <x v="0"/>
    <s v="Fairfield Inn &amp; Suites Washington Court House Jeffersonville"/>
    <x v="8"/>
    <x v="0"/>
  </r>
  <r>
    <x v="8"/>
    <s v="BOSNF"/>
    <n v="100923"/>
    <s v="BOSNF"/>
    <n v="675"/>
    <x v="0"/>
    <s v="Courtyard By Marriott Boston Natick"/>
    <x v="8"/>
    <x v="0"/>
  </r>
  <r>
    <x v="8"/>
    <s v="CMHCP"/>
    <n v="100921"/>
    <s v="CMHCP"/>
    <n v="674"/>
    <x v="0"/>
    <s v="Fairfield Inn &amp; Suites Columbus Polaris"/>
    <x v="8"/>
    <x v="0"/>
  </r>
  <r>
    <x v="8"/>
    <s v="BQKFI"/>
    <n v="100919"/>
    <s v="BQKFI"/>
    <n v="673"/>
    <x v="0"/>
    <s v="Fairfield Inn &amp; Suites Brunswick"/>
    <x v="8"/>
    <x v="0"/>
  </r>
  <r>
    <x v="8"/>
    <s v="BOSFT"/>
    <n v="100917"/>
    <s v="BOSFT"/>
    <n v="672"/>
    <x v="0"/>
    <s v="Fairfield Inn By Marriott Boston Tewksbury/Andover"/>
    <x v="8"/>
    <x v="0"/>
  </r>
  <r>
    <x v="8"/>
    <s v="AUGFI"/>
    <n v="100915"/>
    <s v="AUGFI"/>
    <n v="671"/>
    <x v="0"/>
    <s v="Fairfield Inn &amp; Suites Augusta"/>
    <x v="8"/>
    <x v="0"/>
  </r>
  <r>
    <x v="8"/>
    <s v="CLTFM"/>
    <n v="100913"/>
    <s v="CLTFM"/>
    <n v="670"/>
    <x v="0"/>
    <s v="Fairfield Inn &amp; Suites Charlotte Matthews"/>
    <x v="8"/>
    <x v="0"/>
  </r>
  <r>
    <x v="8"/>
    <s v="CHICH"/>
    <n v="100911"/>
    <s v="CHICH"/>
    <n v="669"/>
    <x v="0"/>
    <s v="Courtyard By Marriott Chicago Southeast/Hammond, IN"/>
    <x v="8"/>
    <x v="0"/>
  </r>
  <r>
    <x v="8"/>
    <s v="BNAMY"/>
    <n v="100909"/>
    <s v="BNAMY"/>
    <n v="668"/>
    <x v="0"/>
    <s v="Courtyard By Marriott Nashville Smyrna"/>
    <x v="8"/>
    <x v="0"/>
  </r>
  <r>
    <x v="8"/>
    <s v="BNAFM"/>
    <n v="100907"/>
    <s v="BNAFM"/>
    <n v="667"/>
    <x v="0"/>
    <s v="Fairfield Inn &amp; Suites Nashville MetroCenter"/>
    <x v="8"/>
    <x v="0"/>
  </r>
  <r>
    <x v="8"/>
    <s v="BNAAB"/>
    <n v="100905"/>
    <s v="BNAAB"/>
    <n v="666"/>
    <x v="0"/>
    <s v="AC Hotel Nashville Brentwood"/>
    <x v="8"/>
    <x v="0"/>
  </r>
  <r>
    <x v="8"/>
    <s v="ATWFA"/>
    <n v="100903"/>
    <s v="ATWFA"/>
    <n v="665"/>
    <x v="0"/>
    <s v="Fairfield by Marriott Inn &amp; Suites Appleton"/>
    <x v="8"/>
    <x v="0"/>
  </r>
  <r>
    <x v="8"/>
    <s v="GNVSC"/>
    <n v="100901"/>
    <s v="GNVSC"/>
    <n v="664"/>
    <x v="0"/>
    <s v="SpringHill Suites By Marriott Ocala"/>
    <x v="8"/>
    <x v="0"/>
  </r>
  <r>
    <x v="8"/>
    <s v="ATLPR"/>
    <n v="100899"/>
    <s v="ATLPR"/>
    <n v="663"/>
    <x v="0"/>
    <s v="Fairfield Inn &amp; Suites Atlanta Peachtree City"/>
    <x v="8"/>
    <x v="0"/>
  </r>
  <r>
    <x v="8"/>
    <s v="JAXBH"/>
    <n v="100897"/>
    <s v="JAXBH"/>
    <n v="662"/>
    <x v="0"/>
    <s v="SpringHill Suites by Marriott Jacksonville Baymeadows"/>
    <x v="8"/>
    <x v="0"/>
  </r>
  <r>
    <x v="8"/>
    <s v="GNVAC"/>
    <n v="100895"/>
    <s v="GNVAC"/>
    <n v="661"/>
    <x v="0"/>
    <s v="AC Hotel Gainesville Downtown"/>
    <x v="8"/>
    <x v="0"/>
  </r>
  <r>
    <x v="8"/>
    <s v="BDLCS"/>
    <n v="100893"/>
    <s v="BDLCS"/>
    <n v="660"/>
    <x v="0"/>
    <s v="Courtyard By Marriott Southington"/>
    <x v="8"/>
    <x v="0"/>
  </r>
  <r>
    <x v="8"/>
    <s v="AIYML"/>
    <n v="100891"/>
    <s v="AIYML"/>
    <n v="659"/>
    <x v="0"/>
    <s v="Fairfield Inn &amp; Suites Millville Vineland"/>
    <x v="8"/>
    <x v="0"/>
  </r>
  <r>
    <x v="8"/>
    <s v="JAXFW"/>
    <n v="100889"/>
    <s v="JAXFW"/>
    <n v="658"/>
    <x v="0"/>
    <s v="Fairfield Inn &amp; Suites Waycross"/>
    <x v="8"/>
    <x v="0"/>
  </r>
  <r>
    <x v="8"/>
    <s v="LANCY"/>
    <n v="100887"/>
    <s v="LANCY"/>
    <n v="657"/>
    <x v="0"/>
    <s v="Courtyard By Marriott Lansing"/>
    <x v="8"/>
    <x v="0"/>
  </r>
  <r>
    <x v="8"/>
    <s v="BWIMR"/>
    <n v="100885"/>
    <s v="BWIMR"/>
    <n v="656"/>
    <x v="0"/>
    <s v="SpringHill Suites By Marriott Baltimore White Marsh/Middle River"/>
    <x v="8"/>
    <x v="0"/>
  </r>
  <r>
    <x v="8"/>
    <s v="DAYSH"/>
    <n v="100883"/>
    <s v="DAYSH"/>
    <n v="655"/>
    <x v="0"/>
    <s v="SpringHill Suites By Marriott Dayton South/Miamisburg"/>
    <x v="8"/>
    <x v="0"/>
  </r>
  <r>
    <x v="8"/>
    <s v="ATLFI"/>
    <n v="100881"/>
    <s v="ATLFI"/>
    <n v="654"/>
    <x v="0"/>
    <s v="Fairfield Inn &amp; Suites Atlanta Alpharetta"/>
    <x v="8"/>
    <x v="0"/>
  </r>
  <r>
    <x v="8"/>
    <s v="MBSCY"/>
    <n v="100879"/>
    <s v="MBSCY"/>
    <n v="653"/>
    <x v="0"/>
    <s v="Courtyard By Marriott Mt. Pleasant at Central Michigan University"/>
    <x v="8"/>
    <x v="0"/>
  </r>
  <r>
    <x v="8"/>
    <s v="GNVSW"/>
    <n v="100877"/>
    <s v="GNVSW"/>
    <n v="652"/>
    <x v="0"/>
    <s v="Fairfield Inn &amp; Suites Gainesville I-75"/>
    <x v="8"/>
    <x v="0"/>
  </r>
  <r>
    <x v="8"/>
    <s v="CVGFW"/>
    <n v="100875"/>
    <s v="CVGFW"/>
    <n v="651"/>
    <x v="0"/>
    <s v="Fairfield Inn &amp; Suites Cincinnati North/West Chester"/>
    <x v="8"/>
    <x v="0"/>
  </r>
  <r>
    <x v="8"/>
    <s v="CHASH"/>
    <n v="100873"/>
    <s v="CHASH"/>
    <n v="650"/>
    <x v="0"/>
    <s v="SpringHill Suites By Marriott Chattanooga Downtown/Cameron Harbor"/>
    <x v="8"/>
    <x v="0"/>
  </r>
  <r>
    <x v="8"/>
    <s v="LGASH"/>
    <n v="100871"/>
    <s v="LGASH"/>
    <n v="649"/>
    <x v="0"/>
    <s v="SpringHill Suites By Marriott Tuckahoe Westchester County"/>
    <x v="8"/>
    <x v="0"/>
  </r>
  <r>
    <x v="8"/>
    <s v="BTVWL"/>
    <n v="100869"/>
    <s v="BTVWL"/>
    <n v="648"/>
    <x v="0"/>
    <s v="Courtyard By Marriott Burlington Williston"/>
    <x v="8"/>
    <x v="0"/>
  </r>
  <r>
    <x v="8"/>
    <s v="BWIAS"/>
    <n v="100867"/>
    <s v="BWIAS"/>
    <n v="647"/>
    <x v="0"/>
    <s v="Fairfield Inn &amp; Suites Arundel Mills BWI Airport"/>
    <x v="8"/>
    <x v="0"/>
  </r>
  <r>
    <x v="8"/>
    <s v="BEHFI"/>
    <n v="100865"/>
    <s v="BEHFI"/>
    <n v="646"/>
    <x v="0"/>
    <s v="Fairfield Inn &amp; Suites St. Joseph Stevensville"/>
    <x v="8"/>
    <x v="0"/>
  </r>
  <r>
    <x v="8"/>
    <s v="BOSSR"/>
    <n v="100863"/>
    <s v="BOSSR"/>
    <n v="645"/>
    <x v="0"/>
    <s v="SpringHill Suites by Marriott Boston Logan Airport Revere Beach"/>
    <x v="8"/>
    <x v="0"/>
  </r>
  <r>
    <x v="8"/>
    <s v="DTWSW"/>
    <n v="100861"/>
    <s v="DTWSW"/>
    <n v="644"/>
    <x v="0"/>
    <s v="SpringHill Suites by Marriott Wixom Novi"/>
    <x v="8"/>
    <x v="0"/>
  </r>
  <r>
    <x v="8"/>
    <s v="GNVCL"/>
    <n v="100859"/>
    <s v="GNVCL"/>
    <n v="643"/>
    <x v="0"/>
    <s v="Courtyard By Marriott Lake City"/>
    <x v="8"/>
    <x v="0"/>
  </r>
  <r>
    <x v="8"/>
    <s v="IADCA"/>
    <n v="100857"/>
    <s v="IADCA"/>
    <n v="642"/>
    <x v="0"/>
    <s v="Courtyard By Marriott Dulles Airport Chantilly"/>
    <x v="8"/>
    <x v="0"/>
  </r>
  <r>
    <x v="8"/>
    <s v="CMHSD"/>
    <n v="100855"/>
    <s v="CMHSD"/>
    <n v="641"/>
    <x v="0"/>
    <s v="SpringHill Suites By Marriott Columbus Dublin"/>
    <x v="8"/>
    <x v="0"/>
  </r>
  <r>
    <x v="8"/>
    <s v="ILGCY"/>
    <n v="100853"/>
    <s v="ILGCY"/>
    <n v="640"/>
    <x v="0"/>
    <s v="Courtyard By Marriott Wilmington Downtown"/>
    <x v="8"/>
    <x v="0"/>
  </r>
  <r>
    <x v="8"/>
    <s v="GSPCL"/>
    <n v="100851"/>
    <s v="GSPCL"/>
    <n v="639"/>
    <x v="0"/>
    <s v="Courtyard By Marriott Clemson"/>
    <x v="8"/>
    <x v="0"/>
  </r>
  <r>
    <x v="8"/>
    <s v="LGAFI"/>
    <n v="100849"/>
    <s v="LGAFI"/>
    <n v="638"/>
    <x v="0"/>
    <s v="Fairfield Inn By Marriott New York LaGuardia Airport/Flushing"/>
    <x v="8"/>
    <x v="0"/>
  </r>
  <r>
    <x v="8"/>
    <s v="CVGHA"/>
    <n v="100847"/>
    <s v="CVGHA"/>
    <n v="637"/>
    <x v="0"/>
    <s v="Courtyard By Marriott Hamilton"/>
    <x v="8"/>
    <x v="0"/>
  </r>
  <r>
    <x v="8"/>
    <s v="GSOCY"/>
    <n v="100845"/>
    <s v="GSOCY"/>
    <n v="636"/>
    <x v="0"/>
    <s v="Courtyard By Marriott High Point"/>
    <x v="8"/>
    <x v="0"/>
  </r>
  <r>
    <x v="8"/>
    <s v="ATLFR"/>
    <n v="100843"/>
    <s v="ATLFR"/>
    <n v="635"/>
    <x v="0"/>
    <s v="Fairfield by Marriott Inn &amp; Suites Atlanta Marietta"/>
    <x v="8"/>
    <x v="0"/>
  </r>
  <r>
    <x v="8"/>
    <s v="FWAFF"/>
    <n v="100841"/>
    <s v="FWAFF"/>
    <n v="634"/>
    <x v="0"/>
    <s v="Fairfield Inn &amp; Suites Fort Wayne"/>
    <x v="8"/>
    <x v="0"/>
  </r>
  <r>
    <x v="8"/>
    <s v="PGVGV"/>
    <n v="100839"/>
    <s v="PGVGV"/>
    <n v="633"/>
    <x v="0"/>
    <s v="Fairfield Inn &amp; Suites Greenville"/>
    <x v="8"/>
    <x v="0"/>
  </r>
  <r>
    <x v="8"/>
    <s v="LGAQA"/>
    <n v="100837"/>
    <s v="LGAQA"/>
    <n v="632"/>
    <x v="0"/>
    <s v="Fairfield Inn By Marriott New York LaGuardia Airport/Astoria"/>
    <x v="8"/>
    <x v="0"/>
  </r>
  <r>
    <x v="8"/>
    <s v="BOSAB"/>
    <n v="100835"/>
    <s v="BOSAB"/>
    <n v="631"/>
    <x v="0"/>
    <s v="AC Hotel Boston Cleveland Circle"/>
    <x v="8"/>
    <x v="0"/>
  </r>
  <r>
    <x v="8"/>
    <s v="ATLCH"/>
    <n v="100833"/>
    <s v="ATLCH"/>
    <n v="630"/>
    <x v="0"/>
    <s v="Courtyard By Marriott Atlanta Duluth Downtown"/>
    <x v="8"/>
    <x v="0"/>
  </r>
  <r>
    <x v="8"/>
    <s v="EWRWO"/>
    <n v="100831"/>
    <s v="EWRWO"/>
    <n v="629"/>
    <x v="0"/>
    <s v="Courtyard By Marriott West Orange"/>
    <x v="8"/>
    <x v="0"/>
  </r>
  <r>
    <x v="8"/>
    <s v="CMHFC"/>
    <n v="100827"/>
    <s v="CMHFC"/>
    <n v="627"/>
    <x v="0"/>
    <s v="Fairfield Inn &amp; Suites Columbus Canal Winchester"/>
    <x v="8"/>
    <x v="0"/>
  </r>
  <r>
    <x v="8"/>
    <s v="CMHCH"/>
    <n v="100825"/>
    <s v="CMHCH"/>
    <n v="626"/>
    <x v="0"/>
    <s v="Fairfield Inn &amp; Suites Chillicothe, OH"/>
    <x v="8"/>
    <x v="0"/>
  </r>
  <r>
    <x v="8"/>
    <s v="BDRCY"/>
    <n v="100823"/>
    <s v="BDRCY"/>
    <n v="625"/>
    <x v="0"/>
    <s v="Courtyard By Marriott Shelton"/>
    <x v="8"/>
    <x v="0"/>
  </r>
  <r>
    <x v="8"/>
    <s v="GRRFN"/>
    <n v="100821"/>
    <s v="GRRFN"/>
    <n v="624"/>
    <x v="0"/>
    <s v="Fairfield by Marriott Inn &amp; Suites Grand Rapids North"/>
    <x v="8"/>
    <x v="0"/>
  </r>
  <r>
    <x v="8"/>
    <s v="CLTCD"/>
    <n v="100819"/>
    <s v="CLTCD"/>
    <n v="623"/>
    <x v="0"/>
    <s v="Courtyard by Marriott Charlotte Waverly"/>
    <x v="8"/>
    <x v="0"/>
  </r>
  <r>
    <x v="8"/>
    <s v="CHSOX"/>
    <n v="100817"/>
    <s v="CHSOX"/>
    <n v="622"/>
    <x v="0"/>
    <s v="Moxy Charleston Downtown"/>
    <x v="8"/>
    <x v="0"/>
  </r>
  <r>
    <x v="8"/>
    <s v="AVLFM"/>
    <n v="100815"/>
    <s v="AVLFM"/>
    <n v="621"/>
    <x v="0"/>
    <s v="Fairfield by Marriott Inn &amp; Suites Morganton Historic Downtown"/>
    <x v="8"/>
    <x v="0"/>
  </r>
  <r>
    <x v="8"/>
    <s v="GTLFG"/>
    <n v="100813"/>
    <s v="GTLFG"/>
    <n v="620"/>
    <x v="0"/>
    <s v="Fairfield Inn &amp; Suites Gatlinburg Downtown"/>
    <x v="8"/>
    <x v="0"/>
  </r>
  <r>
    <x v="8"/>
    <s v="ATLKB"/>
    <n v="100811"/>
    <s v="ATLKB"/>
    <n v="619"/>
    <x v="0"/>
    <s v="Fairfield Inn &amp; Suites Atlanta Stockbridge"/>
    <x v="8"/>
    <x v="0"/>
  </r>
  <r>
    <x v="8"/>
    <s v="ISPJJ"/>
    <n v="100809"/>
    <s v="ISPJJ"/>
    <n v="618"/>
    <x v="0"/>
    <s v="Fairfield Inn By Marriott New York JFK Airport"/>
    <x v="8"/>
    <x v="0"/>
  </r>
  <r>
    <x v="8"/>
    <s v="BDLHC"/>
    <n v="100807"/>
    <s v="BDLHC"/>
    <n v="617"/>
    <x v="0"/>
    <s v="Courtyard By Marriott Hartford Cromwell"/>
    <x v="8"/>
    <x v="0"/>
  </r>
  <r>
    <x v="8"/>
    <s v="ARBFY"/>
    <n v="100805"/>
    <s v="ARBFY"/>
    <n v="616"/>
    <x v="0"/>
    <s v="Fairfield Inn &amp; Suites Ann Arbor Ypsilanti"/>
    <x v="8"/>
    <x v="0"/>
  </r>
  <r>
    <x v="8"/>
    <s v="AVLAC"/>
    <n v="100803"/>
    <s v="AVLAC"/>
    <n v="615"/>
    <x v="0"/>
    <s v="AC Hotel Asheville Downtown"/>
    <x v="8"/>
    <x v="0"/>
  </r>
  <r>
    <x v="8"/>
    <s v="ILMSH"/>
    <n v="100801"/>
    <s v="ILMSH"/>
    <n v="614"/>
    <x v="0"/>
    <s v="SpringHill Suites By Marriott Wilmington Wrightsville Beach"/>
    <x v="8"/>
    <x v="0"/>
  </r>
  <r>
    <x v="8"/>
    <s v="ATLXB"/>
    <n v="100799"/>
    <s v="ATLXB"/>
    <n v="613"/>
    <x v="0"/>
    <s v="Fairfield Inn &amp; Suites Atlanta Fairburn"/>
    <x v="8"/>
    <x v="0"/>
  </r>
  <r>
    <x v="8"/>
    <s v="HKYBN"/>
    <n v="100797"/>
    <s v="HKYBN"/>
    <n v="612"/>
    <x v="0"/>
    <s v="Courtyard By Marriott Boone"/>
    <x v="8"/>
    <x v="0"/>
  </r>
  <r>
    <x v="8"/>
    <s v="CMHYV"/>
    <n v="100795"/>
    <s v="CMHYV"/>
    <n v="611"/>
    <x v="0"/>
    <s v="Fairfield by Marriott Inn &amp; Suites Columbus Marysville"/>
    <x v="8"/>
    <x v="0"/>
  </r>
  <r>
    <x v="8"/>
    <s v="CLTBT"/>
    <n v="100793"/>
    <s v="CLTBT"/>
    <n v="610"/>
    <x v="0"/>
    <s v="SpringHill Suites By Marriott Charlotte Ballantyne"/>
    <x v="8"/>
    <x v="0"/>
  </r>
  <r>
    <x v="8"/>
    <s v="LANSL"/>
    <n v="100791"/>
    <s v="LANSL"/>
    <n v="609"/>
    <x v="0"/>
    <s v="SpringHill Suites By Marriott East Lansing University Area"/>
    <x v="8"/>
    <x v="0"/>
  </r>
  <r>
    <x v="8"/>
    <s v="CLEFS"/>
    <n v="100789"/>
    <s v="CLEFS"/>
    <n v="608"/>
    <x v="0"/>
    <s v="Fairfield by Marriott Inn &amp; Suites Sandusky"/>
    <x v="8"/>
    <x v="0"/>
  </r>
  <r>
    <x v="6"/>
    <s v="CMHWT"/>
    <n v="100787"/>
    <s v="CMHWT"/>
    <n v="607"/>
    <x v="0"/>
    <s v="Courtyard By Marriott Columbus West/Hilliard"/>
    <x v="6"/>
    <x v="0"/>
  </r>
  <r>
    <x v="8"/>
    <s v="BOSDT"/>
    <n v="100785"/>
    <s v="BOSDT"/>
    <n v="606"/>
    <x v="0"/>
    <s v="Courtyard By Marriott Boston Copley Square"/>
    <x v="8"/>
    <x v="0"/>
  </r>
  <r>
    <x v="8"/>
    <s v="ALBCO"/>
    <n v="100783"/>
    <s v="ALBCO"/>
    <n v="605"/>
    <x v="0"/>
    <s v="SpringHill Suites By Marriott Albany-Colonie"/>
    <x v="8"/>
    <x v="0"/>
  </r>
  <r>
    <x v="8"/>
    <s v="CVGDT"/>
    <n v="100781"/>
    <s v="CVGDT"/>
    <n v="604"/>
    <x v="0"/>
    <s v="SpringHill Suites By Marriott Cincinnati Midtown"/>
    <x v="8"/>
    <x v="0"/>
  </r>
  <r>
    <x v="8"/>
    <s v="ATLFB"/>
    <n v="100779"/>
    <s v="ATLFB"/>
    <n v="603"/>
    <x v="0"/>
    <s v="Fairfield Inn &amp; Suites Atlanta Buckhead"/>
    <x v="8"/>
    <x v="0"/>
  </r>
  <r>
    <x v="8"/>
    <s v="LANCO"/>
    <n v="100777"/>
    <s v="LANCO"/>
    <n v="602"/>
    <x v="0"/>
    <s v="Courtyard By Marriott East Lansing Okemos"/>
    <x v="8"/>
    <x v="0"/>
  </r>
  <r>
    <x v="8"/>
    <s v="ATLFH"/>
    <n v="100775"/>
    <s v="ATLFH"/>
    <n v="601"/>
    <x v="0"/>
    <s v="Fairfield by Marriott Inn &amp; Suites Alpharetta Avalon Area"/>
    <x v="8"/>
    <x v="0"/>
  </r>
  <r>
    <x v="8"/>
    <s v="ATLWF"/>
    <n v="100773"/>
    <s v="ATLWF"/>
    <n v="600"/>
    <x v="0"/>
    <s v="Fairfield Inn &amp; Suites Atlanta Woodstock"/>
    <x v="8"/>
    <x v="0"/>
  </r>
  <r>
    <x v="8"/>
    <s v="DTWFY"/>
    <n v="100771"/>
    <s v="DTWFY"/>
    <n v="599"/>
    <x v="0"/>
    <s v="Fairfield Inn &amp; Suites Detroit Taylor"/>
    <x v="8"/>
    <x v="0"/>
  </r>
  <r>
    <x v="8"/>
    <s v="HTSHN"/>
    <n v="100769"/>
    <s v="HTSHN"/>
    <n v="598"/>
    <x v="0"/>
    <s v="Fairfield Inn &amp; Suites Huntington"/>
    <x v="8"/>
    <x v="0"/>
  </r>
  <r>
    <x v="8"/>
    <s v="CLTSB"/>
    <n v="100767"/>
    <s v="CLTSB"/>
    <n v="597"/>
    <x v="0"/>
    <s v="Courtyard By Marriott Salisbury"/>
    <x v="8"/>
    <x v="0"/>
  </r>
  <r>
    <x v="8"/>
    <s v="CLTFH"/>
    <n v="100765"/>
    <s v="CLTFH"/>
    <n v="596"/>
    <x v="0"/>
    <s v="Fairfield by Marriott Inn &amp; Suites Charlotte Belmont"/>
    <x v="8"/>
    <x v="0"/>
  </r>
  <r>
    <x v="8"/>
    <s v="FWADT"/>
    <n v="100763"/>
    <s v="FWADT"/>
    <n v="595"/>
    <x v="0"/>
    <s v="Courtyard By Marriott Fort Wayne Downtown at Grand Wayne Convention Center"/>
    <x v="8"/>
    <x v="0"/>
  </r>
  <r>
    <x v="8"/>
    <s v="CVGSB"/>
    <n v="100761"/>
    <s v="CVGSB"/>
    <n v="594"/>
    <x v="0"/>
    <s v="SpringHill Suites By Marriott Cincinnati Blue Ash"/>
    <x v="8"/>
    <x v="0"/>
  </r>
  <r>
    <x v="8"/>
    <s v="INDMU"/>
    <n v="100759"/>
    <s v="INDMU"/>
    <n v="593"/>
    <x v="0"/>
    <s v="Courtyard By Marriott Muncie at Horizon Convention Center"/>
    <x v="8"/>
    <x v="0"/>
  </r>
  <r>
    <x v="8"/>
    <s v="ATLSE"/>
    <n v="100757"/>
    <s v="ATLSE"/>
    <n v="592"/>
    <x v="0"/>
    <s v="SpringHill Suites By Marriott Atlanta Perimeter Center"/>
    <x v="8"/>
    <x v="0"/>
  </r>
  <r>
    <x v="8"/>
    <s v="ATLFS"/>
    <n v="100755"/>
    <s v="ATLFS"/>
    <n v="591"/>
    <x v="0"/>
    <s v="SpringHill Suites By Marriott Atlanta Six Flags"/>
    <x v="8"/>
    <x v="0"/>
  </r>
  <r>
    <x v="8"/>
    <s v="ATLBM"/>
    <n v="100753"/>
    <s v="ATLBM"/>
    <n v="590"/>
    <x v="0"/>
    <s v="Courtyard By Marriott Atlanta Buford/Mall of Georgia"/>
    <x v="8"/>
    <x v="0"/>
  </r>
  <r>
    <x v="8"/>
    <s v="FAYSE"/>
    <n v="100751"/>
    <s v="FAYSE"/>
    <n v="589"/>
    <x v="0"/>
    <s v="SpringHill Suites by Marriott Fayetteville I 95"/>
    <x v="8"/>
    <x v="0"/>
  </r>
  <r>
    <x v="8"/>
    <s v="ATLXM"/>
    <n v="100749"/>
    <s v="ATLXM"/>
    <n v="588"/>
    <x v="0"/>
    <s v="Fairfield Inn &amp; Suites Atlanta Buford/Mall of Georgia"/>
    <x v="8"/>
    <x v="0"/>
  </r>
  <r>
    <x v="8"/>
    <s v="BOSNE"/>
    <n v="100745"/>
    <s v="BOSNE"/>
    <n v="586"/>
    <x v="0"/>
    <s v="Courtyard By Marriott Boston Downtown/North Station"/>
    <x v="8"/>
    <x v="0"/>
  </r>
  <r>
    <x v="8"/>
    <s v="HARGT"/>
    <n v="100743"/>
    <s v="HARGT"/>
    <n v="585"/>
    <x v="0"/>
    <s v="Courtyard By Marriott Gettysburg"/>
    <x v="8"/>
    <x v="0"/>
  </r>
  <r>
    <x v="8"/>
    <s v="ABECV"/>
    <n v="100741"/>
    <s v="ABECV"/>
    <n v="584"/>
    <x v="0"/>
    <s v="SpringHill Suites By Marriott Allentown Bethlehem/Center Valley"/>
    <x v="8"/>
    <x v="0"/>
  </r>
  <r>
    <x v="8"/>
    <s v="CAECY"/>
    <n v="100739"/>
    <s v="CAECY"/>
    <n v="583"/>
    <x v="0"/>
    <s v="Courtyard By Marriott Columbia Cayce"/>
    <x v="8"/>
    <x v="0"/>
  </r>
  <r>
    <x v="8"/>
    <s v="GTLCY"/>
    <n v="100735"/>
    <s v="GTLCY"/>
    <n v="581"/>
    <x v="0"/>
    <s v="Courtyard By Marriott Gatlinburg Downtown"/>
    <x v="8"/>
    <x v="0"/>
  </r>
  <r>
    <x v="8"/>
    <s v="CAKAS"/>
    <n v="100733"/>
    <s v="CAKAS"/>
    <n v="580"/>
    <x v="0"/>
    <s v="Fairfield Inn &amp; Suites Akron Stow"/>
    <x v="8"/>
    <x v="0"/>
  </r>
  <r>
    <x v="8"/>
    <s v="HARCY"/>
    <n v="100731"/>
    <s v="HARCY"/>
    <n v="579"/>
    <x v="0"/>
    <s v="Courtyard By Marriott Harrisburg Hershey"/>
    <x v="8"/>
    <x v="0"/>
  </r>
  <r>
    <x v="8"/>
    <s v="LEXCE"/>
    <n v="100729"/>
    <s v="LEXCE"/>
    <n v="578"/>
    <x v="0"/>
    <s v="Courtyard By Marriott Lexington South/Hamburg Place"/>
    <x v="8"/>
    <x v="0"/>
  </r>
  <r>
    <x v="8"/>
    <s v="EWRBK"/>
    <n v="100727"/>
    <s v="EWRBK"/>
    <n v="577"/>
    <x v="0"/>
    <s v="Courtyard By Marriott Cranbury South Brunswick"/>
    <x v="8"/>
    <x v="0"/>
  </r>
  <r>
    <x v="8"/>
    <s v="DSMAD"/>
    <n v="100723"/>
    <s v="DSMAD"/>
    <n v="575"/>
    <x v="0"/>
    <s v="AC Hotel Des Moines East Village"/>
    <x v="8"/>
    <x v="0"/>
  </r>
  <r>
    <x v="8"/>
    <s v="CWAFI"/>
    <n v="100721"/>
    <s v="CWAFI"/>
    <n v="574"/>
    <x v="0"/>
    <s v="Fairfield Inn &amp; Suites Wausau"/>
    <x v="8"/>
    <x v="0"/>
  </r>
  <r>
    <x v="8"/>
    <s v="BNAFV"/>
    <n v="100719"/>
    <s v="BNAFV"/>
    <n v="573"/>
    <x v="0"/>
    <s v="Fairfield Inn &amp; Suites Nashville Hendersonville"/>
    <x v="8"/>
    <x v="0"/>
  </r>
  <r>
    <x v="8"/>
    <s v="DTLFI"/>
    <n v="100717"/>
    <s v="DTLFI"/>
    <n v="572"/>
    <x v="0"/>
    <s v="Fairfield Inn &amp; Suites Detroit Lakes"/>
    <x v="8"/>
    <x v="0"/>
  </r>
  <r>
    <x v="8"/>
    <s v="FARCF"/>
    <n v="100715"/>
    <s v="FARCF"/>
    <n v="571"/>
    <x v="0"/>
    <s v="Courtyard By Marriott Fargo"/>
    <x v="8"/>
    <x v="0"/>
  </r>
  <r>
    <x v="8"/>
    <s v="BHMBB"/>
    <n v="100713"/>
    <s v="BHMBB"/>
    <n v="570"/>
    <x v="0"/>
    <s v="Fairfield Inn &amp; Suites Birmingham Bessemer"/>
    <x v="8"/>
    <x v="0"/>
  </r>
  <r>
    <x v="8"/>
    <s v="JANCJ"/>
    <n v="100711"/>
    <s v="JANCJ"/>
    <n v="569"/>
    <x v="0"/>
    <s v="Courtyard By Marriott Jackson Madison"/>
    <x v="8"/>
    <x v="0"/>
  </r>
  <r>
    <x v="8"/>
    <s v="CWACY"/>
    <n v="100709"/>
    <s v="CWACY"/>
    <n v="568"/>
    <x v="0"/>
    <s v="Courtyard By Marriott Wausau"/>
    <x v="8"/>
    <x v="0"/>
  </r>
  <r>
    <x v="8"/>
    <s v="BILFL"/>
    <n v="100707"/>
    <s v="BILFL"/>
    <n v="567"/>
    <x v="0"/>
    <s v="Fairfield by Marriott Inn &amp; Suites Laurel"/>
    <x v="8"/>
    <x v="0"/>
  </r>
  <r>
    <x v="8"/>
    <s v="BNAFN"/>
    <n v="100705"/>
    <s v="BNAFN"/>
    <n v="566"/>
    <x v="0"/>
    <s v="Fairfield Inn &amp; Suites Nashville Downtown/The Gulch"/>
    <x v="8"/>
    <x v="0"/>
  </r>
  <r>
    <x v="8"/>
    <s v="BILCY"/>
    <n v="100703"/>
    <s v="BILCY"/>
    <n v="565"/>
    <x v="0"/>
    <s v="Courtyard By Marriott Billings"/>
    <x v="8"/>
    <x v="0"/>
  </r>
  <r>
    <x v="8"/>
    <s v="LBEFI"/>
    <n v="100701"/>
    <s v="LBEFI"/>
    <n v="564"/>
    <x v="0"/>
    <s v="Fairfield Inn &amp; Suites Pittsburgh New Stanton"/>
    <x v="8"/>
    <x v="0"/>
  </r>
  <r>
    <x v="8"/>
    <s v="ALWCY"/>
    <n v="200295"/>
    <s v="ALWCY"/>
    <n v="563"/>
    <x v="1"/>
    <s v="Courtyard By Marriott Walla Walla"/>
    <x v="8"/>
    <x v="0"/>
  </r>
  <r>
    <x v="8"/>
    <s v="SCKSF"/>
    <n v="200293"/>
    <s v="SCKSF"/>
    <n v="562"/>
    <x v="1"/>
    <s v="Fairfield Inn By Marriott Tracy"/>
    <x v="8"/>
    <x v="0"/>
  </r>
  <r>
    <x v="8"/>
    <s v="SANBO"/>
    <n v="200291"/>
    <s v="SANBO"/>
    <n v="561"/>
    <x v="1"/>
    <s v="Courtyard By Marriott San Diego Rancho Bernardo"/>
    <x v="8"/>
    <x v="0"/>
  </r>
  <r>
    <x v="8"/>
    <s v="SACGM"/>
    <n v="200289"/>
    <s v="SACGM"/>
    <n v="560"/>
    <x v="1"/>
    <s v="Courtyard By Marriott Roseville Galleria Mall/Creekside Ridge Drive"/>
    <x v="8"/>
    <x v="0"/>
  </r>
  <r>
    <x v="8"/>
    <s v="VISFI"/>
    <n v="200287"/>
    <s v="VISFI"/>
    <n v="559"/>
    <x v="1"/>
    <s v="Fairfield Inn By Marriott Visalia Sequoia"/>
    <x v="8"/>
    <x v="0"/>
  </r>
  <r>
    <x v="8"/>
    <s v="SACRV"/>
    <n v="200285"/>
    <s v="SACRV"/>
    <n v="558"/>
    <x v="1"/>
    <s v="Courtyard By Marriott Roseville"/>
    <x v="8"/>
    <x v="0"/>
  </r>
  <r>
    <x v="8"/>
    <s v="CDCCY"/>
    <n v="200283"/>
    <s v="CDCCY"/>
    <n v="557"/>
    <x v="1"/>
    <s v="Courtyard By Marriott Cedar City"/>
    <x v="8"/>
    <x v="0"/>
  </r>
  <r>
    <x v="8"/>
    <s v="BOIFI"/>
    <n v="200281"/>
    <s v="BOIFI"/>
    <n v="556"/>
    <x v="1"/>
    <s v="Fairfield Inn By Marriott Boise"/>
    <x v="8"/>
    <x v="0"/>
  </r>
  <r>
    <x v="8"/>
    <s v="PHXSL"/>
    <n v="200279"/>
    <s v="PHXSL"/>
    <n v="555"/>
    <x v="1"/>
    <s v="SpringHill Suites By Marriott Phoenix Tempe/Airport"/>
    <x v="8"/>
    <x v="0"/>
  </r>
  <r>
    <x v="8"/>
    <s v="CDCSH"/>
    <n v="200277"/>
    <s v="CDCSH"/>
    <n v="554"/>
    <x v="1"/>
    <s v="SpringHill Suites By Marriott Cedar City"/>
    <x v="8"/>
    <x v="0"/>
  </r>
  <r>
    <x v="8"/>
    <s v="AFOFI"/>
    <n v="200275"/>
    <s v="AFOFI"/>
    <n v="553"/>
    <x v="1"/>
    <s v="Fairfield Inn &amp; Suites Afton Star Valley"/>
    <x v="8"/>
    <x v="0"/>
  </r>
  <r>
    <x v="8"/>
    <s v="BOINP"/>
    <n v="200273"/>
    <s v="BOINP"/>
    <n v="552"/>
    <x v="1"/>
    <s v="Fairfield Inn &amp; Suites Boise Nampa"/>
    <x v="8"/>
    <x v="0"/>
  </r>
  <r>
    <x v="8"/>
    <s v="FSMFI"/>
    <n v="200271"/>
    <s v="FSMFI"/>
    <n v="551"/>
    <x v="1"/>
    <s v="Fairfield Inn &amp; Suites Fort Smith"/>
    <x v="8"/>
    <x v="0"/>
  </r>
  <r>
    <x v="8"/>
    <s v="LFTFS"/>
    <n v="200269"/>
    <s v="LFTFS"/>
    <n v="550"/>
    <x v="1"/>
    <s v="Fairfield Inn &amp; Suites Lafayette South"/>
    <x v="8"/>
    <x v="0"/>
  </r>
  <r>
    <x v="8"/>
    <s v="BTRCD"/>
    <n v="200267"/>
    <s v="BTRCD"/>
    <n v="549"/>
    <x v="1"/>
    <s v="Courtyard By Marriott Baton Rouge Downtown"/>
    <x v="8"/>
    <x v="0"/>
  </r>
  <r>
    <x v="8"/>
    <s v="SATSA"/>
    <n v="200265"/>
    <s v="SATSA"/>
    <n v="548"/>
    <x v="1"/>
    <s v="SpringHill Suites By Marriott San Antonio Airport"/>
    <x v="8"/>
    <x v="0"/>
  </r>
  <r>
    <x v="8"/>
    <s v="AEXCY"/>
    <n v="200263"/>
    <s v="AEXCY"/>
    <n v="547"/>
    <x v="1"/>
    <s v="Courtyard By Marriott Alexandria"/>
    <x v="8"/>
    <x v="0"/>
  </r>
  <r>
    <x v="8"/>
    <s v="MAFOD"/>
    <n v="200261"/>
    <s v="MAFOD"/>
    <n v="546"/>
    <x v="1"/>
    <s v="Fairfield Inn &amp; Suites Odessa"/>
    <x v="8"/>
    <x v="0"/>
  </r>
  <r>
    <x v="8"/>
    <s v="ACTHF"/>
    <n v="200259"/>
    <s v="ACTHF"/>
    <n v="545"/>
    <x v="1"/>
    <s v="Fairfield by Marriott Inn &amp; Suites Hillsboro"/>
    <x v="8"/>
    <x v="0"/>
  </r>
  <r>
    <x v="8"/>
    <s v="AUSSN"/>
    <n v="200257"/>
    <s v="AUSSN"/>
    <n v="544"/>
    <x v="1"/>
    <s v="SpringHill Suites by Marriott Austin The Domain Area"/>
    <x v="8"/>
    <x v="0"/>
  </r>
  <r>
    <x v="8"/>
    <s v="OKCSW"/>
    <n v="200255"/>
    <s v="OKCSW"/>
    <n v="543"/>
    <x v="1"/>
    <s v="Fairfield Inn &amp; Suites Chickasha"/>
    <x v="8"/>
    <x v="0"/>
  </r>
  <r>
    <x v="8"/>
    <s v="LITFI"/>
    <n v="200253"/>
    <s v="LITFI"/>
    <n v="542"/>
    <x v="1"/>
    <s v="Fairfield Inn By Marriott North Little Rock"/>
    <x v="8"/>
    <x v="0"/>
  </r>
  <r>
    <x v="8"/>
    <s v="BROSP"/>
    <n v="200251"/>
    <s v="BROSP"/>
    <n v="541"/>
    <x v="1"/>
    <s v="Courtyard By Marriott South Padre Island"/>
    <x v="8"/>
    <x v="0"/>
  </r>
  <r>
    <x v="8"/>
    <s v="ADMSH"/>
    <n v="200249"/>
    <s v="ADMSH"/>
    <n v="540"/>
    <x v="1"/>
    <s v="SpringHill Suites By Marriott Ardmore"/>
    <x v="8"/>
    <x v="0"/>
  </r>
  <r>
    <x v="8"/>
    <s v="FYVBN"/>
    <n v="200247"/>
    <s v="FYVBN"/>
    <n v="539"/>
    <x v="1"/>
    <s v="Courtyard By Marriott Bentonville"/>
    <x v="8"/>
    <x v="0"/>
  </r>
  <r>
    <x v="8"/>
    <s v="CLLHU"/>
    <n v="200245"/>
    <s v="CLLHU"/>
    <n v="538"/>
    <x v="1"/>
    <s v="Fairfield Inn &amp; Suites Huntsville"/>
    <x v="8"/>
    <x v="0"/>
  </r>
  <r>
    <x v="8"/>
    <s v="MEMCG"/>
    <n v="200243"/>
    <s v="MEMCG"/>
    <n v="537"/>
    <x v="1"/>
    <s v="Courtyard By Marriott Memphis East/Galleria"/>
    <x v="8"/>
    <x v="0"/>
  </r>
  <r>
    <x v="8"/>
    <s v="TPAOL"/>
    <n v="200241"/>
    <s v="TPAOL"/>
    <n v="536"/>
    <x v="1"/>
    <s v="Courtyard By Marriott Tampa Oldsmar"/>
    <x v="8"/>
    <x v="0"/>
  </r>
  <r>
    <x v="8"/>
    <s v="SAVIN"/>
    <n v="200239"/>
    <s v="SAVIN"/>
    <n v="535"/>
    <x v="1"/>
    <s v="SpringHill Suites By Marriott Savannah I-95 South"/>
    <x v="8"/>
    <x v="0"/>
  </r>
  <r>
    <x v="8"/>
    <s v="MIADR"/>
    <n v="200235"/>
    <s v="MIADR"/>
    <n v="533"/>
    <x v="1"/>
    <s v="AC Hotel Miami Airport West/Doral"/>
    <x v="8"/>
    <x v="0"/>
  </r>
  <r>
    <x v="8"/>
    <s v="PITNV"/>
    <n v="200233"/>
    <s v="PITNV"/>
    <n v="532"/>
    <x v="1"/>
    <s v="Fairfield Inn &amp; Suites Pittsburgh Neville Island"/>
    <x v="8"/>
    <x v="0"/>
  </r>
  <r>
    <x v="8"/>
    <s v="PITLE"/>
    <n v="200231"/>
    <s v="PITLE"/>
    <n v="531"/>
    <x v="1"/>
    <s v="SpringHill Suites By Marriott Pittsburgh Mt. Lebanon"/>
    <x v="8"/>
    <x v="0"/>
  </r>
  <r>
    <x v="8"/>
    <s v="PWMNC"/>
    <n v="200229"/>
    <s v="PWMNC"/>
    <n v="530"/>
    <x v="1"/>
    <s v="Fairfield Inn &amp; Suites North Conway"/>
    <x v="8"/>
    <x v="0"/>
  </r>
  <r>
    <x v="8"/>
    <s v="NYCOS"/>
    <n v="200227"/>
    <s v="NYCOS"/>
    <n v="529"/>
    <x v="1"/>
    <s v="Moxy NYC Chelsea"/>
    <x v="8"/>
    <x v="0"/>
  </r>
  <r>
    <x v="8"/>
    <s v="PITMV"/>
    <n v="200225"/>
    <s v="PITMV"/>
    <n v="528"/>
    <x v="1"/>
    <s v="SpringHill Suites By Marriott Pittsburgh Monroeville"/>
    <x v="8"/>
    <x v="0"/>
  </r>
  <r>
    <x v="8"/>
    <s v="TOLCW"/>
    <n v="200223"/>
    <s v="TOLCW"/>
    <n v="527"/>
    <x v="1"/>
    <s v="Courtyard By Marriott Toledo West"/>
    <x v="8"/>
    <x v="0"/>
  </r>
  <r>
    <x v="8"/>
    <s v="ORFFC"/>
    <n v="200221"/>
    <s v="ORFFC"/>
    <n v="526"/>
    <x v="1"/>
    <s v="Fairfield Inn &amp; Suites Chesapeake"/>
    <x v="8"/>
    <x v="0"/>
  </r>
  <r>
    <x v="8"/>
    <s v="NYCXB"/>
    <n v="200217"/>
    <s v="NYCXB"/>
    <n v="524"/>
    <x v="1"/>
    <s v="Moxy Brooklyn Williamsburg"/>
    <x v="8"/>
    <x v="0"/>
  </r>
  <r>
    <x v="8"/>
    <s v="PHFFW"/>
    <n v="200215"/>
    <s v="PHFFW"/>
    <n v="523"/>
    <x v="1"/>
    <s v="Fairfield Inn &amp; Suites Williamsburg"/>
    <x v="8"/>
    <x v="0"/>
  </r>
  <r>
    <x v="8"/>
    <s v="ORFOD"/>
    <n v="200213"/>
    <s v="ORFOD"/>
    <n v="522"/>
    <x v="1"/>
    <s v="SpringHill Suites By Marriott Norfolk Old Dominion University"/>
    <x v="8"/>
    <x v="0"/>
  </r>
  <r>
    <x v="8"/>
    <s v="PITCY"/>
    <n v="200211"/>
    <s v="PITCY"/>
    <n v="521"/>
    <x v="1"/>
    <s v="Courtyard By Marriott Pittsburgh Downtown"/>
    <x v="8"/>
    <x v="0"/>
  </r>
  <r>
    <x v="8"/>
    <s v="PITEL"/>
    <n v="200209"/>
    <s v="PITEL"/>
    <n v="520"/>
    <x v="1"/>
    <s v="SpringHill Suites By Marriott Pittsburgh Bakery Square"/>
    <x v="8"/>
    <x v="0"/>
  </r>
  <r>
    <x v="8"/>
    <s v="SHDCY"/>
    <n v="200207"/>
    <s v="SHDCY"/>
    <n v="519"/>
    <x v="1"/>
    <s v="Courtyard By Marriott Harrisonburg"/>
    <x v="8"/>
    <x v="0"/>
  </r>
  <r>
    <x v="8"/>
    <s v="SDFFA"/>
    <n v="200205"/>
    <s v="SDFFA"/>
    <n v="518"/>
    <x v="1"/>
    <s v="Fairfield by Marriott Inn &amp; Suites Louisville Airport"/>
    <x v="8"/>
    <x v="0"/>
  </r>
  <r>
    <x v="8"/>
    <s v="TPAWA"/>
    <n v="200203"/>
    <s v="TPAWA"/>
    <n v="517"/>
    <x v="1"/>
    <s v="Fairfield Inn &amp; Suites Tampa Westshore/Airport"/>
    <x v="8"/>
    <x v="0"/>
  </r>
  <r>
    <x v="8"/>
    <s v="TVCFT"/>
    <n v="200201"/>
    <s v="TVCFT"/>
    <n v="516"/>
    <x v="1"/>
    <s v="Fairfield by Marriott Inn &amp; Suites Traverse City"/>
    <x v="8"/>
    <x v="0"/>
  </r>
  <r>
    <x v="8"/>
    <s v="RICAP"/>
    <n v="200199"/>
    <s v="RICAP"/>
    <n v="515"/>
    <x v="1"/>
    <s v="Courtyard By Marriott Richmond Airport"/>
    <x v="8"/>
    <x v="0"/>
  </r>
  <r>
    <x v="8"/>
    <s v="PBICD"/>
    <n v="200197"/>
    <s v="PBICD"/>
    <n v="514"/>
    <x v="1"/>
    <s v="Courtyard By Marriott Delray Beach"/>
    <x v="8"/>
    <x v="0"/>
  </r>
  <r>
    <x v="8"/>
    <s v="MHTSH"/>
    <n v="200195"/>
    <s v="MHTSH"/>
    <n v="513"/>
    <x v="1"/>
    <s v="SpringHill Suites By Marriott Manchester-Boston Regional Airport"/>
    <x v="8"/>
    <x v="0"/>
  </r>
  <r>
    <x v="8"/>
    <s v="RDUFN"/>
    <n v="200193"/>
    <s v="RDUFN"/>
    <n v="512"/>
    <x v="1"/>
    <s v="Fairfield Inn &amp; Suites Raleigh Capital Blvd./I-540"/>
    <x v="8"/>
    <x v="0"/>
  </r>
  <r>
    <x v="8"/>
    <s v="MCOAL"/>
    <n v="200191"/>
    <s v="MCOAL"/>
    <n v="511"/>
    <x v="1"/>
    <s v="SpringHill Suites By Marriott Orlando Altamonte Springs/Maitland"/>
    <x v="8"/>
    <x v="0"/>
  </r>
  <r>
    <x v="8"/>
    <s v="MIAOX"/>
    <n v="200189"/>
    <s v="MIAOX"/>
    <n v="510"/>
    <x v="1"/>
    <s v="Moxy Miami South Beach"/>
    <x v="8"/>
    <x v="0"/>
  </r>
  <r>
    <x v="8"/>
    <s v="NYCQC"/>
    <n v="200187"/>
    <s v="NYCQC"/>
    <n v="509"/>
    <x v="1"/>
    <s v="SpringHill Suites By Marriott New York LaGuardia Airport"/>
    <x v="8"/>
    <x v="0"/>
  </r>
  <r>
    <x v="8"/>
    <s v="TYSFX"/>
    <n v="200185"/>
    <s v="TYSFX"/>
    <n v="508"/>
    <x v="1"/>
    <s v="Fairfield by Marriott Inn &amp; Suites Knoxville Clinton"/>
    <x v="8"/>
    <x v="0"/>
  </r>
  <r>
    <x v="8"/>
    <s v="SAVPO"/>
    <n v="200183"/>
    <s v="SAVPO"/>
    <n v="507"/>
    <x v="1"/>
    <s v="Courtyard By Marriott Savannah Airport"/>
    <x v="8"/>
    <x v="0"/>
  </r>
  <r>
    <x v="8"/>
    <s v="ORFFW"/>
    <n v="200181"/>
    <s v="ORFFW"/>
    <n v="506"/>
    <x v="1"/>
    <s v="Fairfield by Marriott Inn &amp; Suites Virginia Beach Town Center"/>
    <x v="8"/>
    <x v="0"/>
  </r>
  <r>
    <x v="8"/>
    <s v="RMGCY"/>
    <n v="200179"/>
    <s v="RMGCY"/>
    <n v="505"/>
    <x v="1"/>
    <s v="Courtyard By Marriott Rome Riverwalk"/>
    <x v="8"/>
    <x v="0"/>
  </r>
  <r>
    <x v="8"/>
    <s v="RDUAR"/>
    <n v="200177"/>
    <s v="RDUAR"/>
    <n v="504"/>
    <x v="1"/>
    <s v="AC Hotel Raleigh North Hills"/>
    <x v="8"/>
    <x v="0"/>
  </r>
  <r>
    <x v="8"/>
    <s v="NYCBL"/>
    <n v="200175"/>
    <s v="NYCBL"/>
    <n v="503"/>
    <x v="1"/>
    <s v="Courtyard By Marriott Westbury Long Island"/>
    <x v="8"/>
    <x v="0"/>
  </r>
  <r>
    <x v="8"/>
    <s v="RSWFB"/>
    <n v="200173"/>
    <s v="RSWFB"/>
    <n v="502"/>
    <x v="1"/>
    <s v="Fairfield by Marriott Inn &amp; Suites Bonita Springs"/>
    <x v="8"/>
    <x v="0"/>
  </r>
  <r>
    <x v="8"/>
    <s v="RDUFW"/>
    <n v="200171"/>
    <s v="RDUFW"/>
    <n v="501"/>
    <x v="1"/>
    <s v="Fairfield by Marriott Inn &amp; Suites Raleigh Wake Forest"/>
    <x v="8"/>
    <x v="0"/>
  </r>
  <r>
    <x v="8"/>
    <s v="GSPAC"/>
    <n v="100699"/>
    <s v="GSPAC"/>
    <n v="500"/>
    <x v="0"/>
    <s v="AC Hotel Greenville"/>
    <x v="8"/>
    <x v="0"/>
  </r>
  <r>
    <x v="8"/>
    <s v="FAYRH"/>
    <n v="100697"/>
    <s v="FAYRH"/>
    <n v="499"/>
    <x v="0"/>
    <s v="Fairfield Inn &amp; Suites Rockingham"/>
    <x v="8"/>
    <x v="0"/>
  </r>
  <r>
    <x v="8"/>
    <s v="CHAOX"/>
    <n v="100695"/>
    <s v="CHAOX"/>
    <n v="498"/>
    <x v="0"/>
    <s v="Moxy Chattanooga Downtown"/>
    <x v="8"/>
    <x v="0"/>
  </r>
  <r>
    <x v="9"/>
    <s v="FAYLB"/>
    <n v="100445"/>
    <s v="FAYLB"/>
    <n v="348"/>
    <x v="0"/>
    <s v="Fairfield Inn &amp; Suites Lumberton"/>
    <x v="9"/>
    <x v="0"/>
  </r>
  <r>
    <x v="9"/>
    <s v="DBNFI"/>
    <n v="100471"/>
    <s v="DBNFI"/>
    <n v="361"/>
    <x v="0"/>
    <s v="Fairfield Inn &amp; Suites Dublin"/>
    <x v="9"/>
    <x v="0"/>
  </r>
  <r>
    <x v="9"/>
    <s v="EWNCY"/>
    <n v="100477"/>
    <s v="EWNCY"/>
    <n v="364"/>
    <x v="0"/>
    <s v="Courtyard By Marriott New Bern"/>
    <x v="9"/>
    <x v="0"/>
  </r>
  <r>
    <x v="6"/>
    <s v="EYWFI"/>
    <n v="100495"/>
    <s v="EYWFI"/>
    <n v="373"/>
    <x v="0"/>
    <s v="Fairfield Inn &amp; Suites Key West"/>
    <x v="6"/>
    <x v="0"/>
  </r>
  <r>
    <x v="9"/>
    <s v="DTWFL"/>
    <n v="100513"/>
    <s v="DTWFL"/>
    <n v="382"/>
    <x v="0"/>
    <s v="Fairfield Inn &amp; Suites Detroit Livonia"/>
    <x v="9"/>
    <x v="0"/>
  </r>
  <r>
    <x v="9"/>
    <s v="DTWSF"/>
    <n v="100513"/>
    <s v="DTWSF"/>
    <n v="394"/>
    <x v="0"/>
    <s v="Courtyard By Marriott Detroit Southfield"/>
    <x v="9"/>
    <x v="0"/>
  </r>
  <r>
    <x v="9"/>
    <s v="DXRCY"/>
    <n v="100571"/>
    <s v="DXRCY"/>
    <n v="411"/>
    <x v="0"/>
    <s v="Courtyard By Marriott Danbury"/>
    <x v="9"/>
    <x v="0"/>
  </r>
  <r>
    <x v="9"/>
    <s v="DAYUD"/>
    <n v="100581"/>
    <s v="DAYUD"/>
    <n v="416"/>
    <x v="0"/>
    <s v="Courtyard By Marriott Dayton-University of Dayton"/>
    <x v="9"/>
    <x v="0"/>
  </r>
  <r>
    <x v="9"/>
    <s v="DTWFH"/>
    <n v="100589"/>
    <s v="DTWFH"/>
    <n v="420"/>
    <x v="0"/>
    <s v="Fairfield Inn &amp; Suites Detroit Farmington Hills"/>
    <x v="9"/>
    <x v="0"/>
  </r>
  <r>
    <x v="9"/>
    <s v="DTWMB"/>
    <n v="100623"/>
    <s v="DTWMB"/>
    <n v="437"/>
    <x v="0"/>
    <s v="Fairfield Inn &amp; Suites Detroit Chesterfield"/>
    <x v="9"/>
    <x v="0"/>
  </r>
  <r>
    <x v="9"/>
    <s v="FAYDN"/>
    <n v="100633"/>
    <s v="FAYDN"/>
    <n v="442"/>
    <x v="0"/>
    <s v="Fairfield Inn &amp; Suites Dunn I-95"/>
    <x v="9"/>
    <x v="0"/>
  </r>
  <r>
    <x v="9"/>
    <s v="EVVFW"/>
    <n v="100655"/>
    <s v="EVVFW"/>
    <n v="454"/>
    <x v="0"/>
    <s v="Fairfield Inn By Marriott Evansville West"/>
    <x v="9"/>
    <x v="0"/>
  </r>
  <r>
    <x v="9"/>
    <s v="DSMFD"/>
    <n v="100663"/>
    <s v="DSMFD"/>
    <n v="461"/>
    <x v="0"/>
    <s v="Fairfield Inn &amp; Suites Des Moines Downtown"/>
    <x v="9"/>
    <x v="0"/>
  </r>
  <r>
    <x v="9"/>
    <s v="DSMFO"/>
    <n v="100667"/>
    <s v="DSMFO"/>
    <n v="467"/>
    <x v="0"/>
    <s v="Fairfield by Marriott Inn &amp; Suites Oskaloosa"/>
    <x v="9"/>
    <x v="0"/>
  </r>
  <r>
    <x v="9"/>
    <s v="DLHFW"/>
    <n v="100669"/>
    <s v="DLHFW"/>
    <n v="468"/>
    <x v="0"/>
    <s v="Fairfield Inn &amp; Suites Duluth Waterfront"/>
    <x v="9"/>
    <x v="0"/>
  </r>
  <r>
    <x v="9"/>
    <s v="DSMTO"/>
    <n v="100675"/>
    <s v="DSMTO"/>
    <n v="472"/>
    <x v="0"/>
    <s v="Fairfield Inn &amp; Suites Des Moines Altoona"/>
    <x v="9"/>
    <x v="0"/>
  </r>
  <r>
    <x v="9"/>
    <s v="FLGSH"/>
    <n v="200165"/>
    <s v="FLGSH"/>
    <n v="495"/>
    <x v="1"/>
    <s v="SpringHill Suites By Marriott Flagstaff"/>
    <x v="9"/>
    <x v="0"/>
  </r>
  <r>
    <x v="9"/>
    <s v="IGMSH"/>
    <n v="200761"/>
    <s v="IGMSH"/>
    <n v="917"/>
    <x v="1"/>
    <s v="SpringHill Suites By Marriott Kingman Route 66"/>
    <x v="9"/>
    <x v="0"/>
  </r>
  <r>
    <x v="9"/>
    <s v="PDXPF"/>
    <n v="200759"/>
    <s v="PDXPF"/>
    <n v="916"/>
    <x v="1"/>
    <s v="Fairfield Inn &amp; Suites Portland North"/>
    <x v="9"/>
    <x v="0"/>
  </r>
  <r>
    <x v="9"/>
    <s v="LAXCY"/>
    <n v="200757"/>
    <s v="LAXCY"/>
    <n v="915"/>
    <x v="1"/>
    <s v="Courtyard By Marriott Los Angeles LAX/Century Boulevard"/>
    <x v="9"/>
    <x v="0"/>
  </r>
  <r>
    <x v="9"/>
    <s v="LAXAB"/>
    <n v="200755"/>
    <s v="LAXAB"/>
    <n v="914"/>
    <x v="1"/>
    <s v="AC Hotel Beverly Hills"/>
    <x v="9"/>
    <x v="0"/>
  </r>
  <r>
    <x v="9"/>
    <s v="MFRCY"/>
    <n v="200753"/>
    <s v="MFRCY"/>
    <n v="913"/>
    <x v="1"/>
    <s v="Courtyard By Marriott Medford Airport"/>
    <x v="9"/>
    <x v="0"/>
  </r>
  <r>
    <x v="9"/>
    <s v="LAXAM"/>
    <n v="200751"/>
    <s v="LAXAM"/>
    <n v="912"/>
    <x v="1"/>
    <s v="Fairfield Inn By Marriott Anaheim Hills Orange County"/>
    <x v="9"/>
    <x v="0"/>
  </r>
  <r>
    <x v="9"/>
    <s v="LAXMO"/>
    <s v="200749"/>
    <s v="LAXMO"/>
    <n v="911"/>
    <x v="1"/>
    <s v="Courtyard By Marriott Santa Monica"/>
    <x v="9"/>
    <x v="0"/>
  </r>
  <r>
    <x v="9"/>
    <s v="LAXCE"/>
    <n v="200747"/>
    <s v="LAXCE"/>
    <n v="910"/>
    <x v="1"/>
    <s v="Courtyard By Marriott Los Angeles Century City/Beverly Hills"/>
    <x v="9"/>
    <x v="0"/>
  </r>
  <r>
    <x v="9"/>
    <s v="LAXMP"/>
    <n v="200745"/>
    <s v="LAXMP"/>
    <n v="909"/>
    <x v="1"/>
    <s v="Courtyard By Marriott Los Angeles Monterey Park"/>
    <x v="9"/>
    <x v="0"/>
  </r>
  <r>
    <x v="9"/>
    <s v="OTSFS"/>
    <n v="200743"/>
    <s v="OTSFS"/>
    <n v="908"/>
    <x v="1"/>
    <s v="Fairfield Inn &amp; Suites Burlington"/>
    <x v="9"/>
    <x v="0"/>
  </r>
  <r>
    <x v="9"/>
    <s v="LAXAE"/>
    <n v="200741"/>
    <s v="LAXAE"/>
    <n v="907"/>
    <x v="1"/>
    <s v="AC Hotel Los Angeles South Bay"/>
    <x v="9"/>
    <x v="0"/>
  </r>
  <r>
    <x v="9"/>
    <s v="PHXDT"/>
    <n v="200739"/>
    <s v="PHXDT"/>
    <n v="906"/>
    <x v="1"/>
    <s v="SpringHill Suites By Marriott Phoenix Downtown"/>
    <x v="9"/>
    <x v="0"/>
  </r>
  <r>
    <x v="9"/>
    <s v="DALIR"/>
    <n v="200737"/>
    <s v="DALIR"/>
    <n v="905"/>
    <x v="1"/>
    <s v="SpringHill Suites By Marriott Dallas DFW Airport East/Las Colinas Irving"/>
    <x v="9"/>
    <x v="0"/>
  </r>
  <r>
    <x v="9"/>
    <s v="MSNMW"/>
    <n v="200735"/>
    <s v="MSNMW"/>
    <n v="904"/>
    <x v="1"/>
    <s v="Fairfield Inn &amp; Suites Madison West/Middleton"/>
    <x v="9"/>
    <x v="0"/>
  </r>
  <r>
    <x v="9"/>
    <s v="HOUIC"/>
    <n v="200733"/>
    <s v="HOUIC"/>
    <n v="903"/>
    <x v="1"/>
    <s v="Fairfield Inn &amp; Suites Houston Intercontinental Airport"/>
    <x v="9"/>
    <x v="0"/>
  </r>
  <r>
    <x v="9"/>
    <s v="FOECY"/>
    <n v="200731"/>
    <s v="FOECY"/>
    <n v="902"/>
    <x v="1"/>
    <s v="Courtyard By Marriott Topeka"/>
    <x v="9"/>
    <x v="0"/>
  </r>
  <r>
    <x v="9"/>
    <s v="BTRRO"/>
    <n v="200729"/>
    <s v="BTRRO"/>
    <n v="901"/>
    <x v="1"/>
    <s v="SpringHill Suites By Marriott Baton Rouge Gonzales"/>
    <x v="9"/>
    <x v="0"/>
  </r>
  <r>
    <x v="9"/>
    <s v="AUSFS"/>
    <n v="200727"/>
    <s v="AUSFS"/>
    <n v="900"/>
    <x v="1"/>
    <s v="Fairfield Inn &amp; Suites Austin South"/>
    <x v="9"/>
    <x v="0"/>
  </r>
  <r>
    <x v="9"/>
    <s v="BHMFP"/>
    <n v="200725"/>
    <s v="BHMFP"/>
    <n v="899"/>
    <x v="1"/>
    <s v="Fairfield Inn &amp; Suites Birmingham Pelham"/>
    <x v="9"/>
    <x v="0"/>
  </r>
  <r>
    <x v="9"/>
    <s v="JANSH"/>
    <n v="200723"/>
    <s v="JANSH"/>
    <n v="898"/>
    <x v="1"/>
    <s v="SpringHill Suites By Marriott Jackson Ridgeland/The Township at Colony Park"/>
    <x v="9"/>
    <x v="0"/>
  </r>
  <r>
    <x v="9"/>
    <s v="PFNCY"/>
    <n v="200721"/>
    <s v="PFNCY"/>
    <n v="897"/>
    <x v="1"/>
    <s v="Courtyard By Marriott Panama City"/>
    <x v="9"/>
    <x v="0"/>
  </r>
  <r>
    <x v="9"/>
    <s v="MSPST"/>
    <n v="200719"/>
    <s v="MSPST"/>
    <n v="896"/>
    <x v="1"/>
    <s v="SpringHill Suites By Marriott St. Paul Arden Hills"/>
    <x v="9"/>
    <x v="0"/>
  </r>
  <r>
    <x v="9"/>
    <s v="HOUPS"/>
    <n v="200717"/>
    <s v="HOUPS"/>
    <n v="895"/>
    <x v="1"/>
    <s v="Courtyard By Marriott Houston I-10 West/Park Row"/>
    <x v="9"/>
    <x v="0"/>
  </r>
  <r>
    <x v="9"/>
    <s v="HOULN"/>
    <n v="200715"/>
    <s v="HOULN"/>
    <n v="894"/>
    <x v="1"/>
    <s v="SpringHill Suites By Marriott Houston The Woodlands"/>
    <x v="9"/>
    <x v="0"/>
  </r>
  <r>
    <x v="9"/>
    <s v="DALLL"/>
    <n v="200713"/>
    <s v="DALLL"/>
    <n v="893"/>
    <x v="1"/>
    <s v="Courtyard By Marriott Dallas Lewisville"/>
    <x v="9"/>
    <x v="0"/>
  </r>
  <r>
    <x v="9"/>
    <s v="BNAFL"/>
    <n v="200711"/>
    <s v="BNAFL"/>
    <n v="892"/>
    <x v="1"/>
    <s v="Fairfield Inn &amp; Suites Franklin Cool Springs"/>
    <x v="9"/>
    <x v="0"/>
  </r>
  <r>
    <x v="9"/>
    <s v="SATNE"/>
    <n v="200709"/>
    <s v="SATNE"/>
    <n v="891"/>
    <x v="1"/>
    <s v="Fairfield Inn &amp; Suites San Antonio NE/Schertz"/>
    <x v="9"/>
    <x v="0"/>
  </r>
  <r>
    <x v="9"/>
    <s v="DFWDN"/>
    <n v="200707"/>
    <s v="DFWDN"/>
    <n v="890"/>
    <x v="1"/>
    <s v="Fairfield Inn &amp; Suites Denton"/>
    <x v="9"/>
    <x v="0"/>
  </r>
  <r>
    <x v="9"/>
    <s v="TCLCY"/>
    <n v="200705"/>
    <s v="TCLCY"/>
    <n v="889"/>
    <x v="1"/>
    <s v="Courtyard By Marriott Tuscaloosa"/>
    <x v="9"/>
    <x v="0"/>
  </r>
  <r>
    <x v="9"/>
    <s v="RFDBL"/>
    <n v="200703"/>
    <s v="RFDBL"/>
    <n v="888"/>
    <x v="1"/>
    <s v="Fairfield Inn &amp; Suites Beloit"/>
    <x v="9"/>
    <x v="0"/>
  </r>
  <r>
    <x v="9"/>
    <s v="ALOFW"/>
    <n v="200701"/>
    <s v="ALOFW"/>
    <n v="887"/>
    <x v="1"/>
    <s v="Fairfield Inn &amp; Suites Waterloo Cedar Falls"/>
    <x v="9"/>
    <x v="0"/>
  </r>
  <r>
    <x v="9"/>
    <s v="HOUCW"/>
    <n v="200699"/>
    <s v="HOUCW"/>
    <n v="886"/>
    <x v="1"/>
    <s v="Courtyard By Marriott Houston Heights/I-10"/>
    <x v="9"/>
    <x v="0"/>
  </r>
  <r>
    <x v="9"/>
    <s v="TULMK"/>
    <n v="200697"/>
    <s v="TULMK"/>
    <n v="885"/>
    <x v="1"/>
    <s v="Fairfield Inn &amp; Suites Muskogee"/>
    <x v="9"/>
    <x v="0"/>
  </r>
  <r>
    <x v="9"/>
    <s v="HOUWK"/>
    <n v="200695"/>
    <s v="HOUWK"/>
    <n v="884"/>
    <x v="1"/>
    <s v="Courtyard By Marriott Houston I-10 West/Energy Corridor"/>
    <x v="9"/>
    <x v="0"/>
  </r>
  <r>
    <x v="9"/>
    <s v="DALCD"/>
    <n v="200693"/>
    <s v="DALCD"/>
    <n v="883"/>
    <x v="1"/>
    <s v="Courtyard By Marriott Dallas Midlothian at Midlothian Conference Center"/>
    <x v="9"/>
    <x v="0"/>
  </r>
  <r>
    <x v="9"/>
    <s v="HOUPL"/>
    <n v="200691"/>
    <s v="HOUPL"/>
    <n v="882"/>
    <x v="1"/>
    <s v="SpringHill Suites By Marriott Houston Pearland"/>
    <x v="9"/>
    <x v="0"/>
  </r>
  <r>
    <x v="9"/>
    <s v="CGICY"/>
    <n v="200689"/>
    <s v="CGICY"/>
    <n v="881"/>
    <x v="1"/>
    <s v="Courtyard By Marriott Cape Girardeau Downtown"/>
    <x v="9"/>
    <x v="0"/>
  </r>
  <r>
    <x v="9"/>
    <s v="MCILB"/>
    <n v="200687"/>
    <s v="MCILB"/>
    <n v="880"/>
    <x v="1"/>
    <s v="Fairfield Inn &amp; Suites Kansas City Liberty"/>
    <x v="9"/>
    <x v="0"/>
  </r>
  <r>
    <x v="9"/>
    <s v="HOUPD"/>
    <n v="200685"/>
    <s v="HOUPD"/>
    <n v="879"/>
    <x v="1"/>
    <s v="Fairfield Inn &amp; Suites Houston Pasadena"/>
    <x v="9"/>
    <x v="0"/>
  </r>
  <r>
    <x v="9"/>
    <s v="DALEH"/>
    <n v="200683"/>
    <s v="DALEH"/>
    <n v="878"/>
    <x v="1"/>
    <s v="Fairfield Inn &amp; Suites Dallas Cedar Hill"/>
    <x v="9"/>
    <x v="0"/>
  </r>
  <r>
    <x v="9"/>
    <s v="GRIGI"/>
    <n v="200681"/>
    <s v="GRIGI"/>
    <n v="877"/>
    <x v="1"/>
    <s v="Fairfield Inn &amp; Suites Grand Island"/>
    <x v="9"/>
    <x v="0"/>
  </r>
  <r>
    <x v="9"/>
    <s v="CHICR"/>
    <n v="200679"/>
    <s v="CHICR"/>
    <n v="876"/>
    <x v="1"/>
    <s v="Fairfield Inn &amp; Suites Chicago St. Charles"/>
    <x v="9"/>
    <x v="0"/>
  </r>
  <r>
    <x v="9"/>
    <s v="DALAD"/>
    <n v="200677"/>
    <s v="DALAD"/>
    <n v="875"/>
    <x v="1"/>
    <s v="Courtyard By Marriott Dallas Addison/Midway"/>
    <x v="9"/>
    <x v="0"/>
  </r>
  <r>
    <x v="9"/>
    <s v="DFWSI"/>
    <n v="200675"/>
    <s v="DFWSI"/>
    <n v="874"/>
    <x v="1"/>
    <s v="Fairfield Inn &amp; Suites Dallas DFW Airport South/Irving"/>
    <x v="9"/>
    <x v="0"/>
  </r>
  <r>
    <x v="9"/>
    <s v="DALVL"/>
    <n v="200673"/>
    <s v="DALVL"/>
    <n v="873"/>
    <x v="1"/>
    <s v="SpringHill Suites By Marriott Dallas Lewisville"/>
    <x v="9"/>
    <x v="0"/>
  </r>
  <r>
    <x v="9"/>
    <s v="AUSAA"/>
    <n v="200671"/>
    <s v="AUSAA"/>
    <n v="872"/>
    <x v="1"/>
    <s v="Courtyard By Marriott Austin Airport"/>
    <x v="9"/>
    <x v="0"/>
  </r>
  <r>
    <x v="9"/>
    <s v="OKCAW"/>
    <n v="200669"/>
    <s v="OKCAW"/>
    <n v="871"/>
    <x v="1"/>
    <s v="SpringHill Suites By Marriott Oklahoma City Airport West"/>
    <x v="9"/>
    <x v="0"/>
  </r>
  <r>
    <x v="9"/>
    <s v="DALQD"/>
    <n v="200667"/>
    <s v="DALQD"/>
    <n v="870"/>
    <x v="1"/>
    <s v="Courtyard By Marriott Dallas Addison/Quorum Drive"/>
    <x v="9"/>
    <x v="0"/>
  </r>
  <r>
    <x v="9"/>
    <s v="SATPT"/>
    <n v="200665"/>
    <s v="SATPT"/>
    <n v="869"/>
    <x v="1"/>
    <s v="Fairfield Inn &amp; Suites Pleasanton"/>
    <x v="9"/>
    <x v="0"/>
  </r>
  <r>
    <x v="9"/>
    <s v="ICTFD"/>
    <n v="200663"/>
    <s v="ICTFD"/>
    <n v="868"/>
    <x v="1"/>
    <s v="Fairfield Inn &amp; Suites Wichita Downtown"/>
    <x v="9"/>
    <x v="0"/>
  </r>
  <r>
    <x v="9"/>
    <s v="DFWAT"/>
    <n v="200661"/>
    <s v="DFWAT"/>
    <n v="867"/>
    <x v="1"/>
    <s v="Courtyard By Marriott Fort Worth at Alliance Town Center"/>
    <x v="9"/>
    <x v="0"/>
  </r>
  <r>
    <x v="9"/>
    <s v="TCLFI"/>
    <n v="200659"/>
    <s v="TCLFI"/>
    <n v="866"/>
    <x v="1"/>
    <s v="Fairfield Inn By Marriott Tuscaloosa"/>
    <x v="9"/>
    <x v="0"/>
  </r>
  <r>
    <x v="9"/>
    <s v="PNSCY"/>
    <n v="200657"/>
    <s v="PNSCY"/>
    <n v="865"/>
    <x v="1"/>
    <s v="Courtyard By Marriott Pensacola"/>
    <x v="9"/>
    <x v="0"/>
  </r>
  <r>
    <x v="9"/>
    <s v="ABISN"/>
    <n v="200655"/>
    <s v="ABISN"/>
    <n v="864"/>
    <x v="1"/>
    <s v="Fairfield Inn &amp; Suites Snyder"/>
    <x v="9"/>
    <x v="0"/>
  </r>
  <r>
    <x v="9"/>
    <s v="LITRV"/>
    <n v="200653"/>
    <s v="LITRV"/>
    <n v="863"/>
    <x v="1"/>
    <s v="Fairfield Inn &amp; Suites Russellville"/>
    <x v="9"/>
    <x v="0"/>
  </r>
  <r>
    <x v="9"/>
    <s v="AUSST"/>
    <n v="200651"/>
    <s v="AUSST"/>
    <n v="862"/>
    <x v="1"/>
    <s v="SpringHill Suites By Marriott Austin South"/>
    <x v="9"/>
    <x v="0"/>
  </r>
  <r>
    <x v="9"/>
    <s v="CHIFS"/>
    <n v="200649"/>
    <s v="CHIFS"/>
    <n v="861"/>
    <x v="1"/>
    <s v="Fairfield Inn &amp; Suites Chicago Lombard"/>
    <x v="9"/>
    <x v="0"/>
  </r>
  <r>
    <x v="9"/>
    <s v="DALWF"/>
    <n v="200647"/>
    <s v="DALWF"/>
    <n v="860"/>
    <x v="1"/>
    <s v="Fairfield Inn &amp; Suites Dallas West/I-30"/>
    <x v="9"/>
    <x v="0"/>
  </r>
  <r>
    <x v="9"/>
    <s v="PNSFF"/>
    <n v="200645"/>
    <s v="PNSFF"/>
    <n v="859"/>
    <x v="1"/>
    <s v="Fairfield by Marriott Inn &amp; Suites Pensacola Pine Forest"/>
    <x v="9"/>
    <x v="0"/>
  </r>
  <r>
    <x v="9"/>
    <s v="PNSCW"/>
    <n v="200643"/>
    <s v="PNSCW"/>
    <n v="858"/>
    <x v="1"/>
    <s v="Courtyard by Marriott Pensacola I-10 West"/>
    <x v="9"/>
    <x v="0"/>
  </r>
  <r>
    <x v="9"/>
    <s v="CRPFW"/>
    <n v="200641"/>
    <s v="CRPFW"/>
    <n v="857"/>
    <x v="1"/>
    <s v="Fairfield by Marriott Inn &amp; Suites Corpus Christi Central"/>
    <x v="9"/>
    <x v="0"/>
  </r>
  <r>
    <x v="9"/>
    <s v="HOUKW"/>
    <n v="200639"/>
    <s v="HOUKW"/>
    <n v="856"/>
    <x v="1"/>
    <s v="Courtyard By Marriott Houston Kingwood"/>
    <x v="9"/>
    <x v="0"/>
  </r>
  <r>
    <x v="9"/>
    <s v="HOUKF"/>
    <n v="200637"/>
    <s v="HOUKF"/>
    <n v="855"/>
    <x v="1"/>
    <s v="SpringHill Suites By Marriott Houston Katy Mills"/>
    <x v="9"/>
    <x v="0"/>
  </r>
  <r>
    <x v="9"/>
    <s v="HOUFC"/>
    <n v="200635"/>
    <s v="HOUFC"/>
    <n v="854"/>
    <x v="1"/>
    <s v="Fairfield Inn &amp; Suites Houston Westchase"/>
    <x v="9"/>
    <x v="0"/>
  </r>
  <r>
    <x v="9"/>
    <s v="MSNAC"/>
    <n v="200633"/>
    <s v="MSNAC"/>
    <n v="853"/>
    <x v="1"/>
    <s v="AC Hotel Madison Downtown"/>
    <x v="9"/>
    <x v="0"/>
  </r>
  <r>
    <x v="9"/>
    <s v="BNASY"/>
    <n v="200631"/>
    <s v="BNASY"/>
    <n v="852"/>
    <x v="1"/>
    <s v="Fairfield Inn &amp; Suites Nashville Smyrna"/>
    <x v="9"/>
    <x v="0"/>
  </r>
  <r>
    <x v="9"/>
    <s v="HOUZN"/>
    <n v="200629"/>
    <s v="HOUZN"/>
    <n v="851"/>
    <x v="1"/>
    <s v="SpringHill Suites By Marriott Houston Northwest"/>
    <x v="9"/>
    <x v="0"/>
  </r>
  <r>
    <x v="9"/>
    <s v="LRDFI"/>
    <n v="200627"/>
    <s v="LRDFI"/>
    <n v="850"/>
    <x v="1"/>
    <s v="Fairfield Inn &amp; Suites Laredo"/>
    <x v="9"/>
    <x v="0"/>
  </r>
  <r>
    <x v="9"/>
    <s v="HOUBT"/>
    <n v="200625"/>
    <s v="HOUBT"/>
    <n v="849"/>
    <x v="1"/>
    <s v="SpringHill Suites By Marriott Houston Baytown"/>
    <x v="9"/>
    <x v="0"/>
  </r>
  <r>
    <x v="9"/>
    <s v="SLNCY"/>
    <n v="200623"/>
    <s v="SLNCY"/>
    <n v="848"/>
    <x v="1"/>
    <s v="Courtyard By Marriott Salina"/>
    <x v="9"/>
    <x v="0"/>
  </r>
  <r>
    <x v="9"/>
    <s v="BHMBF"/>
    <n v="200621"/>
    <s v="BHMBF"/>
    <n v="847"/>
    <x v="1"/>
    <s v="Fairfield Inn &amp; Suites Birmingham Fultondale/I-65"/>
    <x v="9"/>
    <x v="0"/>
  </r>
  <r>
    <x v="9"/>
    <s v="MEIFI"/>
    <n v="200619"/>
    <s v="MEIFI"/>
    <n v="846"/>
    <x v="1"/>
    <s v="Fairfield Inn &amp; Suites Meridian"/>
    <x v="9"/>
    <x v="0"/>
  </r>
  <r>
    <x v="9"/>
    <s v="DALWD"/>
    <n v="200617"/>
    <s v="DALWD"/>
    <n v="845"/>
    <x v="1"/>
    <s v="Courtyard By Marriott Dallas Downtown/Reunion District"/>
    <x v="9"/>
    <x v="0"/>
  </r>
  <r>
    <x v="9"/>
    <s v="SOSFI"/>
    <n v="200615"/>
    <s v="SOSFI"/>
    <n v="844"/>
    <x v="1"/>
    <s v="Fairfield Inn &amp; Suites Somerset"/>
    <x v="9"/>
    <x v="0"/>
  </r>
  <r>
    <x v="9"/>
    <s v="ATLCT"/>
    <n v="200613"/>
    <s v="ATLCT"/>
    <n v="843"/>
    <x v="1"/>
    <s v="Courtyard By Marriott Cartersville"/>
    <x v="9"/>
    <x v="0"/>
  </r>
  <r>
    <x v="9"/>
    <s v="BOSMF"/>
    <n v="200611"/>
    <s v="BOSMF"/>
    <n v="842"/>
    <x v="1"/>
    <s v="Fairfield Inn &amp; Suites Boston Marlborough/Apex Center"/>
    <x v="9"/>
    <x v="0"/>
  </r>
  <r>
    <x v="9"/>
    <s v="OCWFI"/>
    <n v="200609"/>
    <s v="OCWFI"/>
    <n v="841"/>
    <x v="1"/>
    <s v="Fairfield Inn &amp; Suites Washington"/>
    <x v="9"/>
    <x v="0"/>
  </r>
  <r>
    <x v="9"/>
    <s v="HKYFY"/>
    <n v="200607"/>
    <s v="HKYFY"/>
    <n v="840"/>
    <x v="1"/>
    <s v="Fairfield Inn &amp; Suites Hickory"/>
    <x v="9"/>
    <x v="0"/>
  </r>
  <r>
    <x v="9"/>
    <s v="EWBFI"/>
    <n v="200605"/>
    <s v="EWBFI"/>
    <n v="839"/>
    <x v="1"/>
    <s v="Fairfield Inn &amp; Suites New Bedford"/>
    <x v="9"/>
    <x v="0"/>
  </r>
  <r>
    <x v="9"/>
    <s v="LGAEW"/>
    <n v="200603"/>
    <s v="LGAEW"/>
    <n v="838"/>
    <x v="1"/>
    <s v="Courtyard By Marriott Edgewater NYC Area"/>
    <x v="9"/>
    <x v="0"/>
  </r>
  <r>
    <x v="9"/>
    <s v="CAEFN"/>
    <n v="200601"/>
    <s v="CAEFN"/>
    <n v="837"/>
    <x v="1"/>
    <s v="Fairfield by Marriott Inn &amp; Suites Columbia Harbison"/>
    <x v="9"/>
    <x v="0"/>
  </r>
  <r>
    <x v="9"/>
    <s v="RDUFM"/>
    <n v="200599"/>
    <s v="RDUFM"/>
    <n v="836"/>
    <x v="1"/>
    <s v="Fairfield Inn &amp; Suites Mebane"/>
    <x v="9"/>
    <x v="0"/>
  </r>
  <r>
    <x v="9"/>
    <s v="PHLIG"/>
    <n v="200597"/>
    <s v="PHLIG"/>
    <n v="835"/>
    <x v="1"/>
    <s v="Fairfield Inn &amp; Suites Philadelphia Valley Forge/Great Valley"/>
    <x v="9"/>
    <x v="0"/>
  </r>
  <r>
    <x v="9"/>
    <s v="RDURL"/>
    <n v="200595"/>
    <s v="RDURL"/>
    <n v="834"/>
    <x v="1"/>
    <s v="SpringHill Suites By Marriott Durham Chapel Hill"/>
    <x v="9"/>
    <x v="0"/>
  </r>
  <r>
    <x v="9"/>
    <s v="OKKCY"/>
    <n v="200593"/>
    <s v="OKKCY"/>
    <n v="833"/>
    <x v="1"/>
    <s v="Courtyard By Marriott Kokomo"/>
    <x v="9"/>
    <x v="0"/>
  </r>
  <r>
    <x v="6"/>
    <s v="PHLVF"/>
    <n v="200591"/>
    <s v="PHLVF"/>
    <n v="832"/>
    <x v="1"/>
    <e v="#N/A"/>
    <x v="6"/>
    <x v="0"/>
  </r>
  <r>
    <x v="9"/>
    <s v="TYSKE"/>
    <n v="200589"/>
    <s v="TYSKE"/>
    <n v="831"/>
    <x v="1"/>
    <s v="Fairfield Inn &amp; Suites Knoxville East"/>
    <x v="9"/>
    <x v="0"/>
  </r>
  <r>
    <x v="9"/>
    <s v="AVPCY"/>
    <n v="200587"/>
    <s v="AVPCY"/>
    <n v="830"/>
    <x v="1"/>
    <s v="Courtyard By Marriott Wilkes-Barre Arena"/>
    <x v="9"/>
    <x v="0"/>
  </r>
  <r>
    <x v="9"/>
    <s v="RDUNW"/>
    <n v="200585"/>
    <s v="RDUNW"/>
    <n v="829"/>
    <x v="1"/>
    <s v="Courtyard By Marriott Raleigh Cary/Parkside Town Commons"/>
    <x v="9"/>
    <x v="0"/>
  </r>
  <r>
    <x v="9"/>
    <s v="BTLCY"/>
    <n v="200583"/>
    <s v="BTLCY"/>
    <n v="828"/>
    <x v="1"/>
    <s v="Courtyard By Marriott Battle Creek"/>
    <x v="9"/>
    <x v="0"/>
  </r>
  <r>
    <x v="9"/>
    <s v="EWRPP"/>
    <n v="200581"/>
    <s v="EWRPP"/>
    <n v="827"/>
    <x v="1"/>
    <s v="Fairfield Inn &amp; Suites Parsippany"/>
    <x v="9"/>
    <x v="0"/>
  </r>
  <r>
    <x v="9"/>
    <s v="AHNFH"/>
    <n v="200579"/>
    <s v="AHNFH"/>
    <n v="826"/>
    <x v="1"/>
    <s v="Fairfield by Marriott Inn &amp; Suites Helen"/>
    <x v="9"/>
    <x v="0"/>
  </r>
  <r>
    <x v="9"/>
    <s v="GSPGD"/>
    <n v="200577"/>
    <s v="GSPGD"/>
    <n v="825"/>
    <x v="1"/>
    <s v="Courtyard By Marriott Greenville Downtown"/>
    <x v="9"/>
    <x v="0"/>
  </r>
  <r>
    <x v="9"/>
    <s v="ATLSH"/>
    <n v="200575"/>
    <s v="ATLSH"/>
    <n v="824"/>
    <x v="1"/>
    <s v="SpringHill Suites By Marriott Newnan"/>
    <x v="9"/>
    <x v="0"/>
  </r>
  <r>
    <x v="9"/>
    <s v="PBGFI"/>
    <n v="200573"/>
    <s v="PBGFI"/>
    <n v="823"/>
    <x v="1"/>
    <s v="Fairfield Inn &amp; Suites Plattsburgh"/>
    <x v="9"/>
    <x v="0"/>
  </r>
  <r>
    <x v="9"/>
    <s v="BOSBG"/>
    <n v="200571"/>
    <s v="BOSBG"/>
    <n v="822"/>
    <x v="1"/>
    <s v="Fairfield Inn &amp; Suites Boston Cambridge"/>
    <x v="9"/>
    <x v="0"/>
  </r>
  <r>
    <x v="9"/>
    <s v="PHLDF"/>
    <n v="200569"/>
    <s v="PHLDF"/>
    <n v="821"/>
    <x v="1"/>
    <s v="Fairfield Inn By Marriott Deptford"/>
    <x v="9"/>
    <x v="0"/>
  </r>
  <r>
    <x v="9"/>
    <s v="MIADT"/>
    <n v="200567"/>
    <s v="MIADT"/>
    <n v="820"/>
    <x v="1"/>
    <s v="Courtyard By Marriott Miami Downtown/Brickell Area"/>
    <x v="9"/>
    <x v="0"/>
  </r>
  <r>
    <x v="9"/>
    <s v="NYCBF"/>
    <n v="200565"/>
    <s v="NYCBF"/>
    <n v="819"/>
    <x v="1"/>
    <s v="Fairfield Inn &amp; Suites New York Brooklyn"/>
    <x v="9"/>
    <x v="0"/>
  </r>
  <r>
    <x v="9"/>
    <s v="DTTSD"/>
    <n v="200563"/>
    <s v="DTTSD"/>
    <n v="818"/>
    <x v="1"/>
    <s v="SpringHill Suites By Marriott Detroit Dearborn"/>
    <x v="9"/>
    <x v="0"/>
  </r>
  <r>
    <x v="9"/>
    <s v="RICFW"/>
    <n v="200561"/>
    <s v="RICFW"/>
    <n v="817"/>
    <x v="1"/>
    <s v="Fairfield Inn &amp; Suites Richmond Midlothian"/>
    <x v="9"/>
    <x v="0"/>
  </r>
  <r>
    <x v="9"/>
    <s v="AVPFI"/>
    <n v="200559"/>
    <s v="AVPFI"/>
    <n v="816"/>
    <x v="1"/>
    <s v="Fairfield Inn &amp; Suites Wilkes-Barre Scranton"/>
    <x v="9"/>
    <x v="0"/>
  </r>
  <r>
    <x v="9"/>
    <s v="RDUWT"/>
    <n v="200557"/>
    <s v="RDUWT"/>
    <n v="815"/>
    <x v="1"/>
    <s v="Fairfield by Marriott Inn &amp; Suites Whitsett Greensboro East"/>
    <x v="9"/>
    <x v="0"/>
  </r>
  <r>
    <x v="9"/>
    <s v="ATLLL"/>
    <n v="200555"/>
    <s v="ATLLL"/>
    <n v="814"/>
    <x v="1"/>
    <s v="Courtyard By Marriott Carrollton"/>
    <x v="9"/>
    <x v="0"/>
  </r>
  <r>
    <x v="9"/>
    <s v="MCOMA"/>
    <n v="200551"/>
    <s v="MCOMA"/>
    <n v="812"/>
    <x v="1"/>
    <s v="Courtyard By Marriott Orlando Downtown"/>
    <x v="9"/>
    <x v="0"/>
  </r>
  <r>
    <x v="9"/>
    <s v="ATLGY"/>
    <n v="200549"/>
    <s v="ATLGY"/>
    <n v="811"/>
    <x v="1"/>
    <s v="Courtyard by Marriott Gainesville GA"/>
    <x v="9"/>
    <x v="0"/>
  </r>
  <r>
    <x v="9"/>
    <s v="TPACY"/>
    <n v="200547"/>
    <s v="TPACY"/>
    <n v="810"/>
    <x v="1"/>
    <s v="Courtyard By Marriott Tampa North/I-75 Fletcher"/>
    <x v="9"/>
    <x v="0"/>
  </r>
  <r>
    <x v="9"/>
    <s v="EWRSA"/>
    <n v="200545"/>
    <s v="EWRSA"/>
    <n v="809"/>
    <x v="1"/>
    <s v="SpringHill Suites By Marriott Newark Liberty International Airport"/>
    <x v="9"/>
    <x v="0"/>
  </r>
  <r>
    <x v="9"/>
    <s v="MGWCY"/>
    <n v="200543"/>
    <s v="MGWCY"/>
    <n v="808"/>
    <x v="1"/>
    <s v="Courtyard By Marriott Morgantown"/>
    <x v="9"/>
    <x v="0"/>
  </r>
  <r>
    <x v="9"/>
    <s v="AYSFI"/>
    <n v="200541"/>
    <s v="AYSFI"/>
    <n v="807"/>
    <x v="1"/>
    <s v="Fairfield Inn &amp; Suites Douglas"/>
    <x v="9"/>
    <x v="0"/>
  </r>
  <r>
    <x v="9"/>
    <s v="SDFDT"/>
    <n v="200539"/>
    <s v="SDFDT"/>
    <n v="806"/>
    <x v="1"/>
    <s v="Courtyard By Marriott Louisville Downtown"/>
    <x v="9"/>
    <x v="0"/>
  </r>
  <r>
    <x v="9"/>
    <s v="ORFVA"/>
    <n v="200537"/>
    <s v="ORFVA"/>
    <n v="805"/>
    <x v="1"/>
    <s v="Fairfield Inn &amp; Suites Virginia Beach Oceanfront"/>
    <x v="9"/>
    <x v="0"/>
  </r>
  <r>
    <x v="9"/>
    <s v="MHTKN"/>
    <n v="200535"/>
    <s v="MHTKN"/>
    <n v="804"/>
    <x v="1"/>
    <s v="Fairfield Inn &amp; Suites Keene Downtown"/>
    <x v="9"/>
    <x v="0"/>
  </r>
  <r>
    <x v="9"/>
    <s v="MCOCW"/>
    <n v="200533"/>
    <s v="MCOCW"/>
    <n v="803"/>
    <x v="1"/>
    <s v="Courtyard By Marriott Winter Haven"/>
    <x v="9"/>
    <x v="0"/>
  </r>
  <r>
    <x v="9"/>
    <s v="AHNCO"/>
    <n v="200531"/>
    <s v="AHNCO"/>
    <n v="802"/>
    <x v="1"/>
    <s v="Fairfield Inn &amp; Suites Commerce"/>
    <x v="9"/>
    <x v="0"/>
  </r>
  <r>
    <x v="9"/>
    <s v="TYSFA"/>
    <n v="200529"/>
    <s v="TYSFA"/>
    <n v="801"/>
    <x v="1"/>
    <s v="Fairfield by Marriott Inn &amp; Suites Knoxville Airport Alcoa"/>
    <x v="9"/>
    <x v="0"/>
  </r>
  <r>
    <x v="9"/>
    <s v="ITHFL"/>
    <n v="200527"/>
    <s v="ITHFL"/>
    <n v="800"/>
    <x v="1"/>
    <s v="Fairfield Inn &amp; Suites Geneva Finger Lakes"/>
    <x v="9"/>
    <x v="0"/>
  </r>
  <r>
    <x v="9"/>
    <s v="DTWCF"/>
    <n v="200525"/>
    <s v="DTWCF"/>
    <n v="799"/>
    <x v="1"/>
    <s v="Courtyard By Marriott Detroit Farmington Hills"/>
    <x v="9"/>
    <x v="0"/>
  </r>
  <r>
    <x v="9"/>
    <s v="DAYCF"/>
    <n v="200523"/>
    <s v="DAYCF"/>
    <n v="798"/>
    <x v="1"/>
    <s v="SpringHill Suites By Marriott Dayton Beavercreek"/>
    <x v="9"/>
    <x v="0"/>
  </r>
  <r>
    <x v="9"/>
    <s v="PITWM"/>
    <n v="200521"/>
    <s v="PITWM"/>
    <n v="797"/>
    <x v="1"/>
    <s v="SpringHill Suites By Marriott West Mifflin"/>
    <x v="9"/>
    <x v="0"/>
  </r>
  <r>
    <x v="9"/>
    <s v="ARTFI"/>
    <n v="200519"/>
    <s v="ARTFI"/>
    <n v="796"/>
    <x v="1"/>
    <s v="Fairfield Inn &amp; Suites Watertown Thousand Islands"/>
    <x v="9"/>
    <x v="0"/>
  </r>
  <r>
    <x v="9"/>
    <s v="ROABL"/>
    <n v="200517"/>
    <s v="ROABL"/>
    <n v="795"/>
    <x v="1"/>
    <s v="Courtyard By Marriott Blacksburg"/>
    <x v="9"/>
    <x v="0"/>
  </r>
  <r>
    <x v="9"/>
    <s v="MCOCM"/>
    <n v="200515"/>
    <s v="MCOCM"/>
    <n v="794"/>
    <x v="1"/>
    <s v="Fairfield Inn &amp; Suites Clermont"/>
    <x v="9"/>
    <x v="0"/>
  </r>
  <r>
    <x v="9"/>
    <s v="PHLSR"/>
    <n v="200513"/>
    <s v="PHLSR"/>
    <n v="793"/>
    <x v="1"/>
    <s v="SpringHill Suites By Marriott Philadelphia Airport/Ridley Park"/>
    <x v="9"/>
    <x v="0"/>
  </r>
  <r>
    <x v="9"/>
    <s v="RSWAC"/>
    <n v="200511"/>
    <s v="RSWAC"/>
    <n v="792"/>
    <x v="1"/>
    <s v="AC Hotel Naples 5th Avenue"/>
    <x v="9"/>
    <x v="0"/>
  </r>
  <r>
    <x v="9"/>
    <s v="TPAFH"/>
    <n v="200509"/>
    <s v="TPAFH"/>
    <n v="791"/>
    <x v="1"/>
    <s v="Fairfield by Marriott Inn &amp; Suites Brooksville Suncoast Parkway"/>
    <x v="9"/>
    <x v="0"/>
  </r>
  <r>
    <x v="9"/>
    <s v="MCNCW"/>
    <n v="200507"/>
    <s v="MCNCW"/>
    <n v="790"/>
    <x v="1"/>
    <s v="Courtyard By Marriott Warner Robins"/>
    <x v="9"/>
    <x v="0"/>
  </r>
  <r>
    <x v="9"/>
    <s v="HGRSC"/>
    <n v="200505"/>
    <s v="HGRSC"/>
    <n v="789"/>
    <x v="1"/>
    <s v="SpringHill Suites By Marriott Chambersburg"/>
    <x v="9"/>
    <x v="0"/>
  </r>
  <r>
    <x v="9"/>
    <s v="PWMFH"/>
    <n v="200503"/>
    <s v="PWMFH"/>
    <n v="788"/>
    <x v="1"/>
    <s v="SpringHill Suites by Marriott Freeport Brunswick"/>
    <x v="9"/>
    <x v="0"/>
  </r>
  <r>
    <x v="9"/>
    <s v="CLTCM"/>
    <n v="200501"/>
    <s v="CLTCM"/>
    <n v="787"/>
    <x v="1"/>
    <s v="Courtyard By Marriott Charlotte Matthews"/>
    <x v="9"/>
    <x v="0"/>
  </r>
  <r>
    <x v="9"/>
    <s v="MDTCH"/>
    <n v="200499"/>
    <s v="MDTCH"/>
    <n v="786"/>
    <x v="1"/>
    <s v="SpringHill Suites By Marriott Camp Hill"/>
    <x v="9"/>
    <x v="0"/>
  </r>
  <r>
    <x v="9"/>
    <s v="CLTHB"/>
    <n v="200497"/>
    <s v="CLTHB"/>
    <n v="785"/>
    <x v="1"/>
    <s v="Fairfield Inn By Marriott Charlotte Northlake"/>
    <x v="9"/>
    <x v="0"/>
  </r>
  <r>
    <x v="9"/>
    <s v="RICSD"/>
    <n v="200495"/>
    <s v="RICSD"/>
    <n v="784"/>
    <x v="1"/>
    <s v="Fairfield Inn &amp; Suites Richmond Airport"/>
    <x v="9"/>
    <x v="0"/>
  </r>
  <r>
    <x v="9"/>
    <s v="ANDFI"/>
    <n v="200493"/>
    <s v="ANDFI"/>
    <n v="783"/>
    <x v="1"/>
    <s v="Fairfield Inn &amp; Suites Anderson Clemson"/>
    <x v="9"/>
    <x v="0"/>
  </r>
  <r>
    <x v="9"/>
    <s v="TPASK"/>
    <n v="200491"/>
    <s v="TPASK"/>
    <n v="782"/>
    <x v="1"/>
    <s v="SpringHill Suites By Marriott Tampa Suncoast Parkway"/>
    <x v="9"/>
    <x v="0"/>
  </r>
  <r>
    <x v="9"/>
    <s v="TRIAB"/>
    <n v="200489"/>
    <s v="TRIAB"/>
    <n v="781"/>
    <x v="1"/>
    <s v="Fairfield Inn &amp; Suites Abingdon"/>
    <x v="9"/>
    <x v="0"/>
  </r>
  <r>
    <x v="9"/>
    <s v="ROARS"/>
    <n v="200487"/>
    <s v="ROARS"/>
    <n v="780"/>
    <x v="1"/>
    <s v="SpringHill Suites by Marriott Roanoke North"/>
    <x v="9"/>
    <x v="0"/>
  </r>
  <r>
    <x v="9"/>
    <s v="RICCY"/>
    <n v="200485"/>
    <s v="RICCY"/>
    <n v="779"/>
    <x v="1"/>
    <s v="Courtyard By Marriott Richmond Chester"/>
    <x v="9"/>
    <x v="0"/>
  </r>
  <r>
    <x v="9"/>
    <s v="CAEFE"/>
    <n v="200483"/>
    <s v="CAEFE"/>
    <n v="778"/>
    <x v="1"/>
    <s v="Fairfield Inn &amp; Suites Santee"/>
    <x v="9"/>
    <x v="0"/>
  </r>
  <r>
    <x v="9"/>
    <s v="RMGHO"/>
    <n v="200481"/>
    <s v="RMGHO"/>
    <n v="777"/>
    <x v="1"/>
    <s v="Fairfield Inn &amp; Suites Calhoun"/>
    <x v="9"/>
    <x v="0"/>
  </r>
  <r>
    <x v="9"/>
    <s v="YYZTO"/>
    <n v="200479"/>
    <s v="YYZTO"/>
    <n v="776"/>
    <x v="1"/>
    <s v="Fairfield Inn By Marriott Toronto Oakville"/>
    <x v="9"/>
    <x v="0"/>
  </r>
  <r>
    <x v="9"/>
    <s v="WASTN"/>
    <n v="200477"/>
    <s v="WASTN"/>
    <n v="775"/>
    <x v="1"/>
    <s v="Courtyard By Marriott Tysons McLean"/>
    <x v="9"/>
    <x v="0"/>
  </r>
  <r>
    <x v="9"/>
    <s v="IAGNY"/>
    <n v="200475"/>
    <s v="IAGNY"/>
    <n v="774"/>
    <x v="1"/>
    <s v="Courtyard By Marriott Niagara Falls, USA"/>
    <x v="9"/>
    <x v="0"/>
  </r>
  <r>
    <x v="9"/>
    <s v="ABEEH"/>
    <s v="200473"/>
    <s v="ABEEH"/>
    <n v="773"/>
    <x v="1"/>
    <s v="Springhill Suites by Marriott Easton PA"/>
    <x v="9"/>
    <x v="0"/>
  </r>
  <r>
    <x v="9"/>
    <s v="CAENE"/>
    <n v="200471"/>
    <s v="CAENE"/>
    <n v="772"/>
    <x v="1"/>
    <s v="Courtyard By Marriott Columbia Northeast/Fort Jackson Area"/>
    <x v="9"/>
    <x v="0"/>
  </r>
  <r>
    <x v="9"/>
    <s v="GSOHA"/>
    <n v="200469"/>
    <s v="GSOHA"/>
    <n v="771"/>
    <x v="1"/>
    <s v="Fairfield Inn &amp; Suites High Point Archdale"/>
    <x v="9"/>
    <x v="0"/>
  </r>
  <r>
    <x v="9"/>
    <s v="MCOUC"/>
    <n v="200467"/>
    <s v="MCOUC"/>
    <n v="770"/>
    <x v="1"/>
    <s v="Fairfield Inn &amp; Suites Orlando East/UCF Area"/>
    <x v="9"/>
    <x v="0"/>
  </r>
  <r>
    <x v="9"/>
    <s v="ATOFI"/>
    <n v="200465"/>
    <s v="ATOFI"/>
    <n v="769"/>
    <x v="1"/>
    <s v="Fairfield Inn &amp; Suites Athens"/>
    <x v="9"/>
    <x v="0"/>
  </r>
  <r>
    <x v="9"/>
    <s v="NYCSK"/>
    <n v="200463"/>
    <s v="NYCSK"/>
    <n v="768"/>
    <x v="1"/>
    <s v="SpringHill Suites By Marriott New York Midtown Manhattan/Park Avenue"/>
    <x v="9"/>
    <x v="0"/>
  </r>
  <r>
    <x v="9"/>
    <s v="YYZBP"/>
    <n v="200461"/>
    <s v="YYZBP"/>
    <n v="767"/>
    <x v="1"/>
    <s v="Fairfield Inn &amp; Suites Toronto Brampton"/>
    <x v="9"/>
    <x v="0"/>
  </r>
  <r>
    <x v="9"/>
    <s v="BLFFP"/>
    <n v="200459"/>
    <s v="BLFFP"/>
    <n v="766"/>
    <x v="1"/>
    <s v="Fairfield Inn &amp; Suites Princeton"/>
    <x v="9"/>
    <x v="0"/>
  </r>
  <r>
    <x v="9"/>
    <s v="BDLFE"/>
    <n v="200457"/>
    <s v="BDLFE"/>
    <n v="765"/>
    <x v="1"/>
    <s v="Fairfield by Marriott Inn &amp; Suites Hartford North/Enfield"/>
    <x v="9"/>
    <x v="0"/>
  </r>
  <r>
    <x v="9"/>
    <s v="HARET"/>
    <n v="200455"/>
    <s v="HARET"/>
    <n v="764"/>
    <x v="1"/>
    <s v="SpringHill Suites By Marriott Harrisburg Hershey"/>
    <x v="9"/>
    <x v="0"/>
  </r>
  <r>
    <x v="9"/>
    <s v="CHSSN"/>
    <n v="200453"/>
    <s v="CHSSN"/>
    <n v="763"/>
    <x v="1"/>
    <s v="SpringHill Suites By Marriott Charleston Airport &amp; Convention Center"/>
    <x v="9"/>
    <x v="0"/>
  </r>
  <r>
    <x v="9"/>
    <s v="BOSSD"/>
    <n v="200451"/>
    <s v="BOSSD"/>
    <n v="762"/>
    <x v="1"/>
    <s v="SpringHill Suites By Marriott Devens Common Center"/>
    <x v="9"/>
    <x v="0"/>
  </r>
  <r>
    <x v="9"/>
    <s v="INTDW"/>
    <n v="200449"/>
    <s v="INTDW"/>
    <n v="761"/>
    <x v="1"/>
    <s v="Fairfield Inn &amp; Suites Winston-Salem Downtown"/>
    <x v="9"/>
    <x v="0"/>
  </r>
  <r>
    <x v="9"/>
    <s v="BMGCF"/>
    <n v="200445"/>
    <s v="BMGCF"/>
    <n v="759"/>
    <x v="1"/>
    <s v="Fairfield Inn &amp; Suites Columbus, IN"/>
    <x v="9"/>
    <x v="0"/>
  </r>
  <r>
    <x v="9"/>
    <s v="GRRGS"/>
    <n v="200443"/>
    <s v="GRRGS"/>
    <n v="758"/>
    <x v="1"/>
    <s v="SpringHill Suites By Marriott Grand Rapids West"/>
    <x v="9"/>
    <x v="0"/>
  </r>
  <r>
    <x v="9"/>
    <s v="SOSFK"/>
    <n v="200441"/>
    <s v="SOSFK"/>
    <n v="757"/>
    <x v="1"/>
    <s v="SpringHill Suites By Marriott Somerset Franklin Township"/>
    <x v="9"/>
    <x v="0"/>
  </r>
  <r>
    <x v="9"/>
    <s v="PVDWF"/>
    <n v="200439"/>
    <s v="PVDWF"/>
    <n v="756"/>
    <x v="1"/>
    <s v="Fairfield by Marriott Inn &amp; Suites Providence Airport Warwick"/>
    <x v="9"/>
    <x v="0"/>
  </r>
  <r>
    <x v="9"/>
    <s v="PITMO"/>
    <n v="200437"/>
    <s v="PITMO"/>
    <n v="755"/>
    <x v="1"/>
    <s v="Fairfield Inn &amp; Suites Monaca"/>
    <x v="9"/>
    <x v="0"/>
  </r>
  <r>
    <x v="9"/>
    <s v="ISPMF"/>
    <n v="200435"/>
    <s v="ISPMF"/>
    <n v="754"/>
    <x v="1"/>
    <s v="Fairfield Inn By Marriott Medford Long Island"/>
    <x v="9"/>
    <x v="0"/>
  </r>
  <r>
    <x v="9"/>
    <s v="INDCF"/>
    <n v="200433"/>
    <s v="INDCF"/>
    <n v="753"/>
    <x v="1"/>
    <s v="Courtyard By Marriott Indianapolis Fishers"/>
    <x v="9"/>
    <x v="0"/>
  </r>
  <r>
    <x v="9"/>
    <s v="ILMFS"/>
    <n v="200431"/>
    <s v="ILMFS"/>
    <n v="752"/>
    <x v="1"/>
    <s v="Fairfield by Marriott Inn &amp; Suites Southport"/>
    <x v="9"/>
    <x v="0"/>
  </r>
  <r>
    <x v="9"/>
    <s v="ABEFA"/>
    <n v="200429"/>
    <s v="ABEFA"/>
    <n v="751"/>
    <x v="1"/>
    <s v="Fairfield by Marriott Inn &amp; Suites Bethlehem PA"/>
    <x v="9"/>
    <x v="0"/>
  </r>
  <r>
    <x v="9"/>
    <s v="ELMFI"/>
    <n v="200427"/>
    <s v="ELMFI"/>
    <n v="750"/>
    <x v="1"/>
    <s v="Fairfield Inn By Marriott Corning Riverside"/>
    <x v="9"/>
    <x v="0"/>
  </r>
  <r>
    <x v="9"/>
    <s v="BGMVS"/>
    <n v="200425"/>
    <s v="BGMVS"/>
    <n v="749"/>
    <x v="1"/>
    <s v="Courtyard By Marriott Binghamton"/>
    <x v="9"/>
    <x v="0"/>
  </r>
  <r>
    <x v="9"/>
    <s v="EWRAB"/>
    <n v="200423"/>
    <s v="EWRAB"/>
    <n v="748"/>
    <x v="1"/>
    <s v="AC Hotel Bridgewater"/>
    <x v="9"/>
    <x v="0"/>
  </r>
  <r>
    <x v="9"/>
    <s v="ATLSW"/>
    <n v="200421"/>
    <s v="ATLSW"/>
    <n v="747"/>
    <x v="1"/>
    <s v="Fairfield Inn &amp; Suites Atlanta Suwanee"/>
    <x v="9"/>
    <x v="0"/>
  </r>
  <r>
    <x v="9"/>
    <s v="MBSFM"/>
    <n v="200419"/>
    <s v="MBSFM"/>
    <n v="746"/>
    <x v="1"/>
    <s v="Fairfield Inn &amp; Suites Midland"/>
    <x v="9"/>
    <x v="0"/>
  </r>
  <r>
    <x v="9"/>
    <s v="SBNCE"/>
    <n v="200417"/>
    <s v="SBNCE"/>
    <n v="745"/>
    <x v="1"/>
    <s v="Courtyard By Marriott Elkhart"/>
    <x v="9"/>
    <x v="0"/>
  </r>
  <r>
    <x v="9"/>
    <s v="INTCY"/>
    <n v="200415"/>
    <s v="INTCY"/>
    <n v="744"/>
    <x v="1"/>
    <s v="Courtyard By Marriott Winston-Salem University"/>
    <x v="9"/>
    <x v="0"/>
  </r>
  <r>
    <x v="9"/>
    <s v="CHSCY"/>
    <n v="200413"/>
    <s v="CHSCY"/>
    <n v="743"/>
    <x v="1"/>
    <s v="Courtyard By Marriott Charleston Waterfront"/>
    <x v="9"/>
    <x v="0"/>
  </r>
  <r>
    <x v="9"/>
    <s v="TRIFK"/>
    <n v="200411"/>
    <s v="TRIFK"/>
    <n v="742"/>
    <x v="1"/>
    <s v="Fairfield Inn &amp; Suites Kingsport"/>
    <x v="9"/>
    <x v="0"/>
  </r>
  <r>
    <x v="9"/>
    <s v="BDLNH"/>
    <n v="200409"/>
    <s v="BDLNH"/>
    <n v="741"/>
    <x v="1"/>
    <s v="Fairfield Inn &amp; Suites Springfield Northampton/Amherst"/>
    <x v="9"/>
    <x v="0"/>
  </r>
  <r>
    <x v="9"/>
    <s v="JXNAB"/>
    <n v="200407"/>
    <s v="JXNAB"/>
    <n v="740"/>
    <x v="1"/>
    <s v="Courtyard By Marriott Albion"/>
    <x v="9"/>
    <x v="0"/>
  </r>
  <r>
    <x v="9"/>
    <s v="ATLWO"/>
    <n v="200405"/>
    <s v="ATLWO"/>
    <n v="739"/>
    <x v="1"/>
    <s v="Fairfield Inn &amp; Suites Atlanta Acworth"/>
    <x v="9"/>
    <x v="0"/>
  </r>
  <r>
    <x v="9"/>
    <s v="DTWFT"/>
    <n v="200403"/>
    <s v="DTWFT"/>
    <n v="738"/>
    <x v="1"/>
    <s v="Fairfield Inn &amp; Suites Detroit Troy"/>
    <x v="9"/>
    <x v="0"/>
  </r>
  <r>
    <x v="9"/>
    <s v="ATLVN"/>
    <n v="200401"/>
    <s v="ATLVN"/>
    <n v="737"/>
    <x v="1"/>
    <s v="Fairfield Inn &amp; Suites Atlanta Vinings/Galleria"/>
    <x v="9"/>
    <x v="0"/>
  </r>
  <r>
    <x v="9"/>
    <s v="FLLWM"/>
    <n v="200399"/>
    <s v="FLLWM"/>
    <n v="736"/>
    <x v="1"/>
    <s v="SpringHill Suites By Marriott Fort Lauderdale Miramar"/>
    <x v="9"/>
    <x v="0"/>
  </r>
  <r>
    <x v="9"/>
    <s v="WASAE"/>
    <n v="200397"/>
    <s v="WASAE"/>
    <n v="735"/>
    <x v="1"/>
    <s v="AC Hotel Washington DC Convention Center"/>
    <x v="9"/>
    <x v="0"/>
  </r>
  <r>
    <x v="9"/>
    <s v="YYZFS"/>
    <n v="200395"/>
    <s v="YYZFS"/>
    <n v="734"/>
    <x v="1"/>
    <s v="Fairfield Inn &amp; Suites Toronto Airport"/>
    <x v="9"/>
    <x v="0"/>
  </r>
  <r>
    <x v="9"/>
    <s v="NYCFC"/>
    <n v="200393"/>
    <s v="NYCFC"/>
    <n v="733"/>
    <x v="1"/>
    <s v="Courtyard By Marriott New York Queens/Fresh Meadows"/>
    <x v="9"/>
    <x v="0"/>
  </r>
  <r>
    <x v="9"/>
    <s v="PBIFE"/>
    <n v="200391"/>
    <s v="PBIFE"/>
    <n v="732"/>
    <x v="1"/>
    <s v="Fairfield by Marriott Inn &amp; Suites Deerfield Beach Boca Raton"/>
    <x v="9"/>
    <x v="0"/>
  </r>
  <r>
    <x v="9"/>
    <s v="YYZVN"/>
    <n v="200389"/>
    <s v="YYZVN"/>
    <n v="731"/>
    <x v="1"/>
    <s v="Courtyard By Marriott Toronto Vaughan"/>
    <x v="9"/>
    <x v="0"/>
  </r>
  <r>
    <x v="9"/>
    <s v="RQSFI"/>
    <n v="200387"/>
    <s v="RQSFI"/>
    <n v="730"/>
    <x v="1"/>
    <s v="Fairfield Inn &amp; Suites Barrie"/>
    <x v="9"/>
    <x v="0"/>
  </r>
  <r>
    <x v="9"/>
    <s v="TLHFI"/>
    <n v="200385"/>
    <s v="TLHFI"/>
    <n v="729"/>
    <x v="1"/>
    <s v="Fairfield Inn By Marriott Tallahassee North/I-10"/>
    <x v="9"/>
    <x v="0"/>
  </r>
  <r>
    <x v="9"/>
    <s v="ATLPF"/>
    <n v="200383"/>
    <s v="ATLPF"/>
    <n v="728"/>
    <x v="1"/>
    <s v="Fairfield Inn &amp; Suites Atlanta Perimeter Center"/>
    <x v="9"/>
    <x v="0"/>
  </r>
  <r>
    <x v="9"/>
    <s v="SBNMS"/>
    <n v="200381"/>
    <s v="SBNMS"/>
    <n v="727"/>
    <x v="1"/>
    <s v="SpringHill Suites By Marriott Mishawaka-University Area"/>
    <x v="9"/>
    <x v="0"/>
  </r>
  <r>
    <x v="9"/>
    <s v="FLLPE"/>
    <n v="200379"/>
    <s v="FLLPE"/>
    <n v="726"/>
    <x v="1"/>
    <s v="Fairfield Inn &amp; Suites Fort Lauderdale Pembroke Pines"/>
    <x v="9"/>
    <x v="0"/>
  </r>
  <r>
    <x v="9"/>
    <s v="ARBCH"/>
    <n v="200377"/>
    <s v="ARBCH"/>
    <n v="725"/>
    <x v="1"/>
    <s v="Courtyard By Marriott Ann Arbor"/>
    <x v="9"/>
    <x v="0"/>
  </r>
  <r>
    <x v="9"/>
    <s v="FAYCS"/>
    <n v="200375"/>
    <s v="FAYCS"/>
    <n v="724"/>
    <x v="1"/>
    <s v="Courtyard By Marriott Fayetteville Fort Liberty/Spring Lake"/>
    <x v="9"/>
    <x v="0"/>
  </r>
  <r>
    <x v="9"/>
    <s v="ABYFX"/>
    <n v="200373"/>
    <s v="ABYFX"/>
    <n v="723"/>
    <x v="1"/>
    <s v="Fairfield Inn &amp; Suites Cordele"/>
    <x v="9"/>
    <x v="0"/>
  </r>
  <r>
    <x v="9"/>
    <s v="DUJFI"/>
    <n v="200371"/>
    <s v="DUJFI"/>
    <n v="722"/>
    <x v="1"/>
    <s v="Fairfield Inn &amp; Suites DuBois"/>
    <x v="9"/>
    <x v="0"/>
  </r>
  <r>
    <x v="9"/>
    <s v="ELMHH"/>
    <n v="200369"/>
    <s v="ELMHH"/>
    <n v="721"/>
    <x v="1"/>
    <s v="Fairfield Inn &amp; Suites Elmira Corning"/>
    <x v="9"/>
    <x v="0"/>
  </r>
  <r>
    <x v="9"/>
    <s v="DTWFR"/>
    <n v="200367"/>
    <s v="DTWFR"/>
    <n v="720"/>
    <x v="1"/>
    <s v="Fairfield Inn &amp; Suites Detroit Metro Airport Romulus"/>
    <x v="9"/>
    <x v="0"/>
  </r>
  <r>
    <x v="9"/>
    <s v="BKWFF"/>
    <n v="200365"/>
    <s v="BKWFF"/>
    <n v="719"/>
    <x v="1"/>
    <s v="Fairfield Inn &amp; Suites Beckley"/>
    <x v="9"/>
    <x v="0"/>
  </r>
  <r>
    <x v="9"/>
    <s v="NYCFT"/>
    <n v="200363"/>
    <s v="NYCFT"/>
    <n v="718"/>
    <x v="1"/>
    <s v="Fairfield Inn &amp; Suites New York Manhattan/Central Park"/>
    <x v="9"/>
    <x v="0"/>
  </r>
  <r>
    <x v="9"/>
    <s v="NYCOX"/>
    <n v="200361"/>
    <s v="NYCOX"/>
    <n v="717"/>
    <x v="1"/>
    <s v="Moxy NYC Times Square"/>
    <x v="9"/>
    <x v="0"/>
  </r>
  <r>
    <x v="9"/>
    <s v="CMHWE"/>
    <n v="200359"/>
    <s v="CMHWE"/>
    <n v="716"/>
    <x v="1"/>
    <s v="Fairfield by Marriott Inn &amp; Suites Columbus Hilliard"/>
    <x v="9"/>
    <x v="0"/>
  </r>
  <r>
    <x v="9"/>
    <s v="BOSPO"/>
    <n v="200357"/>
    <s v="BOSPO"/>
    <n v="715"/>
    <x v="1"/>
    <s v="Fairfield Inn &amp; Suites Boston Walpole"/>
    <x v="9"/>
    <x v="0"/>
  </r>
  <r>
    <x v="9"/>
    <s v="FAYFN"/>
    <n v="200355"/>
    <s v="FAYFN"/>
    <n v="714"/>
    <x v="1"/>
    <s v="Fairfield Inn &amp; Suites Fayetteville North"/>
    <x v="9"/>
    <x v="0"/>
  </r>
  <r>
    <x v="9"/>
    <s v="ATLCF"/>
    <n v="200353"/>
    <s v="ATLCF"/>
    <n v="713"/>
    <x v="1"/>
    <s v="Fairfield by Marriott Inn &amp; Suites Cornelia"/>
    <x v="9"/>
    <x v="0"/>
  </r>
  <r>
    <x v="9"/>
    <s v="MBSSH"/>
    <n v="200351"/>
    <s v="MBSSH"/>
    <n v="712"/>
    <x v="1"/>
    <s v="SpringHill Suites By Marriott Frankenmuth"/>
    <x v="9"/>
    <x v="0"/>
  </r>
  <r>
    <x v="9"/>
    <s v="FNTFF"/>
    <n v="200349"/>
    <s v="FNTFF"/>
    <n v="711"/>
    <x v="1"/>
    <s v="Fairfield Inn &amp; Suites Flint Fenton"/>
    <x v="9"/>
    <x v="0"/>
  </r>
  <r>
    <x v="9"/>
    <s v="SBNND"/>
    <n v="200347"/>
    <s v="SBNND"/>
    <n v="710"/>
    <x v="1"/>
    <s v="Fairfield Inn &amp; Suites South Bend at Notre Dame"/>
    <x v="9"/>
    <x v="0"/>
  </r>
  <r>
    <x v="9"/>
    <s v="SDFFV"/>
    <n v="200345"/>
    <s v="SDFFV"/>
    <n v="709"/>
    <x v="1"/>
    <s v="Fairfield Inn &amp; Suites Louisville Shepherdsville"/>
    <x v="9"/>
    <x v="0"/>
  </r>
  <r>
    <x v="9"/>
    <s v="TPAPA"/>
    <n v="200343"/>
    <s v="TPAPA"/>
    <n v="708"/>
    <x v="1"/>
    <s v="AC Hotel St. Petersburg Downtown"/>
    <x v="9"/>
    <x v="0"/>
  </r>
  <r>
    <x v="9"/>
    <s v="CHAFL"/>
    <n v="200341"/>
    <s v="CHAFL"/>
    <n v="707"/>
    <x v="1"/>
    <s v="Fairfield by Marriott Inn &amp; Suites Dalton"/>
    <x v="9"/>
    <x v="0"/>
  </r>
  <r>
    <x v="9"/>
    <s v="GBRCY"/>
    <n v="200339"/>
    <s v="GBRCY"/>
    <n v="706"/>
    <x v="1"/>
    <s v="Courtyard By Marriott Lenox Berkshires"/>
    <x v="9"/>
    <x v="0"/>
  </r>
  <r>
    <x v="9"/>
    <s v="PITAR"/>
    <n v="200337"/>
    <s v="PITAR"/>
    <n v="705"/>
    <x v="1"/>
    <s v="AC Hotel Pittsburgh Downtown"/>
    <x v="9"/>
    <x v="0"/>
  </r>
  <r>
    <x v="9"/>
    <s v="JAXAP"/>
    <s v="200335"/>
    <s v="JAXAP"/>
    <n v="704"/>
    <x v="1"/>
    <s v="Fairfield Inn &amp; Suites Jacksonville Airport"/>
    <x v="9"/>
    <x v="0"/>
  </r>
  <r>
    <x v="9"/>
    <s v="GSOSH"/>
    <n v="200333"/>
    <s v="GSOSH"/>
    <n v="703"/>
    <x v="1"/>
    <s v="SpringHill Suites By Marriott Greensboro"/>
    <x v="9"/>
    <x v="0"/>
  </r>
  <r>
    <x v="9"/>
    <s v="EWRFI"/>
    <n v="200331"/>
    <s v="EWRFI"/>
    <n v="702"/>
    <x v="1"/>
    <s v="Fairfield Inn &amp; Suites Edison-South Plainfield"/>
    <x v="9"/>
    <x v="0"/>
  </r>
  <r>
    <x v="9"/>
    <s v="NYCFF"/>
    <n v="200329"/>
    <s v="NYCFF"/>
    <n v="701"/>
    <x v="1"/>
    <s v="Fairfield Inn &amp; Suites New York Queens/Fresh Meadows"/>
    <x v="9"/>
    <x v="0"/>
  </r>
  <r>
    <x v="9"/>
    <s v="GNVSH"/>
    <n v="200327"/>
    <s v="GNVSH"/>
    <n v="700"/>
    <x v="1"/>
    <s v="SpringHill Suites By Marriott Gainesville"/>
    <x v="9"/>
    <x v="0"/>
  </r>
  <r>
    <x v="9"/>
    <s v="PHLFA"/>
    <n v="200325"/>
    <s v="PHLFA"/>
    <n v="699"/>
    <x v="1"/>
    <s v="Fairfield Inn By Marriott Philadelphia Airport"/>
    <x v="9"/>
    <x v="0"/>
  </r>
  <r>
    <x v="9"/>
    <s v="AGSAF"/>
    <n v="200323"/>
    <s v="AGSAF"/>
    <n v="698"/>
    <x v="1"/>
    <s v="Fairfield by Marriott Inn and Suites Augusta Fort Eisenhower Area"/>
    <x v="9"/>
    <x v="0"/>
  </r>
  <r>
    <x v="9"/>
    <s v="WASUS"/>
    <n v="200321"/>
    <s v="WASUS"/>
    <n v="697"/>
    <x v="1"/>
    <s v="Courtyard By Marriott Washington, DC/U.S. Capitol"/>
    <x v="9"/>
    <x v="0"/>
  </r>
  <r>
    <x v="9"/>
    <s v="YYZMS"/>
    <n v="200319"/>
    <s v="YYZMS"/>
    <n v="696"/>
    <x v="1"/>
    <s v="Courtyard By Marriott Toronto Mississauga/Meadowvale"/>
    <x v="9"/>
    <x v="0"/>
  </r>
  <r>
    <x v="9"/>
    <s v="ELMCH"/>
    <n v="200317"/>
    <s v="ELMCH"/>
    <n v="695"/>
    <x v="1"/>
    <s v="Courtyard By Marriott Elmira Horseheads"/>
    <x v="9"/>
    <x v="0"/>
  </r>
  <r>
    <x v="9"/>
    <s v="IAGIF"/>
    <n v="200315"/>
    <s v="IAGIF"/>
    <n v="694"/>
    <x v="1"/>
    <s v="Fairfield by Marriott Niagara Falls, Canada"/>
    <x v="9"/>
    <x v="0"/>
  </r>
  <r>
    <x v="9"/>
    <s v="YAMFI"/>
    <n v="200313"/>
    <s v="YAMFI"/>
    <n v="693"/>
    <x v="1"/>
    <s v="Fairfield Inn &amp; Suites Sault Ste. Marie"/>
    <x v="9"/>
    <x v="0"/>
  </r>
  <r>
    <x v="9"/>
    <s v="MCNMD"/>
    <n v="200311"/>
    <s v="MCNMD"/>
    <n v="692"/>
    <x v="1"/>
    <s v="Fairfield Inn &amp; Suites Milledgeville"/>
    <x v="9"/>
    <x v="0"/>
  </r>
  <r>
    <x v="9"/>
    <s v="MHTCN"/>
    <n v="200309"/>
    <s v="MHTCN"/>
    <n v="691"/>
    <x v="1"/>
    <s v="Courtyard By Marriott Concord"/>
    <x v="9"/>
    <x v="0"/>
  </r>
  <r>
    <x v="9"/>
    <s v="TPAYC"/>
    <n v="200307"/>
    <s v="TPAYC"/>
    <n v="690"/>
    <x v="1"/>
    <s v="Fairfield Inn &amp; Suites Tampa Wesley Chapel"/>
    <x v="9"/>
    <x v="0"/>
  </r>
  <r>
    <x v="9"/>
    <s v="LEXHS"/>
    <n v="200305"/>
    <s v="LEXHS"/>
    <n v="689"/>
    <x v="1"/>
    <s v="SpringHill Suites by Marriott Lexington Fritz Farm"/>
    <x v="9"/>
    <x v="0"/>
  </r>
  <r>
    <x v="9"/>
    <s v="RICNT"/>
    <n v="200303"/>
    <s v="RICNT"/>
    <n v="688"/>
    <x v="1"/>
    <s v="SpringHill Suites By Marriott Richmond Northwest"/>
    <x v="9"/>
    <x v="0"/>
  </r>
  <r>
    <x v="9"/>
    <s v="BGMWB"/>
    <n v="200301"/>
    <s v="BGMWB"/>
    <n v="687"/>
    <x v="1"/>
    <s v="Fairfield Inn &amp; Suites Towanda Wysox"/>
    <x v="9"/>
    <x v="0"/>
  </r>
  <r>
    <x v="9"/>
    <s v="ILMCY"/>
    <n v="200299"/>
    <s v="ILMCY"/>
    <n v="686"/>
    <x v="1"/>
    <s v="Courtyard By Marriott Wilmington/Wrightsville Beach"/>
    <x v="9"/>
    <x v="0"/>
  </r>
  <r>
    <x v="9"/>
    <s v="PITGB"/>
    <n v="200297"/>
    <s v="PITGB"/>
    <n v="685"/>
    <x v="1"/>
    <s v="Courtyard By Marriott Pittsburgh Greensburg"/>
    <x v="9"/>
    <x v="0"/>
  </r>
  <r>
    <x v="10"/>
    <s v="PDXLA"/>
    <n v="200893"/>
    <s v="PDXLA"/>
    <n v="1168"/>
    <x v="1"/>
    <e v="#N/A"/>
    <x v="10"/>
    <x v="0"/>
  </r>
  <r>
    <x v="10"/>
    <s v="SNAPK"/>
    <n v="110363"/>
    <s v="SNAPK"/>
    <n v="1167"/>
    <x v="2"/>
    <e v="#N/A"/>
    <x v="10"/>
    <x v="0"/>
  </r>
  <r>
    <x v="10"/>
    <s v="RALFI"/>
    <n v="200891"/>
    <s v="RALFI"/>
    <n v="1166"/>
    <x v="1"/>
    <e v="#N/A"/>
    <x v="10"/>
    <x v="0"/>
  </r>
  <r>
    <x v="10"/>
    <s v="SACFR"/>
    <n v="200889"/>
    <s v="SACFR"/>
    <n v="1165"/>
    <x v="1"/>
    <e v="#N/A"/>
    <x v="10"/>
    <x v="0"/>
  </r>
  <r>
    <x v="10"/>
    <s v="ONTSB"/>
    <n v="200887"/>
    <s v="ONTSB"/>
    <n v="1164"/>
    <x v="1"/>
    <e v="#N/A"/>
    <x v="10"/>
    <x v="0"/>
  </r>
  <r>
    <x v="10"/>
    <s v="SFORD"/>
    <n v="200885"/>
    <s v="SFORD"/>
    <n v="1163"/>
    <x v="1"/>
    <e v="#N/A"/>
    <x v="10"/>
    <x v="0"/>
  </r>
  <r>
    <x v="10"/>
    <s v="SJCFN"/>
    <n v="110361"/>
    <s v="SJCFN"/>
    <n v="1162"/>
    <x v="2"/>
    <e v="#N/A"/>
    <x v="10"/>
    <x v="0"/>
  </r>
  <r>
    <x v="10"/>
    <s v="SJCCP"/>
    <n v="200883"/>
    <s v="SJCCP"/>
    <n v="1161"/>
    <x v="1"/>
    <e v="#N/A"/>
    <x v="10"/>
    <x v="0"/>
  </r>
  <r>
    <x v="10"/>
    <s v="SJCYA"/>
    <n v="110359"/>
    <s v="SJCYA"/>
    <n v="1160"/>
    <x v="2"/>
    <e v="#N/A"/>
    <x v="10"/>
    <x v="0"/>
  </r>
  <r>
    <x v="10"/>
    <s v="SACFO"/>
    <n v="200881"/>
    <s v="SACFO"/>
    <n v="1159"/>
    <x v="1"/>
    <e v="#N/A"/>
    <x v="10"/>
    <x v="0"/>
  </r>
  <r>
    <x v="10"/>
    <s v="SFOME"/>
    <n v="200879"/>
    <s v="SFOME"/>
    <n v="1158"/>
    <x v="1"/>
    <e v="#N/A"/>
    <x v="10"/>
    <x v="0"/>
  </r>
  <r>
    <x v="10"/>
    <s v="SJCSF"/>
    <n v="110357"/>
    <s v="SJCSF"/>
    <n v="1157"/>
    <x v="2"/>
    <e v="#N/A"/>
    <x v="10"/>
    <x v="0"/>
  </r>
  <r>
    <x v="10"/>
    <s v="SNAAI"/>
    <n v="110355"/>
    <s v="SNAAI"/>
    <n v="1156"/>
    <x v="2"/>
    <e v="#N/A"/>
    <x v="10"/>
    <x v="0"/>
  </r>
  <r>
    <x v="10"/>
    <s v="SEACA"/>
    <n v="200877"/>
    <s v="SEACA"/>
    <n v="1155"/>
    <x v="1"/>
    <e v="#N/A"/>
    <x v="10"/>
    <x v="0"/>
  </r>
  <r>
    <x v="10"/>
    <s v="SEASB"/>
    <n v="200875"/>
    <s v="SEASB"/>
    <n v="1154"/>
    <x v="1"/>
    <e v="#N/A"/>
    <x v="10"/>
    <x v="0"/>
  </r>
  <r>
    <x v="10"/>
    <s v="SFOBM"/>
    <n v="200873"/>
    <s v="SFOBM"/>
    <n v="1153"/>
    <x v="1"/>
    <e v="#N/A"/>
    <x v="10"/>
    <x v="0"/>
  </r>
  <r>
    <x v="10"/>
    <s v="SFOPF"/>
    <n v="200871"/>
    <s v="SFOPF"/>
    <n v="1152"/>
    <x v="1"/>
    <e v="#N/A"/>
    <x v="10"/>
    <x v="0"/>
  </r>
  <r>
    <x v="10"/>
    <s v="SNADT"/>
    <n v="110353"/>
    <s v="SNADT"/>
    <n v="1151"/>
    <x v="2"/>
    <e v="#N/A"/>
    <x v="10"/>
    <x v="0"/>
  </r>
  <r>
    <x v="10"/>
    <s v="SFOCP"/>
    <n v="200869"/>
    <s v="SFOCP"/>
    <n v="1150"/>
    <x v="1"/>
    <e v="#N/A"/>
    <x v="10"/>
    <x v="0"/>
  </r>
  <r>
    <x v="10"/>
    <s v="STSAW"/>
    <n v="110351"/>
    <s v="STSAW"/>
    <n v="1149"/>
    <x v="2"/>
    <e v="#N/A"/>
    <x v="10"/>
    <x v="0"/>
  </r>
  <r>
    <x v="10"/>
    <s v="SEAOC"/>
    <n v="200867"/>
    <s v="SEAOC"/>
    <n v="1148"/>
    <x v="1"/>
    <e v="#N/A"/>
    <x v="10"/>
    <x v="0"/>
  </r>
  <r>
    <x v="10"/>
    <s v="SFOYA"/>
    <n v="200865"/>
    <s v="SFOYA"/>
    <n v="1147"/>
    <x v="1"/>
    <e v="#N/A"/>
    <x v="10"/>
    <x v="0"/>
  </r>
  <r>
    <x v="10"/>
    <s v="SBPCY"/>
    <n v="200863"/>
    <s v="SBPCY"/>
    <n v="1146"/>
    <x v="1"/>
    <e v="#N/A"/>
    <x v="10"/>
    <x v="0"/>
  </r>
  <r>
    <x v="10"/>
    <s v="SFOVN"/>
    <n v="200861"/>
    <s v="SFOVN"/>
    <n v="1145"/>
    <x v="1"/>
    <e v="#N/A"/>
    <x v="10"/>
    <x v="0"/>
  </r>
  <r>
    <x v="10"/>
    <s v="ONTRV"/>
    <n v="200859"/>
    <s v="ONTRV"/>
    <n v="1144"/>
    <x v="1"/>
    <e v="#N/A"/>
    <x v="10"/>
    <x v="0"/>
  </r>
  <r>
    <x v="10"/>
    <s v="SJCAC"/>
    <n v="200857"/>
    <s v="SJCAC"/>
    <n v="1143"/>
    <x v="1"/>
    <e v="#N/A"/>
    <x v="10"/>
    <x v="0"/>
  </r>
  <r>
    <x v="10"/>
    <s v="SANSU"/>
    <n v="200855"/>
    <s v="SANSU"/>
    <n v="1142"/>
    <x v="1"/>
    <e v="#N/A"/>
    <x v="10"/>
    <x v="0"/>
  </r>
  <r>
    <x v="10"/>
    <s v="SNAAO"/>
    <n v="110349"/>
    <s v="SNAAO"/>
    <n v="1141"/>
    <x v="2"/>
    <e v="#N/A"/>
    <x v="10"/>
    <x v="0"/>
  </r>
  <r>
    <x v="10"/>
    <s v="LAXSF"/>
    <n v="200853"/>
    <s v="LAXSF"/>
    <n v="1140"/>
    <x v="1"/>
    <e v="#N/A"/>
    <x v="10"/>
    <x v="0"/>
  </r>
  <r>
    <x v="10"/>
    <s v="SACFV"/>
    <n v="200851"/>
    <s v="SACFV"/>
    <n v="1139"/>
    <x v="1"/>
    <e v="#N/A"/>
    <x v="10"/>
    <x v="0"/>
  </r>
  <r>
    <x v="10"/>
    <s v="IDARX"/>
    <n v="200849"/>
    <s v="IDARX"/>
    <n v="1138"/>
    <x v="1"/>
    <e v="#N/A"/>
    <x v="10"/>
    <x v="0"/>
  </r>
  <r>
    <x v="10"/>
    <s v="SLCLE"/>
    <n v="110347"/>
    <s v="SLCLE"/>
    <n v="1137"/>
    <x v="2"/>
    <e v="#N/A"/>
    <x v="10"/>
    <x v="0"/>
  </r>
  <r>
    <x v="10"/>
    <s v="DENBT"/>
    <n v="200847"/>
    <s v="DENBT"/>
    <n v="1136"/>
    <x v="1"/>
    <e v="#N/A"/>
    <x v="10"/>
    <x v="0"/>
  </r>
  <r>
    <x v="10"/>
    <s v="PGAKS"/>
    <n v="200845"/>
    <s v="PGAKS"/>
    <n v="1135"/>
    <x v="1"/>
    <e v="#N/A"/>
    <x v="10"/>
    <x v="0"/>
  </r>
  <r>
    <x v="10"/>
    <s v="SUNFI"/>
    <n v="110345"/>
    <s v="SUNFI"/>
    <n v="1134"/>
    <x v="2"/>
    <e v="#N/A"/>
    <x v="10"/>
    <x v="0"/>
  </r>
  <r>
    <x v="10"/>
    <s v="TUSOR"/>
    <n v="110343"/>
    <s v="TUSOR"/>
    <n v="1133"/>
    <x v="2"/>
    <e v="#N/A"/>
    <x v="10"/>
    <x v="0"/>
  </r>
  <r>
    <x v="10"/>
    <s v="BNAOV"/>
    <n v="110341"/>
    <s v="BNAOV"/>
    <n v="1132"/>
    <x v="2"/>
    <e v="#N/A"/>
    <x v="10"/>
    <x v="0"/>
  </r>
  <r>
    <x v="10"/>
    <s v="LBLFI"/>
    <n v="200843"/>
    <s v="LBLFI"/>
    <n v="1131"/>
    <x v="1"/>
    <e v="#N/A"/>
    <x v="10"/>
    <x v="0"/>
  </r>
  <r>
    <x v="10"/>
    <s v="CMPFI"/>
    <n v="200841"/>
    <s v="CMPFI"/>
    <n v="1130"/>
    <x v="1"/>
    <e v="#N/A"/>
    <x v="10"/>
    <x v="0"/>
  </r>
  <r>
    <x v="10"/>
    <s v="OKCDF"/>
    <n v="200839"/>
    <s v="OKCDF"/>
    <n v="1129"/>
    <x v="1"/>
    <e v="#N/A"/>
    <x v="10"/>
    <x v="0"/>
  </r>
  <r>
    <x v="10"/>
    <s v="MKEMS"/>
    <n v="110339"/>
    <s v="MKEMS"/>
    <n v="1128"/>
    <x v="2"/>
    <e v="#N/A"/>
    <x v="10"/>
    <x v="0"/>
  </r>
  <r>
    <x v="10"/>
    <s v="CHICO"/>
    <n v="200837"/>
    <s v="CHICO"/>
    <n v="1127"/>
    <x v="1"/>
    <e v="#N/A"/>
    <x v="10"/>
    <x v="0"/>
  </r>
  <r>
    <x v="10"/>
    <s v="STLFE"/>
    <n v="110337"/>
    <s v="STLFE"/>
    <n v="1126"/>
    <x v="2"/>
    <e v="#N/A"/>
    <x v="10"/>
    <x v="0"/>
  </r>
  <r>
    <x v="10"/>
    <s v="MAFOC"/>
    <n v="200835"/>
    <s v="MAFOC"/>
    <n v="1125"/>
    <x v="1"/>
    <e v="#N/A"/>
    <x v="10"/>
    <x v="0"/>
  </r>
  <r>
    <x v="10"/>
    <s v="LBBFW"/>
    <n v="200833"/>
    <s v="LBBFW"/>
    <n v="1124"/>
    <x v="1"/>
    <e v="#N/A"/>
    <x v="10"/>
    <x v="0"/>
  </r>
  <r>
    <x v="10"/>
    <s v="MLIFD"/>
    <n v="110335"/>
    <s v="MLIFD"/>
    <n v="1123"/>
    <x v="2"/>
    <e v="#N/A"/>
    <x v="10"/>
    <x v="0"/>
  </r>
  <r>
    <x v="10"/>
    <s v="BNACC"/>
    <n v="110333"/>
    <s v="BNACC"/>
    <n v="1122"/>
    <x v="2"/>
    <e v="#N/A"/>
    <x v="10"/>
    <x v="0"/>
  </r>
  <r>
    <x v="10"/>
    <s v="YQRFI"/>
    <n v="110331"/>
    <s v="YQRFI"/>
    <n v="1121"/>
    <x v="2"/>
    <e v="#N/A"/>
    <x v="10"/>
    <x v="0"/>
  </r>
  <r>
    <x v="10"/>
    <s v="LITCW"/>
    <n v="200831"/>
    <s v="LITCW"/>
    <n v="1120"/>
    <x v="1"/>
    <e v="#N/A"/>
    <x v="10"/>
    <x v="0"/>
  </r>
  <r>
    <x v="10"/>
    <s v="LBBFI"/>
    <n v="200829"/>
    <s v="LBBFI"/>
    <n v="1119"/>
    <x v="1"/>
    <e v="#N/A"/>
    <x v="10"/>
    <x v="0"/>
  </r>
  <r>
    <x v="10"/>
    <s v="MVCFI"/>
    <n v="110329"/>
    <s v="MVCFI"/>
    <n v="1118"/>
    <x v="2"/>
    <e v="#N/A"/>
    <x v="10"/>
    <x v="0"/>
  </r>
  <r>
    <x v="10"/>
    <s v="CMPCY"/>
    <n v="200827"/>
    <s v="CMPCY"/>
    <n v="1117"/>
    <x v="1"/>
    <e v="#N/A"/>
    <x v="10"/>
    <x v="0"/>
  </r>
  <r>
    <x v="10"/>
    <s v="IERFI"/>
    <n v="200825"/>
    <s v="IERFI"/>
    <n v="1116"/>
    <x v="1"/>
    <e v="#N/A"/>
    <x v="10"/>
    <x v="0"/>
  </r>
  <r>
    <x v="10"/>
    <s v="COUSH"/>
    <n v="200823"/>
    <s v="COUSH"/>
    <n v="1115"/>
    <x v="1"/>
    <e v="#N/A"/>
    <x v="10"/>
    <x v="0"/>
  </r>
  <r>
    <x v="10"/>
    <s v="GHMDK"/>
    <n v="110327"/>
    <s v="GHMDK"/>
    <n v="1114"/>
    <x v="2"/>
    <e v="#N/A"/>
    <x v="10"/>
    <x v="0"/>
  </r>
  <r>
    <x v="10"/>
    <s v="BNALB"/>
    <n v="110325"/>
    <s v="BNALB"/>
    <n v="1113"/>
    <x v="2"/>
    <e v="#N/A"/>
    <x v="10"/>
    <x v="0"/>
  </r>
  <r>
    <x v="10"/>
    <s v="RSTSH"/>
    <n v="110323"/>
    <s v="RSTSH"/>
    <n v="1112"/>
    <x v="2"/>
    <e v="#N/A"/>
    <x v="10"/>
    <x v="0"/>
  </r>
  <r>
    <x v="10"/>
    <s v="TULCT"/>
    <n v="110321"/>
    <s v="TULCT"/>
    <n v="1111"/>
    <x v="2"/>
    <e v="#N/A"/>
    <x v="10"/>
    <x v="0"/>
  </r>
  <r>
    <x v="10"/>
    <s v="LITCN"/>
    <n v="200821"/>
    <s v="LITCN"/>
    <n v="1110"/>
    <x v="1"/>
    <e v="#N/A"/>
    <x v="10"/>
    <x v="0"/>
  </r>
  <r>
    <x v="10"/>
    <s v="MKEFG"/>
    <n v="110319"/>
    <s v="MKEFG"/>
    <n v="1109"/>
    <x v="2"/>
    <e v="#N/A"/>
    <x v="10"/>
    <x v="0"/>
  </r>
  <r>
    <x v="10"/>
    <s v="HBGFI"/>
    <n v="110317"/>
    <s v="HBGFI"/>
    <n v="1108"/>
    <x v="2"/>
    <e v="#N/A"/>
    <x v="10"/>
    <x v="0"/>
  </r>
  <r>
    <x v="10"/>
    <s v="LGVFI"/>
    <n v="200819"/>
    <s v="LGVFI"/>
    <n v="1107"/>
    <x v="1"/>
    <e v="#N/A"/>
    <x v="10"/>
    <x v="0"/>
  </r>
  <r>
    <x v="10"/>
    <s v="PNSOB"/>
    <n v="110315"/>
    <s v="PNSOB"/>
    <n v="1106"/>
    <x v="2"/>
    <e v="#N/A"/>
    <x v="10"/>
    <x v="0"/>
  </r>
  <r>
    <x v="10"/>
    <s v="EVVCY"/>
    <n v="110313"/>
    <s v="EVVCY"/>
    <n v="1105"/>
    <x v="2"/>
    <e v="#N/A"/>
    <x v="10"/>
    <x v="0"/>
  </r>
  <r>
    <x v="10"/>
    <s v="RSTCY"/>
    <n v="110311"/>
    <s v="RSTCY"/>
    <n v="1104"/>
    <x v="2"/>
    <e v="#N/A"/>
    <x v="10"/>
    <x v="0"/>
  </r>
  <r>
    <x v="10"/>
    <s v="MPRFI"/>
    <n v="200817"/>
    <s v="MPRFI"/>
    <n v="1103"/>
    <x v="1"/>
    <e v="#N/A"/>
    <x v="10"/>
    <x v="0"/>
  </r>
  <r>
    <x v="10"/>
    <s v="UOXCY"/>
    <n v="110309"/>
    <s v="UOXCY"/>
    <n v="1102"/>
    <x v="2"/>
    <e v="#N/A"/>
    <x v="10"/>
    <x v="0"/>
  </r>
  <r>
    <x v="10"/>
    <s v="MSPAC"/>
    <n v="110307"/>
    <s v="MSPAC"/>
    <n v="1101"/>
    <x v="2"/>
    <e v="#N/A"/>
    <x v="10"/>
    <x v="0"/>
  </r>
  <r>
    <x v="10"/>
    <s v="HSVFI"/>
    <n v="110305"/>
    <s v="HSVFI"/>
    <n v="1100"/>
    <x v="2"/>
    <e v="#N/A"/>
    <x v="10"/>
    <x v="0"/>
  </r>
  <r>
    <x v="10"/>
    <s v="AUSRR"/>
    <n v="200815"/>
    <s v="AUSRR"/>
    <n v="1099"/>
    <x v="1"/>
    <e v="#N/A"/>
    <x v="10"/>
    <x v="0"/>
  </r>
  <r>
    <x v="10"/>
    <s v="BPTFI"/>
    <n v="200813"/>
    <s v="BPTFI"/>
    <n v="1098"/>
    <x v="1"/>
    <e v="#N/A"/>
    <x v="10"/>
    <x v="0"/>
  </r>
  <r>
    <x v="10"/>
    <s v="BBCFI"/>
    <n v="200811"/>
    <s v="BBCFI"/>
    <n v="1097"/>
    <x v="1"/>
    <e v="#N/A"/>
    <x v="10"/>
    <x v="0"/>
  </r>
  <r>
    <x v="10"/>
    <s v="MDWFI"/>
    <n v="200809"/>
    <s v="MDWFI"/>
    <n v="1096"/>
    <x v="1"/>
    <e v="#N/A"/>
    <x v="10"/>
    <x v="0"/>
  </r>
  <r>
    <x v="10"/>
    <s v="YQRCY"/>
    <n v="110303"/>
    <s v="YQRCY"/>
    <n v="1095"/>
    <x v="2"/>
    <e v="#N/A"/>
    <x v="10"/>
    <x v="0"/>
  </r>
  <r>
    <x v="10"/>
    <s v="JMSFI"/>
    <n v="110301"/>
    <s v="JMSFI"/>
    <n v="1094"/>
    <x v="2"/>
    <e v="#N/A"/>
    <x v="10"/>
    <x v="0"/>
  </r>
  <r>
    <x v="10"/>
    <s v="HOUST"/>
    <n v="200807"/>
    <s v="HOUST"/>
    <n v="1093"/>
    <x v="1"/>
    <e v="#N/A"/>
    <x v="10"/>
    <x v="0"/>
  </r>
  <r>
    <x v="10"/>
    <s v="MSYLF"/>
    <n v="200805"/>
    <s v="MSYLF"/>
    <n v="1092"/>
    <x v="1"/>
    <e v="#N/A"/>
    <x v="10"/>
    <x v="0"/>
  </r>
  <r>
    <x v="10"/>
    <s v="MSPAW"/>
    <n v="110299"/>
    <s v="MSPAW"/>
    <n v="1091"/>
    <x v="2"/>
    <e v="#N/A"/>
    <x v="10"/>
    <x v="0"/>
  </r>
  <r>
    <x v="10"/>
    <s v="MGMTR"/>
    <n v="110297"/>
    <s v="MGMTR"/>
    <n v="1090"/>
    <x v="2"/>
    <e v="#N/A"/>
    <x v="10"/>
    <x v="0"/>
  </r>
  <r>
    <x v="10"/>
    <s v="COTFI"/>
    <n v="200803"/>
    <s v="COTFI"/>
    <n v="1089"/>
    <x v="1"/>
    <e v="#N/A"/>
    <x v="10"/>
    <x v="0"/>
  </r>
  <r>
    <x v="10"/>
    <s v="ILECY"/>
    <n v="200801"/>
    <s v="ILECY"/>
    <n v="1088"/>
    <x v="1"/>
    <e v="#N/A"/>
    <x v="10"/>
    <x v="0"/>
  </r>
  <r>
    <x v="10"/>
    <s v="ICTCY"/>
    <n v="200799"/>
    <s v="ICTCY"/>
    <n v="1087"/>
    <x v="1"/>
    <e v="#N/A"/>
    <x v="10"/>
    <x v="0"/>
  </r>
  <r>
    <x v="10"/>
    <s v="HSVFC"/>
    <n v="110295"/>
    <s v="HSVFC"/>
    <n v="1086"/>
    <x v="2"/>
    <e v="#N/A"/>
    <x v="10"/>
    <x v="0"/>
  </r>
  <r>
    <x v="10"/>
    <s v="HSVAT"/>
    <n v="110293"/>
    <s v="HSVAT"/>
    <n v="1085"/>
    <x v="2"/>
    <e v="#N/A"/>
    <x v="10"/>
    <x v="0"/>
  </r>
  <r>
    <x v="10"/>
    <s v="ABRFI"/>
    <n v="110291"/>
    <s v="ABRFI"/>
    <n v="1084"/>
    <x v="2"/>
    <e v="#N/A"/>
    <x v="10"/>
    <x v="0"/>
  </r>
  <r>
    <x v="6"/>
    <s v="COUFS"/>
    <n v="200797"/>
    <s v="COUFS"/>
    <n v="1083"/>
    <x v="1"/>
    <e v="#N/A"/>
    <x v="6"/>
    <x v="0"/>
  </r>
  <r>
    <x v="10"/>
    <s v="JANAP"/>
    <n v="110289"/>
    <s v="JANAP"/>
    <n v="1082"/>
    <x v="2"/>
    <e v="#N/A"/>
    <x v="10"/>
    <x v="0"/>
  </r>
  <r>
    <x v="10"/>
    <s v="DSMCW"/>
    <n v="110287"/>
    <s v="DSMCW"/>
    <n v="1081"/>
    <x v="2"/>
    <e v="#N/A"/>
    <x v="10"/>
    <x v="0"/>
  </r>
  <r>
    <x v="10"/>
    <s v="AUSGT"/>
    <n v="200795"/>
    <s v="AUSGT"/>
    <n v="1080"/>
    <x v="1"/>
    <e v="#N/A"/>
    <x v="10"/>
    <x v="0"/>
  </r>
  <r>
    <x v="10"/>
    <s v="OKCED"/>
    <n v="200793"/>
    <s v="OKCED"/>
    <n v="1079"/>
    <x v="1"/>
    <e v="#N/A"/>
    <x v="10"/>
    <x v="0"/>
  </r>
  <r>
    <x v="10"/>
    <s v="OKCMO"/>
    <n v="200791"/>
    <s v="OKCMO"/>
    <n v="1078"/>
    <x v="1"/>
    <e v="#N/A"/>
    <x v="10"/>
    <x v="0"/>
  </r>
  <r>
    <x v="10"/>
    <s v="DSMNF"/>
    <n v="110285"/>
    <s v="DSMNF"/>
    <n v="1077"/>
    <x v="2"/>
    <e v="#N/A"/>
    <x v="10"/>
    <x v="0"/>
  </r>
  <r>
    <x v="10"/>
    <s v="LITFS"/>
    <n v="200789"/>
    <s v="LITFS"/>
    <n v="1076"/>
    <x v="1"/>
    <e v="#N/A"/>
    <x v="10"/>
    <x v="0"/>
  </r>
  <r>
    <x v="10"/>
    <s v="MSNOX"/>
    <n v="110283"/>
    <s v="MSNOX"/>
    <n v="1075"/>
    <x v="2"/>
    <e v="#N/A"/>
    <x v="10"/>
    <x v="0"/>
  </r>
  <r>
    <x v="6"/>
    <s v="MOBFI"/>
    <n v="110281"/>
    <s v="MOBFI"/>
    <n v="1074"/>
    <x v="2"/>
    <e v="#N/A"/>
    <x v="6"/>
    <x v="0"/>
  </r>
  <r>
    <x v="10"/>
    <s v="BMIFB"/>
    <n v="200787"/>
    <s v="BMIFB"/>
    <n v="1073"/>
    <x v="1"/>
    <e v="#N/A"/>
    <x v="10"/>
    <x v="0"/>
  </r>
  <r>
    <x v="10"/>
    <s v="TULDT"/>
    <n v="110279"/>
    <s v="TULDT"/>
    <n v="1072"/>
    <x v="2"/>
    <e v="#N/A"/>
    <x v="10"/>
    <x v="0"/>
  </r>
  <r>
    <x v="10"/>
    <s v="GFKEG"/>
    <n v="110277"/>
    <s v="GFKEG"/>
    <n v="1071"/>
    <x v="2"/>
    <e v="#N/A"/>
    <x v="10"/>
    <x v="0"/>
  </r>
  <r>
    <x v="10"/>
    <s v="BHMFC"/>
    <n v="110275"/>
    <s v="BHMFC"/>
    <n v="1070"/>
    <x v="2"/>
    <e v="#N/A"/>
    <x v="10"/>
    <x v="0"/>
  </r>
  <r>
    <x v="10"/>
    <s v="MKLSH"/>
    <n v="110273"/>
    <s v="MKLSH"/>
    <n v="1069"/>
    <x v="2"/>
    <e v="#N/A"/>
    <x v="10"/>
    <x v="0"/>
  </r>
  <r>
    <x v="10"/>
    <s v="EVVIN"/>
    <n v="110271"/>
    <s v="EVVIN"/>
    <n v="1068"/>
    <x v="2"/>
    <e v="#N/A"/>
    <x v="10"/>
    <x v="0"/>
  </r>
  <r>
    <x v="10"/>
    <s v="BHMNP"/>
    <n v="110269"/>
    <s v="BHMNP"/>
    <n v="1067"/>
    <x v="2"/>
    <e v="#N/A"/>
    <x v="10"/>
    <x v="0"/>
  </r>
  <r>
    <x v="10"/>
    <s v="CHIWD"/>
    <n v="200785"/>
    <s v="CHIWD"/>
    <n v="1066"/>
    <x v="1"/>
    <e v="#N/A"/>
    <x v="10"/>
    <x v="0"/>
  </r>
  <r>
    <x v="10"/>
    <s v="CHIWR"/>
    <n v="200783"/>
    <s v="CHIWR"/>
    <n v="1065"/>
    <x v="1"/>
    <e v="#N/A"/>
    <x v="10"/>
    <x v="0"/>
  </r>
  <r>
    <x v="6"/>
    <s v="DSMAI"/>
    <n v="110267"/>
    <s v="DSMAI"/>
    <n v="1064"/>
    <x v="2"/>
    <e v="#N/A"/>
    <x v="10"/>
    <x v="0"/>
  </r>
  <r>
    <x v="10"/>
    <s v="JANAC"/>
    <n v="110265"/>
    <s v="JANAC"/>
    <n v="1063"/>
    <x v="2"/>
    <e v="#N/A"/>
    <x v="10"/>
    <x v="0"/>
  </r>
  <r>
    <x v="10"/>
    <s v="MKTCY"/>
    <n v="110263"/>
    <s v="MKTCY"/>
    <n v="1062"/>
    <x v="2"/>
    <e v="#N/A"/>
    <x v="10"/>
    <x v="0"/>
  </r>
  <r>
    <x v="10"/>
    <s v="JANFA"/>
    <n v="110261"/>
    <s v="JANFA"/>
    <n v="1061"/>
    <x v="2"/>
    <e v="#N/A"/>
    <x v="10"/>
    <x v="0"/>
  </r>
  <r>
    <x v="10"/>
    <s v="BNAGH"/>
    <n v="110259"/>
    <s v="BNAGH"/>
    <n v="1060"/>
    <x v="2"/>
    <e v="#N/A"/>
    <x v="10"/>
    <x v="0"/>
  </r>
  <r>
    <x v="10"/>
    <s v="BNAFC"/>
    <n v="110257"/>
    <s v="BNAFC"/>
    <n v="1059"/>
    <x v="2"/>
    <e v="#N/A"/>
    <x v="10"/>
    <x v="0"/>
  </r>
  <r>
    <x v="10"/>
    <s v="MSYHO"/>
    <n v="200781"/>
    <s v="MSYHO"/>
    <n v="1058"/>
    <x v="1"/>
    <e v="#N/A"/>
    <x v="10"/>
    <x v="0"/>
  </r>
  <r>
    <x v="10"/>
    <s v="HOTCY"/>
    <n v="200779"/>
    <s v="HOTCY"/>
    <n v="1057"/>
    <x v="1"/>
    <e v="#N/A"/>
    <x v="10"/>
    <x v="0"/>
  </r>
  <r>
    <x v="10"/>
    <s v="CHIFN"/>
    <n v="200777"/>
    <s v="CHIFN"/>
    <n v="1056"/>
    <x v="1"/>
    <e v="#N/A"/>
    <x v="10"/>
    <x v="0"/>
  </r>
  <r>
    <x v="10"/>
    <s v="DSMUD"/>
    <n v="110255"/>
    <s v="DSMUD"/>
    <n v="1055"/>
    <x v="2"/>
    <e v="#N/A"/>
    <x v="10"/>
    <x v="0"/>
  </r>
  <r>
    <x v="10"/>
    <s v="YWGAP"/>
    <n v="110253"/>
    <s v="YWGAP"/>
    <n v="1054"/>
    <x v="2"/>
    <e v="#N/A"/>
    <x v="10"/>
    <x v="0"/>
  </r>
  <r>
    <x v="10"/>
    <s v="LCHSL"/>
    <n v="200775"/>
    <s v="LCHSL"/>
    <n v="1053"/>
    <x v="1"/>
    <e v="#N/A"/>
    <x v="10"/>
    <x v="0"/>
  </r>
  <r>
    <x v="10"/>
    <s v="CHIEL"/>
    <n v="200773"/>
    <s v="CHIEL"/>
    <n v="1052"/>
    <x v="1"/>
    <e v="#N/A"/>
    <x v="10"/>
    <x v="0"/>
  </r>
  <r>
    <x v="10"/>
    <s v="VRPFI"/>
    <n v="110251"/>
    <s v="VRPFI"/>
    <n v="1051"/>
    <x v="2"/>
    <e v="#N/A"/>
    <x v="10"/>
    <x v="0"/>
  </r>
  <r>
    <x v="10"/>
    <s v="OMASH"/>
    <n v="110249"/>
    <s v="OMASH"/>
    <n v="1050"/>
    <x v="2"/>
    <e v="#N/A"/>
    <x v="10"/>
    <x v="0"/>
  </r>
  <r>
    <x v="10"/>
    <s v="MSPFO"/>
    <n v="110247"/>
    <s v="MSPFO"/>
    <n v="1049"/>
    <x v="2"/>
    <e v="#N/A"/>
    <x v="10"/>
    <x v="0"/>
  </r>
  <r>
    <x v="10"/>
    <s v="MGMAP"/>
    <n v="110245"/>
    <s v="MGMAP"/>
    <n v="1048"/>
    <x v="2"/>
    <e v="#N/A"/>
    <x v="10"/>
    <x v="0"/>
  </r>
  <r>
    <x v="10"/>
    <s v="BWGFB"/>
    <n v="110243"/>
    <s v="BWGFB"/>
    <n v="1047"/>
    <x v="2"/>
    <e v="#N/A"/>
    <x v="10"/>
    <x v="0"/>
  </r>
  <r>
    <x v="10"/>
    <s v="MSYHF"/>
    <n v="200771"/>
    <s v="MSYHF"/>
    <n v="1046"/>
    <x v="1"/>
    <e v="#N/A"/>
    <x v="10"/>
    <x v="0"/>
  </r>
  <r>
    <x v="10"/>
    <s v="STJFI"/>
    <n v="110241"/>
    <s v="STJFI"/>
    <n v="1045"/>
    <x v="2"/>
    <e v="#N/A"/>
    <x v="10"/>
    <x v="0"/>
  </r>
  <r>
    <x v="10"/>
    <s v="CHITP"/>
    <n v="200769"/>
    <s v="CHITP"/>
    <n v="1044"/>
    <x v="1"/>
    <e v="#N/A"/>
    <x v="10"/>
    <x v="0"/>
  </r>
  <r>
    <x v="10"/>
    <s v="MKECY"/>
    <n v="110239"/>
    <s v="MKECY"/>
    <n v="1043"/>
    <x v="2"/>
    <e v="#N/A"/>
    <x v="10"/>
    <x v="0"/>
  </r>
  <r>
    <x v="10"/>
    <s v="HSVAV"/>
    <n v="110237"/>
    <s v="HSVAV"/>
    <n v="1042"/>
    <x v="2"/>
    <e v="#N/A"/>
    <x v="10"/>
    <x v="0"/>
  </r>
  <r>
    <x v="10"/>
    <s v="BWGCY"/>
    <n v="110235"/>
    <s v="BWGCY"/>
    <n v="1041"/>
    <x v="2"/>
    <e v="#N/A"/>
    <x v="10"/>
    <x v="0"/>
  </r>
  <r>
    <x v="10"/>
    <s v="MKEFD"/>
    <n v="110233"/>
    <s v="MKEFD"/>
    <n v="1040"/>
    <x v="2"/>
    <e v="#N/A"/>
    <x v="10"/>
    <x v="0"/>
  </r>
  <r>
    <x v="10"/>
    <s v="DFWWS"/>
    <n v="200767"/>
    <s v="DFWWS"/>
    <n v="1039"/>
    <x v="1"/>
    <e v="#N/A"/>
    <x v="10"/>
    <x v="0"/>
  </r>
  <r>
    <x v="10"/>
    <s v="OKCDT"/>
    <n v="200765"/>
    <s v="OKCDT"/>
    <n v="1038"/>
    <x v="1"/>
    <e v="#N/A"/>
    <x v="10"/>
    <x v="0"/>
  </r>
  <r>
    <x v="10"/>
    <s v="BHMFO"/>
    <n v="110231"/>
    <s v="BHMFO"/>
    <n v="1037"/>
    <x v="2"/>
    <e v="#N/A"/>
    <x v="10"/>
    <x v="0"/>
  </r>
  <r>
    <x v="10"/>
    <s v="MLURU"/>
    <n v="200763"/>
    <s v="MLURU"/>
    <n v="1036"/>
    <x v="1"/>
    <e v="#N/A"/>
    <x v="10"/>
    <x v="0"/>
  </r>
  <r>
    <x v="10"/>
    <s v="BGMON"/>
    <n v="110229"/>
    <s v="BGMON"/>
    <n v="1035"/>
    <x v="2"/>
    <e v="#N/A"/>
    <x v="10"/>
    <x v="0"/>
  </r>
  <r>
    <x v="10"/>
    <s v="LEXNO"/>
    <n v="110227"/>
    <s v="LEXNO"/>
    <n v="1034"/>
    <x v="2"/>
    <e v="#N/A"/>
    <x v="10"/>
    <x v="0"/>
  </r>
  <r>
    <x v="10"/>
    <s v="ORFSU"/>
    <n v="110225"/>
    <s v="ORFSU"/>
    <n v="1033"/>
    <x v="2"/>
    <e v="#N/A"/>
    <x v="10"/>
    <x v="0"/>
  </r>
  <r>
    <x v="10"/>
    <s v="MLBCB"/>
    <n v="110223"/>
    <s v="MLBCB"/>
    <n v="1032"/>
    <x v="2"/>
    <e v="#N/A"/>
    <x v="10"/>
    <x v="0"/>
  </r>
  <r>
    <x v="10"/>
    <s v="GSPSM"/>
    <n v="110221"/>
    <s v="GSPSM"/>
    <n v="1031"/>
    <x v="2"/>
    <e v="#N/A"/>
    <x v="10"/>
    <x v="0"/>
  </r>
  <r>
    <x v="10"/>
    <s v="CSGSH"/>
    <n v="110219"/>
    <s v="CSGSH"/>
    <n v="1030"/>
    <x v="2"/>
    <e v="#N/A"/>
    <x v="10"/>
    <x v="0"/>
  </r>
  <r>
    <x v="10"/>
    <s v="GRRPA"/>
    <n v="110217"/>
    <s v="GRRPA"/>
    <n v="1029"/>
    <x v="2"/>
    <e v="#N/A"/>
    <x v="10"/>
    <x v="0"/>
  </r>
  <r>
    <x v="10"/>
    <s v="ALBPK"/>
    <n v="110215"/>
    <s v="ALBPK"/>
    <n v="1028"/>
    <x v="2"/>
    <e v="#N/A"/>
    <x v="10"/>
    <x v="0"/>
  </r>
  <r>
    <x v="10"/>
    <s v="IADFC"/>
    <n v="110213"/>
    <s v="IADFC"/>
    <n v="1027"/>
    <x v="2"/>
    <e v="#N/A"/>
    <x v="10"/>
    <x v="0"/>
  </r>
  <r>
    <x v="10"/>
    <s v="WASPG"/>
    <n v="110211"/>
    <s v="WASPG"/>
    <n v="1026"/>
    <x v="2"/>
    <e v="#N/A"/>
    <x v="10"/>
    <x v="0"/>
  </r>
  <r>
    <x v="10"/>
    <s v="WASFA"/>
    <n v="110209"/>
    <s v="WASFA"/>
    <n v="1025"/>
    <x v="2"/>
    <e v="#N/A"/>
    <x v="10"/>
    <x v="0"/>
  </r>
  <r>
    <x v="10"/>
    <s v="MBSFR"/>
    <n v="110207"/>
    <s v="MBSFR"/>
    <n v="1024"/>
    <x v="2"/>
    <e v="#N/A"/>
    <x v="10"/>
    <x v="0"/>
  </r>
  <r>
    <x v="10"/>
    <s v="MYRCN"/>
    <n v="110205"/>
    <s v="MYRCN"/>
    <n v="1023"/>
    <x v="2"/>
    <e v="#N/A"/>
    <x v="10"/>
    <x v="0"/>
  </r>
  <r>
    <x v="10"/>
    <s v="CBEFI"/>
    <n v="110203"/>
    <s v="CBEFI"/>
    <n v="1022"/>
    <x v="2"/>
    <e v="#N/A"/>
    <x v="10"/>
    <x v="0"/>
  </r>
  <r>
    <x v="10"/>
    <s v="PBIJP"/>
    <n v="110201"/>
    <s v="PBIJP"/>
    <n v="1021"/>
    <x v="2"/>
    <e v="#N/A"/>
    <x v="10"/>
    <x v="0"/>
  </r>
  <r>
    <x v="10"/>
    <s v="BWIPF"/>
    <n v="110199"/>
    <s v="BWIPF"/>
    <n v="1020"/>
    <x v="2"/>
    <e v="#N/A"/>
    <x v="10"/>
    <x v="0"/>
  </r>
  <r>
    <x v="10"/>
    <s v="ROANO"/>
    <n v="110197"/>
    <s v="ROANO"/>
    <n v="1019"/>
    <x v="2"/>
    <e v="#N/A"/>
    <x v="10"/>
    <x v="0"/>
  </r>
  <r>
    <x v="10"/>
    <s v="CLTCT"/>
    <n v="110195"/>
    <s v="CLTCT"/>
    <n v="1018"/>
    <x v="2"/>
    <e v="#N/A"/>
    <x v="10"/>
    <x v="0"/>
  </r>
  <r>
    <x v="10"/>
    <s v="INDMN"/>
    <n v="110193"/>
    <s v="INDMN"/>
    <n v="1017"/>
    <x v="2"/>
    <e v="#N/A"/>
    <x v="10"/>
    <x v="0"/>
  </r>
  <r>
    <x v="10"/>
    <s v="YOWFA"/>
    <n v="110191"/>
    <s v="YOWFA"/>
    <n v="1016"/>
    <x v="2"/>
    <e v="#N/A"/>
    <x v="10"/>
    <x v="0"/>
  </r>
  <r>
    <x v="10"/>
    <s v="INTSR"/>
    <n v="110189"/>
    <s v="INTSR"/>
    <n v="1015"/>
    <x v="2"/>
    <e v="#N/A"/>
    <x v="10"/>
    <x v="0"/>
  </r>
  <r>
    <x v="10"/>
    <s v="LYHCY"/>
    <n v="110187"/>
    <s v="LYHCY"/>
    <n v="1014"/>
    <x v="2"/>
    <e v="#N/A"/>
    <x v="10"/>
    <x v="0"/>
  </r>
  <r>
    <x v="10"/>
    <s v="WGOSH"/>
    <n v="110185"/>
    <s v="WGOSH"/>
    <n v="1013"/>
    <x v="2"/>
    <e v="#N/A"/>
    <x v="10"/>
    <x v="0"/>
  </r>
  <r>
    <x v="10"/>
    <s v="EWRFW"/>
    <n v="110183"/>
    <s v="EWRFW"/>
    <n v="1012"/>
    <x v="2"/>
    <e v="#N/A"/>
    <x v="10"/>
    <x v="0"/>
  </r>
  <r>
    <x v="10"/>
    <s v="ROCFA"/>
    <n v="110179"/>
    <s v="ROCFA"/>
    <n v="1010"/>
    <x v="2"/>
    <e v="#N/A"/>
    <x v="10"/>
    <x v="0"/>
  </r>
  <r>
    <x v="10"/>
    <s v="SMECY"/>
    <n v="110177"/>
    <s v="SMECY"/>
    <n v="1009"/>
    <x v="2"/>
    <e v="#N/A"/>
    <x v="10"/>
    <x v="0"/>
  </r>
  <r>
    <x v="10"/>
    <s v="CHSNE"/>
    <n v="110175"/>
    <s v="CHSNE"/>
    <n v="1008"/>
    <x v="2"/>
    <e v="#N/A"/>
    <x v="10"/>
    <x v="0"/>
  </r>
  <r>
    <x v="10"/>
    <s v="MBSSM"/>
    <n v="110173"/>
    <s v="MBSSM"/>
    <n v="1007"/>
    <x v="2"/>
    <e v="#N/A"/>
    <x v="10"/>
    <x v="0"/>
  </r>
  <r>
    <x v="10"/>
    <s v="LEXFF"/>
    <n v="110171"/>
    <s v="LEXFF"/>
    <n v="1006"/>
    <x v="2"/>
    <e v="#N/A"/>
    <x v="10"/>
    <x v="0"/>
  </r>
  <r>
    <x v="10"/>
    <s v="PITLT"/>
    <n v="110169"/>
    <s v="PITLT"/>
    <n v="1005"/>
    <x v="2"/>
    <e v="#N/A"/>
    <x v="10"/>
    <x v="0"/>
  </r>
  <r>
    <x v="10"/>
    <s v="MHTNC"/>
    <n v="110167"/>
    <s v="MHTNC"/>
    <n v="1004"/>
    <x v="2"/>
    <e v="#N/A"/>
    <x v="10"/>
    <x v="0"/>
  </r>
  <r>
    <x v="10"/>
    <s v="MMIFI"/>
    <n v="110165"/>
    <s v="MMIFI"/>
    <n v="1003"/>
    <x v="2"/>
    <e v="#N/A"/>
    <x v="10"/>
    <x v="0"/>
  </r>
  <r>
    <x v="10"/>
    <s v="TPAFW"/>
    <n v="110163"/>
    <s v="TPAFW"/>
    <n v="1002"/>
    <x v="2"/>
    <e v="#N/A"/>
    <x v="10"/>
    <x v="0"/>
  </r>
  <r>
    <x v="10"/>
    <s v="INDAV"/>
    <n v="110161"/>
    <s v="INDAV"/>
    <n v="1001"/>
    <x v="2"/>
    <e v="#N/A"/>
    <x v="10"/>
    <x v="0"/>
  </r>
  <r>
    <x v="10"/>
    <s v="BOSSY"/>
    <n v="110159"/>
    <s v="BOSSY"/>
    <n v="1000"/>
    <x v="2"/>
    <e v="#N/A"/>
    <x v="10"/>
    <x v="0"/>
  </r>
  <r>
    <x v="10"/>
    <s v="CAECD"/>
    <n v="110157"/>
    <s v="CAECD"/>
    <n v="999"/>
    <x v="2"/>
    <e v="#N/A"/>
    <x v="10"/>
    <x v="0"/>
  </r>
  <r>
    <x v="10"/>
    <s v="CMHCG"/>
    <n v="110155"/>
    <s v="CMHCG"/>
    <n v="998"/>
    <x v="2"/>
    <e v="#N/A"/>
    <x v="10"/>
    <x v="0"/>
  </r>
  <r>
    <x v="10"/>
    <s v="BDLTH"/>
    <n v="110153"/>
    <s v="BDLTH"/>
    <n v="997"/>
    <x v="2"/>
    <e v="#N/A"/>
    <x v="10"/>
    <x v="0"/>
  </r>
  <r>
    <x v="10"/>
    <s v="TPABN"/>
    <n v="110151"/>
    <s v="TPABN"/>
    <n v="996"/>
    <x v="2"/>
    <e v="#N/A"/>
    <x v="10"/>
    <x v="0"/>
  </r>
  <r>
    <x v="10"/>
    <s v="EWRMA"/>
    <n v="110149"/>
    <s v="EWRMA"/>
    <n v="995"/>
    <x v="2"/>
    <e v="#N/A"/>
    <x v="10"/>
    <x v="0"/>
  </r>
  <r>
    <x v="10"/>
    <s v="PITBT"/>
    <n v="110147"/>
    <s v="PITBT"/>
    <n v="994"/>
    <x v="2"/>
    <e v="#N/A"/>
    <x v="10"/>
    <x v="0"/>
  </r>
  <r>
    <x v="10"/>
    <s v="ROASH"/>
    <n v="110145"/>
    <s v="ROASH"/>
    <n v="993"/>
    <x v="2"/>
    <e v="#N/A"/>
    <x v="10"/>
    <x v="0"/>
  </r>
  <r>
    <x v="10"/>
    <s v="WASNY"/>
    <n v="110143"/>
    <s v="WASNY"/>
    <n v="992"/>
    <x v="2"/>
    <e v="#N/A"/>
    <x v="10"/>
    <x v="0"/>
  </r>
  <r>
    <x v="10"/>
    <s v="LNSCY"/>
    <n v="110141"/>
    <s v="LNSCY"/>
    <n v="991"/>
    <x v="2"/>
    <e v="#N/A"/>
    <x v="10"/>
    <x v="0"/>
  </r>
  <r>
    <x v="10"/>
    <s v="CHAEH"/>
    <n v="110139"/>
    <s v="CHAEH"/>
    <n v="990"/>
    <x v="2"/>
    <e v="#N/A"/>
    <x v="10"/>
    <x v="0"/>
  </r>
  <r>
    <x v="10"/>
    <s v="TRIJC"/>
    <n v="110137"/>
    <s v="TRIJC"/>
    <n v="989"/>
    <x v="2"/>
    <e v="#N/A"/>
    <x v="10"/>
    <x v="0"/>
  </r>
  <r>
    <x v="10"/>
    <s v="CLEBW"/>
    <n v="110135"/>
    <s v="CLEBW"/>
    <n v="988"/>
    <x v="2"/>
    <e v="#N/A"/>
    <x v="10"/>
    <x v="0"/>
  </r>
  <r>
    <x v="10"/>
    <s v="GLRFI"/>
    <n v="110133"/>
    <s v="GLRFI"/>
    <n v="987"/>
    <x v="2"/>
    <e v="#N/A"/>
    <x v="10"/>
    <x v="0"/>
  </r>
  <r>
    <x v="10"/>
    <s v="DTWBR"/>
    <n v="110131"/>
    <s v="DTWBR"/>
    <n v="986"/>
    <x v="2"/>
    <e v="#N/A"/>
    <x v="10"/>
    <x v="0"/>
  </r>
  <r>
    <x v="10"/>
    <s v="CKBCY"/>
    <n v="110129"/>
    <s v="CKBCY"/>
    <n v="985"/>
    <x v="2"/>
    <e v="#N/A"/>
    <x v="10"/>
    <x v="0"/>
  </r>
  <r>
    <x v="10"/>
    <s v="CVGBC"/>
    <n v="110127"/>
    <s v="CVGBC"/>
    <n v="984"/>
    <x v="2"/>
    <e v="#N/A"/>
    <x v="10"/>
    <x v="0"/>
  </r>
  <r>
    <x v="10"/>
    <s v="PSMAC"/>
    <n v="110125"/>
    <s v="PSMAC"/>
    <n v="983"/>
    <x v="2"/>
    <e v="#N/A"/>
    <x v="10"/>
    <x v="0"/>
  </r>
  <r>
    <x v="10"/>
    <s v="PHLNC"/>
    <n v="110123"/>
    <s v="PHLNC"/>
    <n v="982"/>
    <x v="2"/>
    <e v="#N/A"/>
    <x v="10"/>
    <x v="0"/>
  </r>
  <r>
    <x v="10"/>
    <s v="JENSH"/>
    <n v="110121"/>
    <s v="JENSH"/>
    <n v="981"/>
    <x v="2"/>
    <e v="#N/A"/>
    <x v="10"/>
    <x v="0"/>
  </r>
  <r>
    <x v="10"/>
    <s v="CAKCN"/>
    <n v="110119"/>
    <s v="CAKCN"/>
    <n v="980"/>
    <x v="2"/>
    <e v="#N/A"/>
    <x v="10"/>
    <x v="0"/>
  </r>
  <r>
    <x v="10"/>
    <s v="SBNEH"/>
    <n v="110117"/>
    <s v="SBNEH"/>
    <n v="979"/>
    <x v="2"/>
    <e v="#N/A"/>
    <x v="10"/>
    <x v="0"/>
  </r>
  <r>
    <x v="10"/>
    <s v="CVGDX"/>
    <n v="110115"/>
    <s v="CVGDX"/>
    <n v="978"/>
    <x v="2"/>
    <e v="#N/A"/>
    <x v="10"/>
    <x v="0"/>
  </r>
  <r>
    <x v="10"/>
    <s v="WASFC"/>
    <n v="110113"/>
    <s v="WASFC"/>
    <n v="977"/>
    <x v="2"/>
    <e v="#N/A"/>
    <x v="10"/>
    <x v="0"/>
  </r>
  <r>
    <x v="10"/>
    <s v="AVLSH"/>
    <n v="110111"/>
    <s v="AVLSH"/>
    <n v="976"/>
    <x v="2"/>
    <e v="#N/A"/>
    <x v="10"/>
    <x v="0"/>
  </r>
  <r>
    <x v="10"/>
    <s v="BQKKG"/>
    <n v="110109"/>
    <s v="BQKKG"/>
    <n v="975"/>
    <x v="2"/>
    <e v="#N/A"/>
    <x v="10"/>
    <x v="0"/>
  </r>
  <r>
    <x v="10"/>
    <s v="INDWF"/>
    <n v="110107"/>
    <s v="INDWF"/>
    <n v="974"/>
    <x v="2"/>
    <e v="#N/A"/>
    <x v="10"/>
    <x v="0"/>
  </r>
  <r>
    <x v="10"/>
    <s v="LEXSF"/>
    <n v="110105"/>
    <s v="LEXSF"/>
    <n v="973"/>
    <x v="2"/>
    <e v="#N/A"/>
    <x v="10"/>
    <x v="0"/>
  </r>
  <r>
    <x v="10"/>
    <s v="TOLMU"/>
    <n v="110103"/>
    <s v="TOLMU"/>
    <n v="972"/>
    <x v="2"/>
    <e v="#N/A"/>
    <x v="10"/>
    <x v="0"/>
  </r>
  <r>
    <x v="10"/>
    <s v="SRQBD"/>
    <n v="110101"/>
    <s v="SRQBD"/>
    <n v="971"/>
    <x v="2"/>
    <e v="#N/A"/>
    <x v="10"/>
    <x v="0"/>
  </r>
  <r>
    <x v="10"/>
    <s v="MCOYC"/>
    <n v="110099"/>
    <s v="MCOYC"/>
    <n v="970"/>
    <x v="2"/>
    <e v="#N/A"/>
    <x v="10"/>
    <x v="0"/>
  </r>
  <r>
    <x v="10"/>
    <s v="EYWCY"/>
    <n v="110097"/>
    <s v="EYWCY"/>
    <n v="969"/>
    <x v="2"/>
    <e v="#N/A"/>
    <x v="10"/>
    <x v="0"/>
  </r>
  <r>
    <x v="10"/>
    <s v="INDSW"/>
    <n v="110095"/>
    <s v="INDSW"/>
    <n v="968"/>
    <x v="2"/>
    <e v="#N/A"/>
    <x v="10"/>
    <x v="0"/>
  </r>
  <r>
    <x v="10"/>
    <s v="SAVHV"/>
    <n v="110093"/>
    <s v="SAVHV"/>
    <n v="967"/>
    <x v="2"/>
    <e v="#N/A"/>
    <x v="10"/>
    <x v="0"/>
  </r>
  <r>
    <x v="10"/>
    <s v="GNVCY"/>
    <n v="110091"/>
    <s v="GNVCY"/>
    <n v="966"/>
    <x v="2"/>
    <e v="#N/A"/>
    <x v="10"/>
    <x v="0"/>
  </r>
  <r>
    <x v="10"/>
    <s v="GRDFI"/>
    <n v="110089"/>
    <s v="GRDFI"/>
    <n v="965"/>
    <x v="2"/>
    <e v="#N/A"/>
    <x v="10"/>
    <x v="0"/>
  </r>
  <r>
    <x v="10"/>
    <s v="FLOCY"/>
    <n v="110087"/>
    <s v="FLOCY"/>
    <n v="964"/>
    <x v="2"/>
    <e v="#N/A"/>
    <x v="10"/>
    <x v="0"/>
  </r>
  <r>
    <x v="10"/>
    <s v="BTVCY"/>
    <n v="110085"/>
    <s v="BTVCY"/>
    <n v="963"/>
    <x v="2"/>
    <e v="#N/A"/>
    <x v="10"/>
    <x v="0"/>
  </r>
  <r>
    <x v="10"/>
    <s v="BWISU"/>
    <n v="110083"/>
    <s v="BWISU"/>
    <n v="962"/>
    <x v="2"/>
    <e v="#N/A"/>
    <x v="10"/>
    <x v="0"/>
  </r>
  <r>
    <x v="10"/>
    <s v="ROCFI"/>
    <n v="110081"/>
    <s v="ROCFI"/>
    <n v="961"/>
    <x v="2"/>
    <e v="#N/A"/>
    <x v="10"/>
    <x v="0"/>
  </r>
  <r>
    <x v="10"/>
    <s v="WASBA"/>
    <n v="110079"/>
    <s v="WASBA"/>
    <n v="960"/>
    <x v="2"/>
    <e v="#N/A"/>
    <x v="10"/>
    <x v="0"/>
  </r>
  <r>
    <x v="10"/>
    <s v="SCEHD"/>
    <n v="110077"/>
    <s v="SCEHD"/>
    <n v="959"/>
    <x v="2"/>
    <e v="#N/A"/>
    <x v="10"/>
    <x v="0"/>
  </r>
  <r>
    <x v="10"/>
    <s v="DAYNP"/>
    <n v="110075"/>
    <s v="DAYNP"/>
    <n v="958"/>
    <x v="2"/>
    <e v="#N/A"/>
    <x v="10"/>
    <x v="0"/>
  </r>
  <r>
    <x v="10"/>
    <s v="RDGFI"/>
    <n v="110073"/>
    <s v="RDGFI"/>
    <n v="957"/>
    <x v="2"/>
    <e v="#N/A"/>
    <x v="10"/>
    <x v="0"/>
  </r>
  <r>
    <x v="10"/>
    <s v="HVNUN"/>
    <n v="110071"/>
    <s v="HVNUN"/>
    <n v="956"/>
    <x v="2"/>
    <e v="#N/A"/>
    <x v="10"/>
    <x v="0"/>
  </r>
  <r>
    <x v="10"/>
    <s v="ROCFG"/>
    <n v="110069"/>
    <s v="ROCFG"/>
    <n v="955"/>
    <x v="2"/>
    <e v="#N/A"/>
    <x v="10"/>
    <x v="0"/>
  </r>
  <r>
    <x v="10"/>
    <s v="CSGAC"/>
    <n v="110067"/>
    <s v="CSGAC"/>
    <n v="954"/>
    <x v="2"/>
    <e v="#N/A"/>
    <x v="10"/>
    <x v="0"/>
  </r>
  <r>
    <x v="10"/>
    <s v="CLEWB"/>
    <n v="110065"/>
    <s v="CLEWB"/>
    <n v="953"/>
    <x v="2"/>
    <e v="#N/A"/>
    <x v="10"/>
    <x v="0"/>
  </r>
  <r>
    <x v="10"/>
    <s v="GSPCM"/>
    <n v="110063"/>
    <s v="GSPCM"/>
    <n v="952"/>
    <x v="2"/>
    <e v="#N/A"/>
    <x v="10"/>
    <x v="0"/>
  </r>
  <r>
    <x v="10"/>
    <s v="CLEAC"/>
    <n v="110061"/>
    <s v="CLEAC"/>
    <n v="951"/>
    <x v="2"/>
    <e v="#N/A"/>
    <x v="10"/>
    <x v="0"/>
  </r>
  <r>
    <x v="10"/>
    <s v="MHTFA"/>
    <n v="110059"/>
    <s v="MHTFA"/>
    <n v="950"/>
    <x v="2"/>
    <e v="#N/A"/>
    <x v="10"/>
    <x v="0"/>
  </r>
  <r>
    <x v="10"/>
    <s v="GSODV"/>
    <n v="110057"/>
    <s v="GSODV"/>
    <n v="949"/>
    <x v="2"/>
    <e v="#N/A"/>
    <x v="10"/>
    <x v="0"/>
  </r>
  <r>
    <x v="10"/>
    <s v="DABFI"/>
    <n v="110055"/>
    <s v="DABFI"/>
    <n v="948"/>
    <x v="2"/>
    <e v="#N/A"/>
    <x v="10"/>
    <x v="0"/>
  </r>
  <r>
    <x v="10"/>
    <s v="JAXBS"/>
    <n v="110053"/>
    <s v="JAXBS"/>
    <n v="947"/>
    <x v="2"/>
    <e v="#N/A"/>
    <x v="10"/>
    <x v="0"/>
  </r>
  <r>
    <x v="10"/>
    <s v="TLHEC"/>
    <n v="110049"/>
    <s v="TLHEC"/>
    <n v="945"/>
    <x v="2"/>
    <e v="#N/A"/>
    <x v="10"/>
    <x v="0"/>
  </r>
  <r>
    <x v="10"/>
    <s v="JAXBB"/>
    <n v="110047"/>
    <s v="JAXBB"/>
    <n v="944"/>
    <x v="2"/>
    <e v="#N/A"/>
    <x v="10"/>
    <x v="0"/>
  </r>
  <r>
    <x v="10"/>
    <s v="CHACL"/>
    <n v="110045"/>
    <s v="CHACL"/>
    <n v="943"/>
    <x v="2"/>
    <e v="#N/A"/>
    <x v="10"/>
    <x v="0"/>
  </r>
  <r>
    <x v="10"/>
    <s v="INDSF"/>
    <n v="110043"/>
    <s v="INDSF"/>
    <n v="942"/>
    <x v="2"/>
    <e v="#N/A"/>
    <x v="10"/>
    <x v="0"/>
  </r>
  <r>
    <x v="10"/>
    <s v="GSOSA"/>
    <n v="110041"/>
    <s v="GSOSA"/>
    <n v="941"/>
    <x v="2"/>
    <e v="#N/A"/>
    <x v="10"/>
    <x v="0"/>
  </r>
  <r>
    <x v="10"/>
    <s v="HARYK"/>
    <n v="110039"/>
    <s v="HARYK"/>
    <n v="940"/>
    <x v="2"/>
    <e v="#N/A"/>
    <x v="10"/>
    <x v="0"/>
  </r>
  <r>
    <x v="10"/>
    <s v="YNGFA"/>
    <n v="110037"/>
    <s v="YNGFA"/>
    <n v="939"/>
    <x v="2"/>
    <e v="#N/A"/>
    <x v="10"/>
    <x v="0"/>
  </r>
  <r>
    <x v="10"/>
    <s v="PGVKS"/>
    <n v="110035"/>
    <s v="PGVKS"/>
    <n v="938"/>
    <x v="2"/>
    <e v="#N/A"/>
    <x v="10"/>
    <x v="0"/>
  </r>
  <r>
    <x v="10"/>
    <s v="DOVFI"/>
    <n v="110033"/>
    <s v="DOVFI"/>
    <n v="937"/>
    <x v="2"/>
    <e v="#N/A"/>
    <x v="10"/>
    <x v="0"/>
  </r>
  <r>
    <x v="10"/>
    <s v="GSOGW"/>
    <n v="110031"/>
    <s v="GSOGW"/>
    <n v="936"/>
    <x v="2"/>
    <e v="#N/A"/>
    <x v="10"/>
    <x v="0"/>
  </r>
  <r>
    <x v="10"/>
    <s v="MYRCF"/>
    <n v="110029"/>
    <s v="MYRCF"/>
    <n v="935"/>
    <x v="2"/>
    <e v="#N/A"/>
    <x v="10"/>
    <x v="0"/>
  </r>
  <r>
    <x v="10"/>
    <s v="PHLMH"/>
    <n v="110027"/>
    <s v="PHLMH"/>
    <n v="934"/>
    <x v="2"/>
    <e v="#N/A"/>
    <x v="10"/>
    <x v="0"/>
  </r>
  <r>
    <x v="10"/>
    <s v="AVLCY"/>
    <n v="110025"/>
    <s v="AVLCY"/>
    <n v="933"/>
    <x v="2"/>
    <e v="#N/A"/>
    <x v="10"/>
    <x v="0"/>
  </r>
  <r>
    <x v="10"/>
    <s v="PKBFI"/>
    <n v="110023"/>
    <s v="PKBFI"/>
    <n v="932"/>
    <x v="2"/>
    <e v="#N/A"/>
    <x v="10"/>
    <x v="0"/>
  </r>
  <r>
    <x v="10"/>
    <s v="MCOUS"/>
    <n v="110021"/>
    <s v="MCOUS"/>
    <n v="931"/>
    <x v="2"/>
    <e v="#N/A"/>
    <x v="10"/>
    <x v="0"/>
  </r>
  <r>
    <x v="10"/>
    <s v="MLBVB"/>
    <n v="110019"/>
    <s v="MLBVB"/>
    <n v="930"/>
    <x v="2"/>
    <e v="#N/A"/>
    <x v="10"/>
    <x v="0"/>
  </r>
  <r>
    <x v="10"/>
    <s v="DAYTH"/>
    <n v="110017"/>
    <s v="DAYTH"/>
    <n v="929"/>
    <x v="2"/>
    <e v="#N/A"/>
    <x v="10"/>
    <x v="0"/>
  </r>
  <r>
    <x v="10"/>
    <s v="CHSCN"/>
    <n v="110015"/>
    <s v="CHSCN"/>
    <n v="928"/>
    <x v="2"/>
    <e v="#N/A"/>
    <x v="10"/>
    <x v="0"/>
  </r>
  <r>
    <x v="10"/>
    <s v="BDLFI"/>
    <n v="110013"/>
    <s v="BDLFI"/>
    <n v="927"/>
    <x v="2"/>
    <e v="#N/A"/>
    <x v="10"/>
    <x v="0"/>
  </r>
  <r>
    <x v="10"/>
    <s v="DAYML"/>
    <n v="110011"/>
    <s v="DAYML"/>
    <n v="926"/>
    <x v="2"/>
    <e v="#N/A"/>
    <x v="10"/>
    <x v="0"/>
  </r>
  <r>
    <x v="10"/>
    <s v="JAXNE"/>
    <n v="110009"/>
    <s v="JAXNE"/>
    <n v="925"/>
    <x v="2"/>
    <e v="#N/A"/>
    <x v="10"/>
    <x v="0"/>
  </r>
  <r>
    <x v="10"/>
    <s v="GBRFI"/>
    <n v="110007"/>
    <s v="GBRFI"/>
    <n v="924"/>
    <x v="2"/>
    <e v="#N/A"/>
    <x v="10"/>
    <x v="0"/>
  </r>
  <r>
    <x v="10"/>
    <s v="CAKCC"/>
    <n v="110005"/>
    <s v="CAKCC"/>
    <n v="923"/>
    <x v="2"/>
    <e v="#N/A"/>
    <x v="10"/>
    <x v="0"/>
  </r>
  <r>
    <x v="10"/>
    <s v="CAKMT"/>
    <n v="110003"/>
    <s v="CAKMT"/>
    <n v="922"/>
    <x v="2"/>
    <e v="#N/A"/>
    <x v="10"/>
    <x v="0"/>
  </r>
  <r>
    <x v="10"/>
    <s v="TYSKD"/>
    <n v="110001"/>
    <s v="TYSKD"/>
    <n v="921"/>
    <x v="2"/>
    <e v="#N/A"/>
    <x v="10"/>
    <x v="0"/>
  </r>
  <r>
    <x v="11"/>
    <s v="MCIPO"/>
    <n v="110369"/>
    <s v="MCIPO"/>
    <n v="1177"/>
    <x v="2"/>
    <e v="#N/A"/>
    <x v="11"/>
    <x v="0"/>
  </r>
  <r>
    <x v="11"/>
    <s v="RDUCL"/>
    <n v="110367"/>
    <s v="RDUCL"/>
    <n v="1176"/>
    <x v="2"/>
    <e v="#N/A"/>
    <x v="11"/>
    <x v="0"/>
  </r>
  <r>
    <x v="11"/>
    <s v="TLHAL"/>
    <n v="110365"/>
    <s v="TLHAL"/>
    <n v="1175"/>
    <x v="2"/>
    <e v="#N/A"/>
    <x v="11"/>
    <x v="0"/>
  </r>
  <r>
    <x v="12"/>
    <s v="ATLMO"/>
    <n v="100959"/>
    <s v="ATLMO"/>
    <n v="1648"/>
    <x v="0"/>
    <s v="Fairfield by Marriott Inn &amp; Suites Morrow"/>
    <x v="12"/>
    <x v="1"/>
  </r>
  <r>
    <x v="12"/>
    <s v="LNKYF"/>
    <n v="200901"/>
    <s v="LNKYF"/>
    <n v="1653"/>
    <x v="1"/>
    <s v="Fairfield by Marriott Inn &amp; Suites York"/>
    <x v="13"/>
    <x v="1"/>
  </r>
  <r>
    <x v="12"/>
    <s v="INDLF"/>
    <n v="100973"/>
    <s v="INDLF"/>
    <n v="1831"/>
    <x v="0"/>
    <s v="Fairfield by Marriott Inn &amp; Suites Lebanon"/>
    <x v="11"/>
    <x v="1"/>
  </r>
  <r>
    <x v="12"/>
    <s v="ABQLF"/>
    <n v="200903"/>
    <s v="ABQLF"/>
    <n v="1654"/>
    <x v="1"/>
    <s v="Fairfield by Marriott Inn &amp; Suites Los Lunas"/>
    <x v="14"/>
    <x v="1"/>
  </r>
  <r>
    <x v="12"/>
    <s v="YOWOX"/>
    <n v="100963"/>
    <s v="YOWOX"/>
    <n v="1650"/>
    <x v="0"/>
    <s v="Moxy Ottawa Downtown"/>
    <x v="15"/>
    <x v="1"/>
  </r>
  <r>
    <x v="12"/>
    <s v="SAVPA"/>
    <n v="100969"/>
    <s v="SAVPA"/>
    <n v="1656"/>
    <x v="0"/>
    <s v="Four Points by Sheraton Savannah Airport"/>
    <x v="16"/>
    <x v="1"/>
  </r>
  <r>
    <x v="12"/>
    <s v="BOSSF"/>
    <n v="100955"/>
    <s v="BOSSF"/>
    <n v="1624"/>
    <x v="0"/>
    <s v="Fairfield by Marriott Inn &amp; Suites Stoughton"/>
    <x v="17"/>
    <x v="1"/>
  </r>
  <r>
    <x v="12"/>
    <s v="DENNC"/>
    <n v="200897"/>
    <s v="DENNC"/>
    <n v="1621"/>
    <x v="1"/>
    <s v="AC Hotel Denver RiNo"/>
    <x v="18"/>
    <x v="1"/>
  </r>
  <r>
    <x v="12"/>
    <s v="CLESU"/>
    <n v="100957"/>
    <s v="CLESU"/>
    <n v="1625"/>
    <x v="0"/>
    <s v="SpringHill Suites by Marriott Sandusky"/>
    <x v="19"/>
    <x v="1"/>
  </r>
  <r>
    <x v="12"/>
    <s v="SMFDA"/>
    <n v="200899"/>
    <s v="SMFDA"/>
    <n v="1623"/>
    <x v="1"/>
    <s v="Aloft El Dorado Hills"/>
    <x v="20"/>
    <x v="1"/>
  </r>
  <r>
    <x v="12"/>
    <s v="YYZBF"/>
    <n v="100975"/>
    <s v="YYZBF"/>
    <n v="1835"/>
    <x v="0"/>
    <s v="Fairfield by Marriott Inn &amp; Suites Bradford"/>
    <x v="21"/>
    <x v="1"/>
  </r>
  <r>
    <x v="12"/>
    <s v="DAYFS"/>
    <n v="100961"/>
    <s v="DAYFS"/>
    <n v="1649"/>
    <x v="0"/>
    <s v="Fairfield by Marriott Inn &amp; Suites Sidney"/>
    <x v="22"/>
    <x v="1"/>
  </r>
  <r>
    <x v="12"/>
    <s v="DALMN"/>
    <n v="200905"/>
    <s v="DALMN"/>
    <n v="1655"/>
    <x v="1"/>
    <s v="AC Hotel McKinney"/>
    <x v="23"/>
    <x v="1"/>
  </r>
  <r>
    <x v="12"/>
    <e v="#N/A"/>
    <e v="#N/A"/>
    <s v="ORFNF"/>
    <e v="#N/A"/>
    <x v="3"/>
    <e v="#N/A"/>
    <x v="24"/>
    <x v="1"/>
  </r>
  <r>
    <x v="12"/>
    <s v="DTWSH"/>
    <n v="100965"/>
    <s v="DTWSH"/>
    <n v="1651"/>
    <x v="0"/>
    <s v="Fairfield by Marriott Inn &amp; Suites Detroit Sterling Heights"/>
    <x v="25"/>
    <x v="1"/>
  </r>
  <r>
    <x v="12"/>
    <e v="#N/A"/>
    <e v="#N/A"/>
    <s v="DENGH"/>
    <e v="#N/A"/>
    <x v="3"/>
    <e v="#N/A"/>
    <x v="26"/>
    <x v="1"/>
  </r>
  <r>
    <x v="13"/>
    <s v="NYCQJ"/>
    <n v="111001"/>
    <s v="NYCQJ"/>
    <n v="1181"/>
    <x v="4"/>
    <s v="Courtyard by Marriott New York Queens/Jamaica"/>
    <x v="15"/>
    <x v="0"/>
  </r>
  <r>
    <x v="13"/>
    <s v="NYCFJ"/>
    <n v="111001"/>
    <s v="NYCFJ"/>
    <n v="1185"/>
    <x v="4"/>
    <s v="Fairfield by Marriott Inn &amp; Suites New York Queens/Jamaica"/>
    <x v="15"/>
    <x v="0"/>
  </r>
  <r>
    <x v="13"/>
    <s v="PRHFI"/>
    <n v="111003"/>
    <s v="PRHFI"/>
    <n v="1182"/>
    <x v="4"/>
    <s v="Fairfield Inn Port Huron"/>
    <x v="15"/>
    <x v="0"/>
  </r>
  <r>
    <x v="13"/>
    <s v="NYCTM"/>
    <n v="111005"/>
    <s v="NYCTM"/>
    <n v="1183"/>
    <x v="4"/>
    <s v="Fairfield by Marriott Inn &amp; Suites New York Manhattan/Fifth Avenue"/>
    <x v="15"/>
    <x v="0"/>
  </r>
  <r>
    <x v="13"/>
    <s v="HPNNB"/>
    <n v="111007"/>
    <s v="HPNNB"/>
    <n v="1184"/>
    <x v="4"/>
    <s v="Courtyard by Marriott Newburgh Stewart Airport"/>
    <x v="15"/>
    <x v="0"/>
  </r>
  <r>
    <x v="13"/>
    <s v="PWMCD"/>
    <n v="111009"/>
    <s v="PWMCD"/>
    <n v="1186"/>
    <x v="4"/>
    <s v="Courtyard by Marriott Portland Downtown/Waterfront"/>
    <x v="15"/>
    <x v="0"/>
  </r>
  <r>
    <x v="13"/>
    <s v="EWRPX"/>
    <n v="111011"/>
    <s v="EWRPX"/>
    <n v="1187"/>
    <x v="4"/>
    <s v="Fairfield by Marriott Inn &amp; Suites Paramus"/>
    <x v="15"/>
    <x v="0"/>
  </r>
  <r>
    <x v="13"/>
    <s v="EWRWK"/>
    <n v="111013"/>
    <s v="EWRWK"/>
    <n v="1188"/>
    <x v="4"/>
    <s v="Courtyard by Marriott North Brunswick"/>
    <x v="15"/>
    <x v="0"/>
  </r>
  <r>
    <x v="13"/>
    <s v="PHLRO"/>
    <n v="111015"/>
    <s v="PHLRO"/>
    <n v="1190"/>
    <x v="4"/>
    <s v="Fairfield by Marriott Inn &amp; Suites Philadelphia Broomall/Newtown Square"/>
    <x v="15"/>
    <x v="0"/>
  </r>
  <r>
    <x v="13"/>
    <s v="PBIFF"/>
    <n v="111017"/>
    <s v="PBIFF"/>
    <n v="1191"/>
    <x v="4"/>
    <s v="Fairfield by Marriott Inn &amp; Suites Palm Beach"/>
    <x v="15"/>
    <x v="0"/>
  </r>
  <r>
    <x v="13"/>
    <s v="PITDF"/>
    <n v="111019"/>
    <s v="PITDF"/>
    <n v="1192"/>
    <x v="4"/>
    <s v="Fairfield by Marriott Inn &amp; Suites Pittsburgh Downtown"/>
    <x v="15"/>
    <x v="0"/>
  </r>
  <r>
    <x v="13"/>
    <s v="TYSKW"/>
    <n v="111021"/>
    <s v="TYSKW"/>
    <n v="1193"/>
    <x v="4"/>
    <s v="SpringHill Suites by Marriott Knoxville at Turkey Creek"/>
    <x v="15"/>
    <x v="0"/>
  </r>
  <r>
    <x v="13"/>
    <s v="PHLCV"/>
    <n v="111023"/>
    <s v="PHLCV"/>
    <n v="1194"/>
    <x v="4"/>
    <s v="Courtyard by Marriott Philadelphia Coatesville Exton"/>
    <x v="15"/>
    <x v="0"/>
  </r>
  <r>
    <x v="13"/>
    <s v="EWRFS"/>
    <n v="111025"/>
    <s v="EWRFS"/>
    <n v="1195"/>
    <x v="4"/>
    <s v="Fairfield by Marriott Inn &amp; Suites Newark Liberty International Airport"/>
    <x v="15"/>
    <x v="0"/>
  </r>
  <r>
    <x v="13"/>
    <s v="CRWCY"/>
    <n v="111027"/>
    <s v="CRWCY"/>
    <n v="1196"/>
    <x v="4"/>
    <s v="Courtyard by Marriott Charleston Downtown/Civic Center"/>
    <x v="15"/>
    <x v="0"/>
  </r>
  <r>
    <x v="13"/>
    <s v="NYCTW"/>
    <n v="111029"/>
    <s v="NYCTW"/>
    <n v="1197"/>
    <x v="4"/>
    <s v="Fairfield by Marriott Inn &amp; Suites New York Manhattan/Chelsea"/>
    <x v="15"/>
    <x v="0"/>
  </r>
  <r>
    <x v="13"/>
    <s v="NYCQS"/>
    <n v="111031"/>
    <s v="NYCQS"/>
    <n v="1198"/>
    <x v="4"/>
    <s v="SpringHill Suites by Marriott New York JFK Airport/Jamaica"/>
    <x v="15"/>
    <x v="0"/>
  </r>
  <r>
    <x v="13"/>
    <s v="EWRSW"/>
    <n v="111033"/>
    <s v="EWRSW"/>
    <n v="1199"/>
    <x v="4"/>
    <s v="SpringHill Suites by Marriott East Rutherford Meadowlands/Carlstadt"/>
    <x v="15"/>
    <x v="0"/>
  </r>
  <r>
    <x v="13"/>
    <s v="EWRML"/>
    <n v="111035"/>
    <s v="EWRML"/>
    <n v="1200"/>
    <x v="4"/>
    <s v="Courtyard by Marriott Lyndhurst Meadowlands"/>
    <x v="15"/>
    <x v="0"/>
  </r>
  <r>
    <x v="13"/>
    <s v="EWRUF"/>
    <n v="111037"/>
    <s v="EWRUF"/>
    <n v="1201"/>
    <x v="4"/>
    <s v="Fairfield by Marriott Inn &amp; Suites Union"/>
    <x v="15"/>
    <x v="0"/>
  </r>
  <r>
    <x v="13"/>
    <s v="UKTSH"/>
    <n v="111039"/>
    <s v="UKTSH"/>
    <n v="1202"/>
    <x v="4"/>
    <s v="SpringHill Suites by Marriott Quakertown"/>
    <x v="15"/>
    <x v="0"/>
  </r>
  <r>
    <x v="13"/>
    <s v="ATLDU"/>
    <n v="111041"/>
    <s v="ATLDU"/>
    <n v="1203"/>
    <x v="4"/>
    <s v="Courtyard by Marriott Atlanta NE/Duluth Sugarloaf"/>
    <x v="15"/>
    <x v="0"/>
  </r>
  <r>
    <x v="13"/>
    <s v="ATLCN"/>
    <n v="111043"/>
    <s v="ATLCN"/>
    <n v="1228"/>
    <x v="4"/>
    <s v="AC Hotel Atlanta Midtown"/>
    <x v="15"/>
    <x v="0"/>
  </r>
  <r>
    <x v="13"/>
    <s v="ATLOX"/>
    <n v="111043"/>
    <s v="ATLOX"/>
    <n v="1204"/>
    <x v="4"/>
    <s v="Moxy Atlanta Midtown"/>
    <x v="15"/>
    <x v="0"/>
  </r>
  <r>
    <x v="13"/>
    <s v="EWRED"/>
    <n v="111045"/>
    <s v="EWRED"/>
    <n v="1205"/>
    <x v="4"/>
    <s v="Courtyard by Marriott Edison Woodbridge"/>
    <x v="15"/>
    <x v="0"/>
  </r>
  <r>
    <x v="13"/>
    <s v="PHLQC"/>
    <n v="111047"/>
    <s v="PHLQC"/>
    <n v="1206"/>
    <x v="4"/>
    <s v="AC Hotel Newtown Square"/>
    <x v="15"/>
    <x v="0"/>
  </r>
  <r>
    <x v="13"/>
    <s v="ATLKE"/>
    <n v="111049"/>
    <s v="ATLKE"/>
    <n v="1207"/>
    <x v="4"/>
    <s v="Courtyard by Marriott Atlanta Kennesaw"/>
    <x v="15"/>
    <x v="0"/>
  </r>
  <r>
    <x v="13"/>
    <s v="ILGUD"/>
    <n v="111051"/>
    <s v="ILGUD"/>
    <n v="1208"/>
    <x v="4"/>
    <s v="Courtyard by Marriott Newark-University of Delaware"/>
    <x v="15"/>
    <x v="0"/>
  </r>
  <r>
    <x v="13"/>
    <s v="MIAGB"/>
    <n v="111053"/>
    <s v="MIAGB"/>
    <n v="1209"/>
    <x v="4"/>
    <s v="Courtyard by Marriott Miami Coral Gables"/>
    <x v="15"/>
    <x v="0"/>
  </r>
  <r>
    <x v="13"/>
    <s v="PITML"/>
    <n v="111055"/>
    <s v="PITML"/>
    <n v="1210"/>
    <x v="4"/>
    <s v="SpringHill Suites by Marriott Pittsburgh Mills"/>
    <x v="15"/>
    <x v="0"/>
  </r>
  <r>
    <x v="13"/>
    <s v="PHLCC"/>
    <n v="111057"/>
    <s v="PHLCC"/>
    <n v="1211"/>
    <x v="4"/>
    <s v="Fairfield by Marriott Inn &amp; Suites Philadelphia Downtown/Center City"/>
    <x v="15"/>
    <x v="0"/>
  </r>
  <r>
    <x v="13"/>
    <s v="ATLYN"/>
    <n v="111059"/>
    <s v="ATLYN"/>
    <n v="1212"/>
    <x v="4"/>
    <s v="Courtyard by Marriott Atlanta Dunwoody"/>
    <x v="15"/>
    <x v="0"/>
  </r>
  <r>
    <x v="13"/>
    <s v="RDUCX"/>
    <n v="111061"/>
    <s v="RDUCX"/>
    <n v="1213"/>
    <x v="4"/>
    <s v="Courtyard by Marriott Raleigh Cary Crossroads"/>
    <x v="15"/>
    <x v="0"/>
  </r>
  <r>
    <x v="13"/>
    <s v="PBIBB"/>
    <n v="111063"/>
    <s v="PBIBB"/>
    <n v="1214"/>
    <x v="4"/>
    <s v="Courtyard by Marriott Boynton Beach"/>
    <x v="15"/>
    <x v="0"/>
  </r>
  <r>
    <x v="13"/>
    <s v="BOSAR"/>
    <n v="111065"/>
    <s v="BOSAR"/>
    <n v="1215"/>
    <x v="4"/>
    <s v="AC Hotel Boston Cambridge"/>
    <x v="15"/>
    <x v="0"/>
  </r>
  <r>
    <x v="13"/>
    <s v="NYCOT"/>
    <n v="111067"/>
    <s v="NYCOT"/>
    <n v="1216"/>
    <x v="4"/>
    <s v="Moxy NYC East Village"/>
    <x v="15"/>
    <x v="0"/>
  </r>
  <r>
    <x v="13"/>
    <s v="ATLSS"/>
    <n v="111069"/>
    <s v="ATLSS"/>
    <n v="1217"/>
    <x v="4"/>
    <s v="SpringHill Suites by Marriott Atlanta Alpharetta"/>
    <x v="15"/>
    <x v="0"/>
  </r>
  <r>
    <x v="13"/>
    <s v="PHLMM"/>
    <n v="111071"/>
    <s v="PHLMM"/>
    <n v="1218"/>
    <x v="4"/>
    <s v="Courtyard by Marriott Philadelphia Montgomeryville"/>
    <x v="15"/>
    <x v="0"/>
  </r>
  <r>
    <x v="13"/>
    <s v="PHLVO"/>
    <n v="111073"/>
    <s v="PHLVO"/>
    <n v="1219"/>
    <x v="4"/>
    <s v="SpringHill Suites by Marriott Voorhees Mt. Laurel/Cherry Hill"/>
    <x v="15"/>
    <x v="0"/>
  </r>
  <r>
    <x v="13"/>
    <s v="RDUAY"/>
    <n v="111075"/>
    <s v="RDUAY"/>
    <n v="1220"/>
    <x v="4"/>
    <s v="Fairfield by Marriott Inn &amp; Suites Raleigh Cary"/>
    <x v="15"/>
    <x v="0"/>
  </r>
  <r>
    <x v="13"/>
    <s v="ATLVG"/>
    <n v="111077"/>
    <s v="ATLVG"/>
    <n v="1221"/>
    <x v="4"/>
    <s v="Courtyard by Marriott Atlanta Vinings/Galleria"/>
    <x v="15"/>
    <x v="0"/>
  </r>
  <r>
    <x v="13"/>
    <s v="EWRMY"/>
    <n v="111079"/>
    <s v="EWRMY"/>
    <n v="1222"/>
    <x v="4"/>
    <s v="Courtyard by Marriott Mahwah"/>
    <x v="15"/>
    <x v="0"/>
  </r>
  <r>
    <x v="13"/>
    <s v="PKBCB"/>
    <n v="111081"/>
    <s v="PKBCB"/>
    <n v="1223"/>
    <x v="4"/>
    <s v="Fairfield by Marriott Inn &amp; Suites Cambridge"/>
    <x v="15"/>
    <x v="0"/>
  </r>
  <r>
    <x v="13"/>
    <s v="PITFA"/>
    <n v="111083"/>
    <s v="PITFA"/>
    <n v="1224"/>
    <x v="4"/>
    <s v="Fairfield by Marriott Inn &amp; Suites Washington Casino Area"/>
    <x v="15"/>
    <x v="0"/>
  </r>
  <r>
    <x v="13"/>
    <s v="NYCQN"/>
    <n v="111085"/>
    <s v="NYCQN"/>
    <n v="1225"/>
    <x v="4"/>
    <s v="Fairfield by Marriott Inn &amp; Suites New York Queens/Queensboro Bridge"/>
    <x v="15"/>
    <x v="0"/>
  </r>
  <r>
    <x v="13"/>
    <s v="LYHSB"/>
    <n v="111087"/>
    <s v="LYHSB"/>
    <n v="1226"/>
    <x v="4"/>
    <s v="Fairfield by Marriott Inn &amp; Suites South Boston"/>
    <x v="15"/>
    <x v="0"/>
  </r>
  <r>
    <x v="13"/>
    <s v="EWRSD"/>
    <n v="111089"/>
    <s v="EWRSD"/>
    <n v="1227"/>
    <x v="4"/>
    <s v="SpringHill Suites by Marriott Woodbridge"/>
    <x v="15"/>
    <x v="0"/>
  </r>
  <r>
    <x v="13"/>
    <s v="MIADO"/>
    <n v="111091"/>
    <s v="MIADO"/>
    <n v="1229"/>
    <x v="4"/>
    <s v="Fairfield by Marriott Inn &amp; Suites Miami Airport West/Doral"/>
    <x v="15"/>
    <x v="0"/>
  </r>
  <r>
    <x v="13"/>
    <s v="EWRFM"/>
    <n v="111093"/>
    <s v="EWRFM"/>
    <n v="1230"/>
    <x v="4"/>
    <s v="Fairfield by Marriott Inn &amp; Suites Mahwah"/>
    <x v="15"/>
    <x v="0"/>
  </r>
  <r>
    <x v="13"/>
    <s v="NYCFM"/>
    <n v="111095"/>
    <s v="NYCFM"/>
    <n v="1231"/>
    <x v="4"/>
    <s v="Fairfield by Marriott Inn &amp; Suites New York Manhattan/Downtown East"/>
    <x v="15"/>
    <x v="0"/>
  </r>
  <r>
    <x v="13"/>
    <s v="YYZMD"/>
    <n v="111097"/>
    <s v="YYZMD"/>
    <n v="1232"/>
    <x v="4"/>
    <s v="Courtyard by Marriott Toronto Mississauga/West"/>
    <x v="15"/>
    <x v="0"/>
  </r>
  <r>
    <x v="13"/>
    <s v="NYCMA"/>
    <n v="111099"/>
    <s v="NYCMA"/>
    <n v="1233"/>
    <x v="4"/>
    <s v="AC Hotel New York Times Square"/>
    <x v="15"/>
    <x v="0"/>
  </r>
  <r>
    <x v="13"/>
    <s v="NYCLM"/>
    <n v="111101"/>
    <s v="NYCLM"/>
    <n v="1234"/>
    <x v="4"/>
    <s v="Fairfield by Marriott Inn &amp; Suites New York Manhattan/Financial District"/>
    <x v="15"/>
    <x v="0"/>
  </r>
  <r>
    <x v="13"/>
    <s v="MIAMS"/>
    <n v="111103"/>
    <s v="MIAMS"/>
    <n v="1235"/>
    <x v="4"/>
    <s v="SpringHill Suites by Marriott Miami Doral"/>
    <x v="15"/>
    <x v="0"/>
  </r>
  <r>
    <x v="13"/>
    <s v="PBIWI"/>
    <n v="111105"/>
    <s v="PBIWI"/>
    <n v="1236"/>
    <x v="4"/>
    <s v="SpringHill Suites by Marriott West Palm Beach I-95"/>
    <x v="15"/>
    <x v="0"/>
  </r>
  <r>
    <x v="13"/>
    <s v="NYCOM"/>
    <n v="111107"/>
    <s v="NYCOM"/>
    <n v="1237"/>
    <x v="4"/>
    <s v="Moxy NYC Lower East Side"/>
    <x v="15"/>
    <x v="0"/>
  </r>
  <r>
    <x v="13"/>
    <s v="MIAPT"/>
    <n v="111109"/>
    <s v="MIAPT"/>
    <n v="1238"/>
    <x v="4"/>
    <s v="Fairfield by Marriott Inn &amp; Suites Miami Airport South"/>
    <x v="15"/>
    <x v="0"/>
  </r>
  <r>
    <x v="13"/>
    <s v="PHLGF"/>
    <n v="111111"/>
    <s v="PHLGF"/>
    <n v="1239"/>
    <x v="4"/>
    <s v="Courtyard by Marriott Philadelphia Springfield"/>
    <x v="15"/>
    <x v="0"/>
  </r>
  <r>
    <x v="13"/>
    <s v="PBICY"/>
    <n v="111113"/>
    <s v="PBICY"/>
    <n v="1240"/>
    <x v="4"/>
    <s v="Courtyard by Marriott West Palm Beach Airport"/>
    <x v="15"/>
    <x v="0"/>
  </r>
  <r>
    <x v="13"/>
    <s v="BOSYW"/>
    <n v="111115"/>
    <s v="BOSYW"/>
    <n v="1241"/>
    <x v="4"/>
    <s v="Courtyard by Marriott Boston Dedham/Westwood"/>
    <x v="15"/>
    <x v="0"/>
  </r>
  <r>
    <x v="13"/>
    <s v="NYCJJ"/>
    <n v="111117"/>
    <s v="NYCJJ"/>
    <n v="1242"/>
    <x v="4"/>
    <s v="Courtyard by Marriott New York Manhattan/Midtown West"/>
    <x v="15"/>
    <x v="0"/>
  </r>
  <r>
    <x v="13"/>
    <s v="YYZTM"/>
    <n v="111119"/>
    <s v="YYZTM"/>
    <n v="1243"/>
    <x v="4"/>
    <s v="Fairfield by Marriott Inn &amp; Suites Toronto Mississauga"/>
    <x v="15"/>
    <x v="0"/>
  </r>
  <r>
    <x v="13"/>
    <s v="EWRWN"/>
    <n v="111121"/>
    <s v="EWRWN"/>
    <n v="1244"/>
    <x v="4"/>
    <s v="Courtyard by Marriott Wayne Fairfield"/>
    <x v="15"/>
    <x v="0"/>
  </r>
  <r>
    <x v="13"/>
    <s v="BOSPY"/>
    <n v="111123"/>
    <s v="BOSPY"/>
    <n v="1245"/>
    <x v="4"/>
    <s v="SpringHill Suites by Marriott Boston Peabody"/>
    <x v="15"/>
    <x v="0"/>
  </r>
  <r>
    <x v="13"/>
    <s v="MCOAB"/>
    <n v="111125"/>
    <s v="MCOAB"/>
    <n v="1246"/>
    <x v="4"/>
    <s v="AC Hotel Orlando Lake Buena Vista"/>
    <x v="15"/>
    <x v="0"/>
  </r>
  <r>
    <x v="13"/>
    <s v="SOSCY"/>
    <n v="111127"/>
    <s v="SOSCY"/>
    <n v="1247"/>
    <x v="4"/>
    <s v="Courtyard by Marriott Somerset"/>
    <x v="15"/>
    <x v="0"/>
  </r>
  <r>
    <x v="13"/>
    <s v="EWRNB"/>
    <n v="111129"/>
    <s v="EWRNB"/>
    <n v="1248"/>
    <x v="4"/>
    <s v="Fairfield by Marriott Inn &amp; Suites North Bergen"/>
    <x v="15"/>
    <x v="0"/>
  </r>
  <r>
    <x v="13"/>
    <s v="PITAC"/>
    <n v="111131"/>
    <s v="PITAC"/>
    <n v="1249"/>
    <x v="4"/>
    <s v="AC Hotel Pittsburgh Southpointe"/>
    <x v="15"/>
    <x v="0"/>
  </r>
  <r>
    <x v="13"/>
    <s v="SAVFH"/>
    <n v="111133"/>
    <s v="SAVFH"/>
    <n v="1250"/>
    <x v="4"/>
    <s v="Fairfield by Marriott Inn &amp; Suites Hardeeville I-95 North"/>
    <x v="15"/>
    <x v="0"/>
  </r>
  <r>
    <x v="13"/>
    <s v="PHLPT"/>
    <n v="111135"/>
    <s v="PHLPT"/>
    <n v="1251"/>
    <x v="4"/>
    <s v="Courtyard by Marriott Deptford"/>
    <x v="15"/>
    <x v="0"/>
  </r>
  <r>
    <x v="13"/>
    <s v="NYCPS"/>
    <n v="111137"/>
    <s v="NYCPS"/>
    <n v="1252"/>
    <x v="4"/>
    <s v="Fairfield by Marriott Inn &amp; Suites New York Midtown Manhattan/Penn Station"/>
    <x v="15"/>
    <x v="0"/>
  </r>
  <r>
    <x v="13"/>
    <s v="PHLSX"/>
    <n v="111139"/>
    <s v="PHLSX"/>
    <n v="1253"/>
    <x v="4"/>
    <s v="SpringHill Suites by Marriott Philadelphia West Chester/Exton"/>
    <x v="15"/>
    <x v="0"/>
  </r>
  <r>
    <x v="13"/>
    <s v="PHLAV"/>
    <n v="111141"/>
    <s v="PHLAV"/>
    <n v="1254"/>
    <x v="4"/>
    <s v="Courtyard by Marriott Philadelphia City Avenue"/>
    <x v="15"/>
    <x v="0"/>
  </r>
  <r>
    <x v="13"/>
    <s v="ATLSG"/>
    <n v="111143"/>
    <s v="ATLSG"/>
    <n v="1255"/>
    <x v="4"/>
    <s v="SpringHill Suites by Marriott Atlanta Northwest"/>
    <x v="15"/>
    <x v="0"/>
  </r>
  <r>
    <x v="13"/>
    <s v="PBIFP"/>
    <n v="111145"/>
    <s v="PBIFP"/>
    <n v="1256"/>
    <x v="4"/>
    <s v="Fairfield by Marriott Inn &amp; Suites West Palm Beach"/>
    <x v="15"/>
    <x v="0"/>
  </r>
  <r>
    <x v="13"/>
    <s v="NYCWF"/>
    <n v="111147"/>
    <s v="NYCWF"/>
    <n v="1257"/>
    <x v="4"/>
    <s v="SpringHill Suites by Marriott New York Manhattan Times Square"/>
    <x v="15"/>
    <x v="0"/>
  </r>
  <r>
    <x v="13"/>
    <s v="MIAON"/>
    <n v="111149"/>
    <s v="MIAON"/>
    <n v="1258"/>
    <x v="4"/>
    <s v="Moxy Miami Wynwood"/>
    <x v="15"/>
    <x v="0"/>
  </r>
  <r>
    <x v="13"/>
    <s v="BOSFW"/>
    <n v="111151"/>
    <s v="BOSFW"/>
    <n v="1259"/>
    <x v="4"/>
    <s v="Fairfield Inn Boston Woburn/Burlington"/>
    <x v="15"/>
    <x v="0"/>
  </r>
  <r>
    <x v="13"/>
    <s v="MIALG"/>
    <n v="111153"/>
    <s v="MIALG"/>
    <n v="1260"/>
    <x v="4"/>
    <s v="SpringHill Suites by Marriott Miami Airport South Blue Lagoon Area"/>
    <x v="15"/>
    <x v="0"/>
  </r>
  <r>
    <x v="13"/>
    <s v="ATLSD"/>
    <n v="111155"/>
    <s v="ATLSD"/>
    <n v="1261"/>
    <x v="4"/>
    <s v="SpringHill Suites by Marriott Atlanta Downtown"/>
    <x v="15"/>
    <x v="0"/>
  </r>
  <r>
    <x v="13"/>
    <s v="HPNTR"/>
    <n v="111157"/>
    <s v="HPNTR"/>
    <n v="1262"/>
    <x v="4"/>
    <s v="SpringHill Suites by Marriott Tarrytown Westchester County"/>
    <x v="15"/>
    <x v="0"/>
  </r>
  <r>
    <x v="13"/>
    <s v="BOSLA"/>
    <n v="111159"/>
    <s v="BOSLA"/>
    <n v="1263"/>
    <x v="4"/>
    <s v="Courtyard by Marriott Boston Logan Airport"/>
    <x v="15"/>
    <x v="0"/>
  </r>
  <r>
    <x v="13"/>
    <s v="PHLSM"/>
    <n v="111161"/>
    <s v="PHLSM"/>
    <n v="1264"/>
    <x v="4"/>
    <s v="SpringHill Suites by Marriott Mt. Laurel Cherry Hill"/>
    <x v="15"/>
    <x v="0"/>
  </r>
  <r>
    <x v="13"/>
    <s v="ILGSS"/>
    <n v="111163"/>
    <s v="ILGSS"/>
    <n v="1265"/>
    <x v="4"/>
    <s v="SpringHill Suites by Marriott Newark Downtown"/>
    <x v="15"/>
    <x v="0"/>
  </r>
  <r>
    <x v="13"/>
    <s v="MIAHS"/>
    <n v="111165"/>
    <s v="MIAHS"/>
    <n v="1266"/>
    <x v="4"/>
    <s v="Courtyard by Marriott Miami Homestead"/>
    <x v="15"/>
    <x v="0"/>
  </r>
  <r>
    <x v="13"/>
    <s v="UOXBV"/>
    <n v="111167"/>
    <s v="UOXBV"/>
    <n v="1293"/>
    <x v="4"/>
    <s v="Fairfield by Marriott Inn &amp; Suites Batesville"/>
    <x v="15"/>
    <x v="0"/>
  </r>
  <r>
    <x v="13"/>
    <s v="MSNSH"/>
    <n v="111169"/>
    <s v="MSNSH"/>
    <n v="1298"/>
    <x v="4"/>
    <s v="SpringHill Suites by Marriott Wisconsin Dells"/>
    <x v="15"/>
    <x v="0"/>
  </r>
  <r>
    <x v="13"/>
    <s v="MSPCD"/>
    <n v="111171"/>
    <s v="MSPCD"/>
    <n v="1322"/>
    <x v="4"/>
    <s v="Courtyard by Marriott St. Paul Downtown"/>
    <x v="15"/>
    <x v="0"/>
  </r>
  <r>
    <x v="13"/>
    <s v="SUXCY"/>
    <n v="111173"/>
    <s v="SUXCY"/>
    <n v="1341"/>
    <x v="4"/>
    <s v="Courtyard by Marriott Sioux City Downtown/Convention Center"/>
    <x v="15"/>
    <x v="0"/>
  </r>
  <r>
    <x v="13"/>
    <s v="MSPAP"/>
    <n v="111175"/>
    <s v="MSPAP"/>
    <n v="1342"/>
    <x v="4"/>
    <s v="Fairfield by Marriott Inn &amp; Suites Minneapolis-St. Paul Airport"/>
    <x v="15"/>
    <x v="0"/>
  </r>
  <r>
    <x v="13"/>
    <s v="TUPFI"/>
    <n v="111177"/>
    <s v="TUPFI"/>
    <n v="1354"/>
    <x v="4"/>
    <s v="Fairfield by Marriott Inn &amp; Suites Tupelo"/>
    <x v="15"/>
    <x v="0"/>
  </r>
  <r>
    <x v="13"/>
    <s v="MSPBL"/>
    <n v="111179"/>
    <s v="MSPBL"/>
    <n v="1359"/>
    <x v="4"/>
    <s v="Fairfield by Marriott Inn &amp; Suites Minneapolis Bloomington/Mall of America"/>
    <x v="15"/>
    <x v="0"/>
  </r>
  <r>
    <x v="13"/>
    <s v="MSNWD"/>
    <n v="111181"/>
    <s v="MSNWD"/>
    <n v="1364"/>
    <x v="4"/>
    <s v="Fairfield by Marriott Inn &amp; Suites Wisconsin Dells"/>
    <x v="15"/>
    <x v="0"/>
  </r>
  <r>
    <x v="13"/>
    <s v="PHLGB"/>
    <n v="210001"/>
    <s v="PHLGB"/>
    <n v="1189"/>
    <x v="5"/>
    <s v="Courtyard by Marriott Glassboro Rowan University"/>
    <x v="15"/>
    <x v="0"/>
  </r>
  <r>
    <x v="13"/>
    <s v="TRXFI"/>
    <n v="210003"/>
    <s v="TRXFI"/>
    <n v="1267"/>
    <x v="5"/>
    <s v="Fairfield by Marriott Inn &amp; Suites Chillicothe"/>
    <x v="15"/>
    <x v="0"/>
  </r>
  <r>
    <x v="13"/>
    <s v="TULCR"/>
    <n v="210005"/>
    <s v="TULCR"/>
    <n v="1268"/>
    <x v="5"/>
    <s v="Fairfield by Marriott Inn &amp; Suites Tulsa South Medical District"/>
    <x v="15"/>
    <x v="0"/>
  </r>
  <r>
    <x v="13"/>
    <s v="HOUFR"/>
    <n v="210007"/>
    <s v="HOUFR"/>
    <n v="1269"/>
    <x v="5"/>
    <s v="Fairfield by Marriott Inn &amp; Suites Houston Richmond"/>
    <x v="15"/>
    <x v="0"/>
  </r>
  <r>
    <x v="13"/>
    <s v="SATSW"/>
    <n v="210009"/>
    <s v="SATSW"/>
    <n v="1270"/>
    <x v="5"/>
    <s v="Fairfield by Marriott Inn &amp; Suites San Antonio SeaWorld®/Westover Hills"/>
    <x v="15"/>
    <x v="0"/>
  </r>
  <r>
    <x v="13"/>
    <s v="DALFK"/>
    <n v="210011"/>
    <s v="DALFK"/>
    <n v="1271"/>
    <x v="5"/>
    <s v="Fairfield by Marriott Inn &amp; Suites Dallas McKinney"/>
    <x v="15"/>
    <x v="0"/>
  </r>
  <r>
    <x v="13"/>
    <s v="MWAFI"/>
    <n v="210013"/>
    <s v="MWAFI"/>
    <n v="1272"/>
    <x v="5"/>
    <s v="Fairfield by Marriott Inn &amp; Suites Marion"/>
    <x v="15"/>
    <x v="0"/>
  </r>
  <r>
    <x v="13"/>
    <s v="VCTCY"/>
    <n v="210015"/>
    <s v="VCTCY"/>
    <n v="1273"/>
    <x v="5"/>
    <s v="Courtyard by Marriott Victoria"/>
    <x v="15"/>
    <x v="0"/>
  </r>
  <r>
    <x v="13"/>
    <s v="SPISH"/>
    <n v="210017"/>
    <s v="SPISH"/>
    <n v="1274"/>
    <x v="5"/>
    <s v="SpringHill Suites by Marriott Springfield Southwest"/>
    <x v="15"/>
    <x v="0"/>
  </r>
  <r>
    <x v="13"/>
    <s v="HOUYP"/>
    <n v="210019"/>
    <s v="HOUYP"/>
    <n v="1275"/>
    <x v="5"/>
    <s v="Courtyard by Marriott Houston Northwest/Cypress"/>
    <x v="15"/>
    <x v="0"/>
  </r>
  <r>
    <x v="13"/>
    <s v="OKCDC"/>
    <n v="210021"/>
    <s v="OKCDC"/>
    <n v="1276"/>
    <x v="5"/>
    <s v="SpringHill Suites by Marriott Oklahoma City Midwest City/Del City"/>
    <x v="15"/>
    <x v="0"/>
  </r>
  <r>
    <x v="13"/>
    <s v="MCISO"/>
    <n v="210023"/>
    <s v="MCISO"/>
    <n v="1277"/>
    <x v="5"/>
    <s v="SpringHill Suites by Marriott Overland Park Leawood"/>
    <x v="15"/>
    <x v="0"/>
  </r>
  <r>
    <x v="13"/>
    <s v="DALMC"/>
    <n v="210025"/>
    <s v="DALMC"/>
    <n v="1278"/>
    <x v="5"/>
    <s v="Fairfield by Marriott Inn &amp; Suites Dallas Medical/Market Center"/>
    <x v="15"/>
    <x v="0"/>
  </r>
  <r>
    <x v="13"/>
    <s v="DALXC"/>
    <n v="210027"/>
    <s v="DALXC"/>
    <n v="1279"/>
    <x v="5"/>
    <s v="Courtyard by Marriott Dallas Plano/Richardson"/>
    <x v="15"/>
    <x v="0"/>
  </r>
  <r>
    <x v="13"/>
    <s v="HOUHK"/>
    <n v="210029"/>
    <s v="HOUHK"/>
    <n v="1280"/>
    <x v="5"/>
    <s v="Fairfield by Marriott Inn &amp; Suites Houston Katy"/>
    <x v="15"/>
    <x v="0"/>
  </r>
  <r>
    <x v="13"/>
    <s v="TULWE"/>
    <n v="210031"/>
    <s v="TULWE"/>
    <n v="1281"/>
    <x v="5"/>
    <s v="SpringHill Suites by Marriott Tulsa at Tulsa Hills"/>
    <x v="15"/>
    <x v="0"/>
  </r>
  <r>
    <x v="13"/>
    <s v="HOUBS"/>
    <n v="210033"/>
    <s v="HOUBS"/>
    <n v="1282"/>
    <x v="5"/>
    <s v="Courtyard by Marriott Houston Rice University"/>
    <x v="15"/>
    <x v="0"/>
  </r>
  <r>
    <x v="13"/>
    <s v="MCISM"/>
    <n v="210035"/>
    <s v="MCISM"/>
    <n v="1283"/>
    <x v="5"/>
    <s v="Courtyard by Marriott Kansas City Shawnee"/>
    <x v="15"/>
    <x v="0"/>
  </r>
  <r>
    <x v="13"/>
    <s v="DALFE"/>
    <n v="210037"/>
    <s v="DALFE"/>
    <n v="1284"/>
    <x v="5"/>
    <s v="Fairfield by Marriott Inn &amp; Suites Dallas East"/>
    <x v="15"/>
    <x v="0"/>
  </r>
  <r>
    <x v="13"/>
    <s v="DFWSU"/>
    <n v="210039"/>
    <s v="DFWSU"/>
    <n v="1285"/>
    <x v="5"/>
    <s v="SpringHill Suites by Marriott Dallas DFW Airport South/CentrePort"/>
    <x v="15"/>
    <x v="0"/>
  </r>
  <r>
    <x v="13"/>
    <s v="HOUCO"/>
    <n v="210041"/>
    <s v="HOUCO"/>
    <n v="1286"/>
    <x v="5"/>
    <s v="Courtyard by Marriott Houston Northeast"/>
    <x v="15"/>
    <x v="0"/>
  </r>
  <r>
    <x v="13"/>
    <s v="MCILS"/>
    <n v="210043"/>
    <s v="MCILS"/>
    <n v="1287"/>
    <x v="5"/>
    <s v="Fairfield by Marriott Inn &amp; Suites Kansas City Lee's Summit"/>
    <x v="15"/>
    <x v="0"/>
  </r>
  <r>
    <x v="13"/>
    <s v="DALNW"/>
    <n v="210045"/>
    <s v="DALNW"/>
    <n v="1288"/>
    <x v="5"/>
    <s v="Courtyard by Marriott Dallas Northwest"/>
    <x v="15"/>
    <x v="0"/>
  </r>
  <r>
    <x v="13"/>
    <s v="DALRW"/>
    <n v="210047"/>
    <s v="DALRW"/>
    <n v="1289"/>
    <x v="5"/>
    <s v="SpringHill Suites by Marriott Dallas Rockwall"/>
    <x v="15"/>
    <x v="0"/>
  </r>
  <r>
    <x v="13"/>
    <s v="DALIV"/>
    <n v="210049"/>
    <s v="DALIV"/>
    <n v="1290"/>
    <x v="5"/>
    <s v="Courtyard by Marriott Dallas DFW Airport South/Irving"/>
    <x v="15"/>
    <x v="0"/>
  </r>
  <r>
    <x v="13"/>
    <s v="DALPH"/>
    <n v="210051"/>
    <s v="DALPH"/>
    <n v="1291"/>
    <x v="5"/>
    <s v="SpringHill Suites by Marriott Dallas Richardson/University Area"/>
    <x v="15"/>
    <x v="0"/>
  </r>
  <r>
    <x v="13"/>
    <s v="TULFC"/>
    <n v="210053"/>
    <s v="TULFC"/>
    <n v="1292"/>
    <x v="5"/>
    <s v="Fairfield by Marriott Inn &amp; Suites Tulsa Central"/>
    <x v="15"/>
    <x v="0"/>
  </r>
  <r>
    <x v="13"/>
    <s v="DALFD"/>
    <n v="210055"/>
    <s v="DALFD"/>
    <n v="1294"/>
    <x v="5"/>
    <s v="Fairfield by Marriott Inn &amp; Suites Dallas Love Field"/>
    <x v="15"/>
    <x v="0"/>
  </r>
  <r>
    <x v="13"/>
    <s v="MCISS"/>
    <n v="210057"/>
    <s v="MCISS"/>
    <n v="1295"/>
    <x v="5"/>
    <s v="SpringHill Suites by Marriott Kansas City Overland Park"/>
    <x v="15"/>
    <x v="0"/>
  </r>
  <r>
    <x v="13"/>
    <s v="HOUCN"/>
    <n v="210059"/>
    <s v="HOUCN"/>
    <n v="1296"/>
    <x v="5"/>
    <s v="Courtyard by Marriott Houston NW/290 Corridor"/>
    <x v="15"/>
    <x v="0"/>
  </r>
  <r>
    <x v="13"/>
    <s v="HOUTW"/>
    <n v="210061"/>
    <s v="HOUTW"/>
    <n v="1297"/>
    <x v="5"/>
    <s v="Fairfield by Marriott Inn &amp; Suites Houston The Woodlands"/>
    <x v="15"/>
    <x v="0"/>
  </r>
  <r>
    <x v="13"/>
    <s v="DALAN"/>
    <n v="210063"/>
    <s v="DALAN"/>
    <n v="1299"/>
    <x v="5"/>
    <s v="Courtyard by Marriott Dallas Allen at the Event Center"/>
    <x v="15"/>
    <x v="0"/>
  </r>
  <r>
    <x v="13"/>
    <s v="SATCW"/>
    <n v="210065"/>
    <s v="SATCW"/>
    <n v="1300"/>
    <x v="5"/>
    <s v="Courtyard by Marriott San Antonio SeaWorld®/Westover Hills"/>
    <x v="15"/>
    <x v="0"/>
  </r>
  <r>
    <x v="13"/>
    <s v="DFWAC"/>
    <n v="210067"/>
    <s v="DFWAC"/>
    <n v="1301"/>
    <x v="5"/>
    <s v="AC Hotel Fort Worth Downtown"/>
    <x v="15"/>
    <x v="0"/>
  </r>
  <r>
    <x v="13"/>
    <s v="HOUFM"/>
    <n v="210069"/>
    <s v="HOUFM"/>
    <n v="1302"/>
    <x v="5"/>
    <s v="Fairfield by Marriott Inn &amp; Suites Houston Missouri City"/>
    <x v="15"/>
    <x v="0"/>
  </r>
  <r>
    <x v="13"/>
    <s v="HOUFE"/>
    <n v="210071"/>
    <s v="HOUFE"/>
    <n v="1303"/>
    <x v="5"/>
    <s v="Fairfield by Marriott Inn &amp; Suites Houston Memorial City Area"/>
    <x v="15"/>
    <x v="0"/>
  </r>
  <r>
    <x v="13"/>
    <s v="DFWSH"/>
    <n v="210073"/>
    <s v="DFWSH"/>
    <n v="1304"/>
    <x v="5"/>
    <s v="SpringHill Suites by Marriott Dallas Arlington North"/>
    <x v="15"/>
    <x v="0"/>
  </r>
  <r>
    <x v="13"/>
    <s v="DALMO"/>
    <n v="210075"/>
    <s v="DALMO"/>
    <n v="1305"/>
    <x v="5"/>
    <s v="Courtyard by Marriott Dallas Flower Mound"/>
    <x v="15"/>
    <x v="0"/>
  </r>
  <r>
    <x v="13"/>
    <s v="DFWCY"/>
    <n v="210077"/>
    <s v="DFWCY"/>
    <n v="1306"/>
    <x v="5"/>
    <s v="Courtyard by Marriott Dallas DFW Airport North/Irving"/>
    <x v="15"/>
    <x v="0"/>
  </r>
  <r>
    <x v="13"/>
    <s v="IAHFW"/>
    <n v="210079"/>
    <s v="IAHFW"/>
    <n v="1307"/>
    <x v="5"/>
    <s v="Fairfield by Marriott Inn &amp; Suites Waller"/>
    <x v="15"/>
    <x v="0"/>
  </r>
  <r>
    <x v="13"/>
    <s v="PNCSH"/>
    <n v="210081"/>
    <s v="PNCSH"/>
    <n v="1308"/>
    <x v="5"/>
    <s v="SpringHill Suites by Marriott Stillwater"/>
    <x v="15"/>
    <x v="0"/>
  </r>
  <r>
    <x v="13"/>
    <s v="DFWNO"/>
    <n v="210083"/>
    <s v="DFWNO"/>
    <n v="1309"/>
    <x v="5"/>
    <s v="Fairfield by Marriott Inn &amp; Suites Fort Worth Alliance Airport"/>
    <x v="15"/>
    <x v="0"/>
  </r>
  <r>
    <x v="13"/>
    <s v="WCOSW"/>
    <n v="210085"/>
    <s v="WCOSW"/>
    <n v="1310"/>
    <x v="5"/>
    <s v="SpringHill Suites by Marriott Waco"/>
    <x v="15"/>
    <x v="0"/>
  </r>
  <r>
    <x v="13"/>
    <s v="DALDF"/>
    <n v="210087"/>
    <s v="DALDF"/>
    <n v="1311"/>
    <x v="5"/>
    <s v="Courtyard by Marriott Dallas Frisco"/>
    <x v="15"/>
    <x v="0"/>
  </r>
  <r>
    <x v="13"/>
    <s v="DALFN"/>
    <n v="210089"/>
    <s v="DALFN"/>
    <n v="1312"/>
    <x v="5"/>
    <s v="Fairfield by Marriott Inn &amp; Suites Dallas Plano North"/>
    <x v="15"/>
    <x v="0"/>
  </r>
  <r>
    <x v="13"/>
    <s v="STLXC"/>
    <n v="210091"/>
    <s v="STLXC"/>
    <n v="1313"/>
    <x v="5"/>
    <s v="Courtyard by Marriott St Louis Chesterfield"/>
    <x v="15"/>
    <x v="0"/>
  </r>
  <r>
    <x v="13"/>
    <s v="HOURP"/>
    <n v="210093"/>
    <s v="HOURP"/>
    <n v="1314"/>
    <x v="5"/>
    <s v="SpringHill Suites by Marriott Houston Medical Center/NRG Park"/>
    <x v="15"/>
    <x v="0"/>
  </r>
  <r>
    <x v="13"/>
    <s v="DALSS"/>
    <n v="210095"/>
    <s v="DALSS"/>
    <n v="1315"/>
    <x v="5"/>
    <s v="SpringHill Suites by Marriott Dallas NW Highway at Stemmons/I-35E"/>
    <x v="15"/>
    <x v="0"/>
  </r>
  <r>
    <x v="13"/>
    <s v="DALEF"/>
    <n v="210097"/>
    <s v="DALEF"/>
    <n v="1316"/>
    <x v="5"/>
    <s v="Fairfield by Marriott Inn &amp; Suites DeSoto Dallas South"/>
    <x v="15"/>
    <x v="0"/>
  </r>
  <r>
    <x v="13"/>
    <s v="STLFD"/>
    <n v="210099"/>
    <s v="STLFD"/>
    <n v="1317"/>
    <x v="5"/>
    <s v="Fairfield by Marriott Inn &amp; Suites St. Louis Downtown"/>
    <x v="15"/>
    <x v="0"/>
  </r>
  <r>
    <x v="13"/>
    <s v="HOUCR"/>
    <n v="210101"/>
    <s v="HOUCR"/>
    <n v="1318"/>
    <x v="5"/>
    <s v="Fairfield by Marriott Inn &amp; Suites Houston Conroe Near The Woodlands®"/>
    <x v="15"/>
    <x v="0"/>
  </r>
  <r>
    <x v="13"/>
    <s v="DALSF"/>
    <n v="210103"/>
    <s v="DALSF"/>
    <n v="1319"/>
    <x v="5"/>
    <s v="SpringHill Suites by Marriott Dallas Mansfield"/>
    <x v="15"/>
    <x v="0"/>
  </r>
  <r>
    <x v="13"/>
    <s v="DALWE"/>
    <n v="210105"/>
    <s v="DALWE"/>
    <n v="1320"/>
    <x v="5"/>
    <s v="SpringHill Suites by Marriott Dallas Downtown/West End"/>
    <x v="15"/>
    <x v="0"/>
  </r>
  <r>
    <x v="13"/>
    <s v="HOUCF"/>
    <n v="210107"/>
    <s v="HOUCF"/>
    <n v="1321"/>
    <x v="5"/>
    <s v="Courtyard by Marriott Houston Sugar Land/Lake Pointe"/>
    <x v="15"/>
    <x v="0"/>
  </r>
  <r>
    <x v="13"/>
    <s v="MCIUN"/>
    <n v="210109"/>
    <s v="MCIUN"/>
    <n v="1323"/>
    <x v="5"/>
    <s v="Fairfield Inn Kansas City Downtown/Union Hill"/>
    <x v="15"/>
    <x v="0"/>
  </r>
  <r>
    <x v="13"/>
    <s v="CRPRP"/>
    <n v="210111"/>
    <s v="CRPRP"/>
    <n v="1324"/>
    <x v="5"/>
    <s v="Fairfield by Marriott Inn &amp; Suites Rockport"/>
    <x v="15"/>
    <x v="0"/>
  </r>
  <r>
    <x v="13"/>
    <s v="HOUOX"/>
    <n v="210113"/>
    <s v="HOUOX"/>
    <n v="1325"/>
    <x v="5"/>
    <s v="Moxy Houston Downtown"/>
    <x v="15"/>
    <x v="0"/>
  </r>
  <r>
    <x v="13"/>
    <s v="SATDW"/>
    <n v="210115"/>
    <s v="SATDW"/>
    <n v="1326"/>
    <x v="5"/>
    <s v="Fairfield by Marriott Inn &amp; Suites San Antonio Alamo Plaza/Convention Center"/>
    <x v="15"/>
    <x v="0"/>
  </r>
  <r>
    <x v="13"/>
    <s v="SATDS"/>
    <n v="210115"/>
    <s v="SATDS"/>
    <n v="1363"/>
    <x v="5"/>
    <s v="SpringHill Suites by Marriott San Antonio Alamo Plaza/Convention Center"/>
    <x v="15"/>
    <x v="0"/>
  </r>
  <r>
    <x v="13"/>
    <s v="HOURB"/>
    <n v="210117"/>
    <s v="HOURB"/>
    <n v="1327"/>
    <x v="5"/>
    <s v="SpringHill Suites by Marriott Houston Rosenberg"/>
    <x v="15"/>
    <x v="0"/>
  </r>
  <r>
    <x v="13"/>
    <s v="DALCG"/>
    <n v="210119"/>
    <s v="DALCG"/>
    <n v="1328"/>
    <x v="5"/>
    <s v="Courtyard by Marriott Dallas Grand Prairie"/>
    <x v="15"/>
    <x v="0"/>
  </r>
  <r>
    <x v="13"/>
    <s v="DFWMS"/>
    <n v="210121"/>
    <s v="DFWMS"/>
    <n v="1329"/>
    <x v="5"/>
    <s v="Courtyard by Marriott Fort Worth Downtown/Blackstone"/>
    <x v="15"/>
    <x v="0"/>
  </r>
  <r>
    <x v="13"/>
    <s v="HOUSS"/>
    <n v="210123"/>
    <s v="HOUSS"/>
    <n v="1330"/>
    <x v="5"/>
    <s v="SpringHill Suites by Marriott Houston Sugar Land"/>
    <x v="15"/>
    <x v="0"/>
  </r>
  <r>
    <x v="13"/>
    <s v="DALCH"/>
    <n v="210125"/>
    <s v="DALCH"/>
    <n v="1331"/>
    <x v="5"/>
    <s v="Courtyard by Marriott Dallas Medical/Market Center"/>
    <x v="15"/>
    <x v="0"/>
  </r>
  <r>
    <x v="13"/>
    <s v="DALGV"/>
    <n v="210127"/>
    <s v="DALGV"/>
    <n v="1332"/>
    <x v="5"/>
    <s v="SpringHill Suites by Marriott Dallas DFW Airport North/Grapevine"/>
    <x v="15"/>
    <x v="0"/>
  </r>
  <r>
    <x v="13"/>
    <s v="HOUMD"/>
    <n v="210129"/>
    <s v="HOUMD"/>
    <n v="1333"/>
    <x v="5"/>
    <s v="Courtyard by Marriott Houston Medical Center/NRG Park"/>
    <x v="15"/>
    <x v="0"/>
  </r>
  <r>
    <x v="13"/>
    <s v="MCIMT"/>
    <n v="210131"/>
    <s v="MCIMT"/>
    <n v="1334"/>
    <x v="5"/>
    <s v="SpringHill Suites by Marriott Kansas City Plaza"/>
    <x v="15"/>
    <x v="0"/>
  </r>
  <r>
    <x v="13"/>
    <s v="DALTE"/>
    <n v="210133"/>
    <s v="DALTE"/>
    <n v="1335"/>
    <x v="5"/>
    <s v="Fairfield by Marriott Inn &amp; Suites Terrell"/>
    <x v="15"/>
    <x v="0"/>
  </r>
  <r>
    <x v="13"/>
    <s v="MTOEF"/>
    <n v="210135"/>
    <s v="MTOEF"/>
    <n v="1336"/>
    <x v="5"/>
    <s v="Fairfield by Marriott Inn &amp; Suites Effingham"/>
    <x v="15"/>
    <x v="0"/>
  </r>
  <r>
    <x v="13"/>
    <s v="MCICO"/>
    <n v="210137"/>
    <s v="MCICO"/>
    <n v="1337"/>
    <x v="5"/>
    <s v="Courtyard by Marriott Kansas City Olathe"/>
    <x v="15"/>
    <x v="0"/>
  </r>
  <r>
    <x v="13"/>
    <s v="WCTNW"/>
    <n v="210139"/>
    <s v="WCTNW"/>
    <n v="1338"/>
    <x v="5"/>
    <s v="Fairfield by Marriott Inn &amp; Suites Wichita Falls Northwest"/>
    <x v="15"/>
    <x v="0"/>
  </r>
  <r>
    <x v="13"/>
    <s v="DALFC"/>
    <n v="210141"/>
    <s v="DALFC"/>
    <n v="1339"/>
    <x v="5"/>
    <s v="Fairfield by Marriott Inn &amp; Suites Dallas DFW Airport North/Coppell Grapevine"/>
    <x v="15"/>
    <x v="0"/>
  </r>
  <r>
    <x v="13"/>
    <s v="MCISN"/>
    <n v="210143"/>
    <s v="MCISN"/>
    <n v="1340"/>
    <x v="5"/>
    <s v="SpringHill Suites by Marriott Kansas City Northeast"/>
    <x v="15"/>
    <x v="0"/>
  </r>
  <r>
    <x v="13"/>
    <s v="DFWOS"/>
    <n v="210145"/>
    <s v="DFWOS"/>
    <n v="1343"/>
    <x v="5"/>
    <s v="SpringHill Suites by Marriott Fort Worth Fossil Creek"/>
    <x v="15"/>
    <x v="0"/>
  </r>
  <r>
    <x v="13"/>
    <s v="HOUSH"/>
    <n v="210147"/>
    <s v="HOUSH"/>
    <n v="1344"/>
    <x v="5"/>
    <s v="SpringHill Suites by Marriott Houston Brookhollow"/>
    <x v="15"/>
    <x v="0"/>
  </r>
  <r>
    <x v="13"/>
    <s v="MCIXA"/>
    <n v="210149"/>
    <s v="MCIXA"/>
    <n v="1345"/>
    <x v="5"/>
    <s v="SpringHill Suites by Marriott Kansas City Lenexa/City Center"/>
    <x v="15"/>
    <x v="0"/>
  </r>
  <r>
    <x v="13"/>
    <s v="DALSX"/>
    <n v="210151"/>
    <s v="DALSX"/>
    <n v="1346"/>
    <x v="5"/>
    <s v="SpringHill Suites by Marriott Dallas Central Expressway"/>
    <x v="15"/>
    <x v="0"/>
  </r>
  <r>
    <x v="13"/>
    <s v="DFWFI"/>
    <n v="210153"/>
    <s v="DFWFI"/>
    <n v="1347"/>
    <x v="5"/>
    <s v="Fairfield by Marriott Inn &amp; Suites Fort Worth Southwest at Cityview"/>
    <x v="15"/>
    <x v="0"/>
  </r>
  <r>
    <x v="13"/>
    <s v="DFWFD"/>
    <n v="210155"/>
    <s v="DFWFD"/>
    <n v="1348"/>
    <x v="5"/>
    <s v="Fairfield by Marriott Inn &amp; Suites Fort Worth Downtown/Convention Center"/>
    <x v="15"/>
    <x v="0"/>
  </r>
  <r>
    <x v="13"/>
    <s v="MCIKW"/>
    <n v="210157"/>
    <s v="MCIKW"/>
    <n v="1349"/>
    <x v="5"/>
    <s v="Fairfield by Marriott Inn &amp; Suites Kansas City Shawnee"/>
    <x v="15"/>
    <x v="0"/>
  </r>
  <r>
    <x v="13"/>
    <s v="DFWBU"/>
    <n v="210159"/>
    <s v="DFWBU"/>
    <n v="1350"/>
    <x v="5"/>
    <s v="Fairfield by Marriott Inn &amp; Suites Fort Worth South/Burleson"/>
    <x v="15"/>
    <x v="0"/>
  </r>
  <r>
    <x v="13"/>
    <s v="MCINR"/>
    <n v="210161"/>
    <s v="MCINR"/>
    <n v="1351"/>
    <x v="5"/>
    <s v="SpringHill Suites by Marriott Kansas City Airport"/>
    <x v="15"/>
    <x v="0"/>
  </r>
  <r>
    <x v="13"/>
    <s v="DFWSD"/>
    <n v="210163"/>
    <s v="DFWSD"/>
    <n v="1352"/>
    <x v="5"/>
    <s v="SpringHill Suites by Marriott Denton"/>
    <x v="15"/>
    <x v="0"/>
  </r>
  <r>
    <x v="13"/>
    <s v="DFWDE"/>
    <n v="210165"/>
    <s v="DFWDE"/>
    <n v="1353"/>
    <x v="5"/>
    <s v="Courtyard by Marriott Denton"/>
    <x v="15"/>
    <x v="0"/>
  </r>
  <r>
    <x v="13"/>
    <s v="HOUSE"/>
    <n v="210167"/>
    <s v="HOUSE"/>
    <n v="1355"/>
    <x v="5"/>
    <s v="SpringHill Suites by Marriott Houston NASA/Seabrook"/>
    <x v="15"/>
    <x v="0"/>
  </r>
  <r>
    <x v="13"/>
    <s v="HOUNA"/>
    <n v="210169"/>
    <s v="HOUNA"/>
    <n v="1356"/>
    <x v="5"/>
    <s v="Fairfield by Marriott Inn &amp; Suites Houston NASA/Webster"/>
    <x v="15"/>
    <x v="0"/>
  </r>
  <r>
    <x v="13"/>
    <s v="DFWFR"/>
    <n v="210171"/>
    <s v="DFWFR"/>
    <n v="1357"/>
    <x v="5"/>
    <s v="Fairfield by Marriott Inn &amp; Suites Fort Worth Northeast"/>
    <x v="15"/>
    <x v="0"/>
  </r>
  <r>
    <x v="13"/>
    <s v="PNCFI"/>
    <n v="210173"/>
    <s v="PNCFI"/>
    <n v="1358"/>
    <x v="5"/>
    <s v="Fairfield by Marriott Inn &amp; Suites Ponca City"/>
    <x v="15"/>
    <x v="0"/>
  </r>
  <r>
    <x v="13"/>
    <s v="MCIFE"/>
    <n v="210175"/>
    <s v="MCIFE"/>
    <n v="1360"/>
    <x v="5"/>
    <s v="Fairfield by Marriott Inn &amp; Suites Kansas City Belton"/>
    <x v="15"/>
    <x v="0"/>
  </r>
  <r>
    <x v="13"/>
    <s v="DFWFN"/>
    <n v="210177"/>
    <s v="DFWFN"/>
    <n v="1361"/>
    <x v="5"/>
    <s v="Fairfield by Marriott Inn &amp; Suites Dallas DFW Airport North/ Irving"/>
    <x v="15"/>
    <x v="0"/>
  </r>
  <r>
    <x v="13"/>
    <s v="HOUFX"/>
    <n v="210179"/>
    <s v="HOUFX"/>
    <n v="1362"/>
    <x v="5"/>
    <s v="Fairfield by Marriott Inn &amp; Suites Houston Northwest/Willowbrook"/>
    <x v="15"/>
    <x v="0"/>
  </r>
  <r>
    <x v="13"/>
    <s v="LGVCY"/>
    <n v="210181"/>
    <s v="LGVCY"/>
    <n v="1365"/>
    <x v="5"/>
    <s v="Courtyard by Marriott Longview North"/>
    <x v="15"/>
    <x v="0"/>
  </r>
  <r>
    <x v="13"/>
    <s v="MCIFL"/>
    <n v="210183"/>
    <s v="MCIFL"/>
    <n v="1366"/>
    <x v="5"/>
    <s v="Fairfield by Marriott Inn &amp; Suites Kansas City at The Legends"/>
    <x v="15"/>
    <x v="0"/>
  </r>
  <r>
    <x v="13"/>
    <s v="DALFA"/>
    <n v="210185"/>
    <s v="DALFA"/>
    <n v="1367"/>
    <x v="5"/>
    <s v="Fairfield by Marriott Inn &amp; Suites Dallas Arlington South"/>
    <x v="15"/>
    <x v="0"/>
  </r>
  <r>
    <x v="13"/>
    <s v="ELPFI"/>
    <n v="210187"/>
    <s v="ELPFI"/>
    <n v="1368"/>
    <x v="5"/>
    <s v="Fairfield by Marriott Inn &amp; Suites El Paso"/>
    <x v="15"/>
    <x v="0"/>
  </r>
  <r>
    <x v="13"/>
    <s v="YYCAD"/>
    <n v="210189"/>
    <s v="YYCAD"/>
    <n v="1369"/>
    <x v="5"/>
    <s v="Fairfield by Marriott Inn &amp; Suites Airdrie"/>
    <x v="15"/>
    <x v="0"/>
  </r>
  <r>
    <x v="13"/>
    <s v="LRUCY"/>
    <n v="210191"/>
    <s v="LRUCY"/>
    <n v="1370"/>
    <x v="5"/>
    <s v="Courtyard by Marriott Las Cruces at NMSU"/>
    <x v="15"/>
    <x v="0"/>
  </r>
  <r>
    <x v="13"/>
    <s v="SAFCY"/>
    <n v="210193"/>
    <s v="SAFCY"/>
    <n v="1371"/>
    <x v="5"/>
    <s v="Courtyard by Marriott Santa Fe"/>
    <x v="15"/>
    <x v="0"/>
  </r>
  <r>
    <x v="13"/>
    <s v="ABQFN"/>
    <n v="210195"/>
    <s v="ABQFN"/>
    <n v="1372"/>
    <x v="5"/>
    <s v="Fairfield by Marriott Inn &amp; Suites Albuquerque North"/>
    <x v="15"/>
    <x v="0"/>
  </r>
  <r>
    <x v="13"/>
    <s v="SLCJO"/>
    <n v="210197"/>
    <s v="SLCJO"/>
    <n v="1373"/>
    <x v="5"/>
    <s v="SpringHill Suites by Marriott Salt Lake City-South Jordan"/>
    <x v="15"/>
    <x v="0"/>
  </r>
  <r>
    <x v="13"/>
    <s v="TUSAD"/>
    <n v="210199"/>
    <s v="TUSAD"/>
    <n v="1374"/>
    <x v="5"/>
    <s v="AC Hotel Tucson Downtown"/>
    <x v="15"/>
    <x v="0"/>
  </r>
  <r>
    <x v="13"/>
    <s v="ALSFI"/>
    <n v="210201"/>
    <s v="ALSFI"/>
    <n v="1375"/>
    <x v="5"/>
    <s v="Fairfield by Marriott Inn &amp; Suites Alamosa"/>
    <x v="15"/>
    <x v="0"/>
  </r>
  <r>
    <x v="13"/>
    <s v="VBOFI"/>
    <n v="210203"/>
    <s v="VBOFI"/>
    <n v="1376"/>
    <x v="5"/>
    <s v="Fairfield by Marriott Inn &amp; Suites Boulder Longmont"/>
    <x v="15"/>
    <x v="0"/>
  </r>
  <r>
    <x v="13"/>
    <s v="PUBCY"/>
    <n v="210205"/>
    <s v="PUBCY"/>
    <n v="1377"/>
    <x v="5"/>
    <s v="Courtyard by Marriott Pueblo Downtown"/>
    <x v="15"/>
    <x v="0"/>
  </r>
  <r>
    <x v="13"/>
    <s v="COSCS"/>
    <n v="210207"/>
    <s v="COSCS"/>
    <n v="1378"/>
    <x v="5"/>
    <s v="Courtyard by Marriott Colorado Springs South"/>
    <x v="15"/>
    <x v="0"/>
  </r>
  <r>
    <x v="13"/>
    <s v="RWLFI"/>
    <n v="210209"/>
    <s v="RWLFI"/>
    <n v="1379"/>
    <x v="5"/>
    <s v="Fairfield by Marriott Inn &amp; Suites Rawlins"/>
    <x v="15"/>
    <x v="0"/>
  </r>
  <r>
    <x v="13"/>
    <s v="PHXAS"/>
    <n v="210211"/>
    <s v="PHXAS"/>
    <n v="1380"/>
    <x v="5"/>
    <s v="Fairfield by Marriott Inn &amp; Suites Phoenix Midtown"/>
    <x v="15"/>
    <x v="0"/>
  </r>
  <r>
    <x v="13"/>
    <s v="ABQFA"/>
    <n v="210213"/>
    <s v="ABQFA"/>
    <n v="1381"/>
    <x v="5"/>
    <s v="Fairfield by Marriott Inn &amp; Suites Albuquerque Airport"/>
    <x v="15"/>
    <x v="0"/>
  </r>
  <r>
    <x v="13"/>
    <s v="PRCSH"/>
    <n v="210215"/>
    <s v="PRCSH"/>
    <n v="1382"/>
    <x v="5"/>
    <s v="SpringHill Suites by Marriott Prescott"/>
    <x v="15"/>
    <x v="0"/>
  </r>
  <r>
    <x v="13"/>
    <s v="DROFI"/>
    <n v="210217"/>
    <s v="DROFI"/>
    <n v="1383"/>
    <x v="5"/>
    <s v="Fairfield by Marriott Inn &amp; Suites Durango"/>
    <x v="15"/>
    <x v="0"/>
  </r>
  <r>
    <x v="13"/>
    <s v="LAXCW"/>
    <n v="210219"/>
    <s v="LAXCW"/>
    <n v="1384"/>
    <x v="5"/>
    <s v="Courtyard by Marriott Los Angeles Woodland Hills"/>
    <x v="15"/>
    <x v="0"/>
  </r>
  <r>
    <x v="13"/>
    <s v="SEADA"/>
    <n v="210221"/>
    <s v="SEADA"/>
    <n v="1385"/>
    <x v="5"/>
    <s v="AC Hotel Seattle Downtown"/>
    <x v="15"/>
    <x v="0"/>
  </r>
  <r>
    <x v="13"/>
    <s v="SEAXS"/>
    <n v="210223"/>
    <s v="SEAXS"/>
    <n v="1386"/>
    <x v="5"/>
    <s v="SpringHill Suites by Marriott Seattle Issaquah"/>
    <x v="15"/>
    <x v="0"/>
  </r>
  <r>
    <x v="13"/>
    <s v="FATHF"/>
    <n v="210225"/>
    <s v="FATHF"/>
    <n v="1387"/>
    <x v="5"/>
    <s v="Fairfield by Marriott Inn &amp; Suites Hanford"/>
    <x v="15"/>
    <x v="0"/>
  </r>
  <r>
    <x v="13"/>
    <s v="SNAAD"/>
    <n v="210227"/>
    <s v="SNAAD"/>
    <n v="1388"/>
    <x v="5"/>
    <s v="SpringHill Suites by Marriott at Anaheim Resort/Convention Center"/>
    <x v="15"/>
    <x v="0"/>
  </r>
  <r>
    <x v="13"/>
    <s v="LGBCL"/>
    <n v="210229"/>
    <s v="LGBCL"/>
    <n v="1389"/>
    <x v="5"/>
    <s v="Courtyard by Marriott Long Beach Airport"/>
    <x v="15"/>
    <x v="0"/>
  </r>
  <r>
    <x v="13"/>
    <s v="SEADT"/>
    <n v="210231"/>
    <s v="SEADT"/>
    <n v="1390"/>
    <x v="5"/>
    <s v="SpringHill Suites by Marriott Seattle Downtown/South Lake Union"/>
    <x v="15"/>
    <x v="0"/>
  </r>
  <r>
    <x v="13"/>
    <s v="SEAOX"/>
    <n v="210233"/>
    <s v="SEAOX"/>
    <n v="1391"/>
    <x v="5"/>
    <s v="Moxy Seattle Downtown"/>
    <x v="15"/>
    <x v="0"/>
  </r>
  <r>
    <x v="13"/>
    <s v="SFOFA"/>
    <n v="210235"/>
    <s v="SFOFA"/>
    <n v="1392"/>
    <x v="5"/>
    <s v="Fairfield by Marriott Inn &amp; Suites San Francisco Airport Oyster Point Area"/>
    <x v="15"/>
    <x v="0"/>
  </r>
  <r>
    <x v="13"/>
    <s v="PDXAC"/>
    <n v="210237"/>
    <s v="PDXAC"/>
    <n v="1393"/>
    <x v="5"/>
    <s v="AC Hotel Vancouver Waterfront"/>
    <x v="15"/>
    <x v="0"/>
  </r>
  <r>
    <x v="13"/>
    <s v="LAXSD"/>
    <n v="210239"/>
    <s v="LAXSD"/>
    <n v="1394"/>
    <x v="5"/>
    <s v="SpringHill Suites by Marriott Los Angeles Downey"/>
    <x v="15"/>
    <x v="0"/>
  </r>
  <r>
    <x v="13"/>
    <s v="BURPA"/>
    <n v="210241"/>
    <s v="BURPA"/>
    <n v="1395"/>
    <x v="5"/>
    <s v="AC Hotel Pasadena"/>
    <x v="15"/>
    <x v="0"/>
  </r>
  <r>
    <x v="13"/>
    <s v="LASHD"/>
    <n v="210243"/>
    <s v="LASHD"/>
    <n v="1396"/>
    <x v="5"/>
    <s v="SpringHill Suites by Marriott Las Vegas Henderson"/>
    <x v="15"/>
    <x v="0"/>
  </r>
  <r>
    <x v="13"/>
    <s v="ONTFC"/>
    <n v="210245"/>
    <s v="ONTFC"/>
    <n v="1397"/>
    <x v="5"/>
    <s v="Fairfield by Marriott Inn &amp; Suites Chino"/>
    <x v="15"/>
    <x v="0"/>
  </r>
  <r>
    <x v="13"/>
    <s v="SEATC"/>
    <n v="210247"/>
    <s v="SEATC"/>
    <n v="1398"/>
    <x v="5"/>
    <s v="Courtyard by Marriott Seattle Kirkland"/>
    <x v="15"/>
    <x v="0"/>
  </r>
  <r>
    <x v="13"/>
    <s v="LAXXL"/>
    <n v="210249"/>
    <s v="LAXXL"/>
    <n v="1399"/>
    <x v="5"/>
    <s v="Fairfield by Marriott Inn &amp; Suites Los Angeles LAX/El Segundo"/>
    <x v="15"/>
    <x v="0"/>
  </r>
  <r>
    <x v="13"/>
    <s v="MFRAP"/>
    <n v="210251"/>
    <s v="MFRAP"/>
    <n v="1400"/>
    <x v="5"/>
    <s v="SpringHill Suites by Marriott Medford Airport"/>
    <x v="15"/>
    <x v="0"/>
  </r>
  <r>
    <x v="13"/>
    <s v="SEAAR"/>
    <n v="210253"/>
    <s v="SEAAR"/>
    <n v="1401"/>
    <x v="5"/>
    <s v="AC Hotel Seattle Bellevue/Downtown"/>
    <x v="15"/>
    <x v="0"/>
  </r>
  <r>
    <x v="13"/>
    <s v="SEAWV"/>
    <n v="210255"/>
    <s v="SEAWV"/>
    <n v="1402"/>
    <x v="5"/>
    <s v="Courtyard by Marriott Seattle Sea-Tac Area"/>
    <x v="15"/>
    <x v="0"/>
  </r>
  <r>
    <x v="13"/>
    <s v="SJCCR"/>
    <n v="210257"/>
    <s v="SJCCR"/>
    <n v="1403"/>
    <x v="5"/>
    <s v="Fairfield by Marriott Inn &amp; Suites Santa Cruz"/>
    <x v="15"/>
    <x v="0"/>
  </r>
  <r>
    <x v="13"/>
    <s v="SNAFA"/>
    <n v="210259"/>
    <s v="SNAFA"/>
    <n v="1404"/>
    <x v="5"/>
    <s v="Fairfield by Marriott Inn &amp; Suites Anaheim Los Alamitos"/>
    <x v="15"/>
    <x v="0"/>
  </r>
  <r>
    <x v="13"/>
    <s v="LGBCP"/>
    <n v="210261"/>
    <s v="LGBCP"/>
    <n v="1405"/>
    <x v="5"/>
    <s v="Courtyard by Marriott Cypress Anaheim/Orange County"/>
    <x v="15"/>
    <x v="0"/>
  </r>
  <r>
    <x v="13"/>
    <s v="RALFM"/>
    <n v="210263"/>
    <s v="RALFM"/>
    <n v="1406"/>
    <x v="5"/>
    <s v="Fairfield by Marriott Inn &amp; Suites Riverside Moreno Valley"/>
    <x v="15"/>
    <x v="0"/>
  </r>
  <r>
    <x v="13"/>
    <s v="OAKPS"/>
    <n v="210265"/>
    <s v="OAKPS"/>
    <n v="1407"/>
    <x v="5"/>
    <s v="SpringHill Suites by Marriott Pleasanton"/>
    <x v="15"/>
    <x v="0"/>
  </r>
  <r>
    <x v="13"/>
    <s v="SEATA"/>
    <n v="210267"/>
    <s v="SEATA"/>
    <n v="1408"/>
    <x v="5"/>
    <s v="Fairfield by Marriott Inn &amp; Suites Seattle Sea-Tac Airport"/>
    <x v="15"/>
    <x v="0"/>
  </r>
  <r>
    <x v="13"/>
    <s v="SEAEV"/>
    <n v="210269"/>
    <s v="SEAEV"/>
    <n v="1409"/>
    <x v="5"/>
    <s v="Courtyard by Marriott Seattle Everett Downtown"/>
    <x v="15"/>
    <x v="0"/>
  </r>
  <r>
    <x v="13"/>
    <s v="FATMD"/>
    <n v="210271"/>
    <s v="FATMD"/>
    <n v="1410"/>
    <x v="5"/>
    <s v="SpringHill Suites by Marriott Madera"/>
    <x v="15"/>
    <x v="0"/>
  </r>
  <r>
    <x v="13"/>
    <s v="SEANG"/>
    <n v="210273"/>
    <s v="SEANG"/>
    <n v="1411"/>
    <x v="5"/>
    <s v="Courtyard by Marriott Seattle Northgate"/>
    <x v="15"/>
    <x v="0"/>
  </r>
  <r>
    <x v="13"/>
    <s v="SNAAP"/>
    <n v="210275"/>
    <s v="SNAAP"/>
    <n v="1412"/>
    <x v="5"/>
    <s v="SpringHill Suites by Marriott Irvine John Wayne Airport/Orange County"/>
    <x v="15"/>
    <x v="0"/>
  </r>
  <r>
    <x v="13"/>
    <s v="SEAFQ"/>
    <n v="210277"/>
    <s v="SEAFQ"/>
    <n v="1413"/>
    <x v="5"/>
    <s v="Fairfield Inn Issaquah"/>
    <x v="15"/>
    <x v="0"/>
  </r>
  <r>
    <x v="13"/>
    <s v="LASVN"/>
    <n v="210279"/>
    <s v="LASVN"/>
    <n v="1414"/>
    <x v="5"/>
    <s v="SpringHill Suites by Marriott Las Vegas North Speedway"/>
    <x v="15"/>
    <x v="0"/>
  </r>
  <r>
    <x v="13"/>
    <s v="SFOBC"/>
    <n v="210281"/>
    <s v="SFOBC"/>
    <n v="1415"/>
    <x v="5"/>
    <s v="Courtyard by Marriott San Francisco Airport Burlingame"/>
    <x v="15"/>
    <x v="0"/>
  </r>
  <r>
    <x v="13"/>
    <s v="SNAVO"/>
    <n v="210283"/>
    <s v="SNAVO"/>
    <n v="1416"/>
    <x v="5"/>
    <s v="Fairfield Inn Mission Viejo Orange County"/>
    <x v="15"/>
    <x v="0"/>
  </r>
  <r>
    <x v="13"/>
    <s v="OAKSP"/>
    <n v="210285"/>
    <s v="OAKSP"/>
    <n v="1417"/>
    <x v="5"/>
    <s v="SpringHill Suites by Marriott Oakland Airport"/>
    <x v="15"/>
    <x v="0"/>
  </r>
  <r>
    <x v="13"/>
    <s v="SEALN"/>
    <n v="210287"/>
    <s v="SEALN"/>
    <n v="1418"/>
    <x v="5"/>
    <s v="Courtyard by Marriott Seattle North/Lynnwood Everett"/>
    <x v="15"/>
    <x v="0"/>
  </r>
  <r>
    <x v="13"/>
    <s v="BURCY"/>
    <n v="210289"/>
    <s v="BURCY"/>
    <n v="1419"/>
    <x v="5"/>
    <s v="Courtyard by Marriott Los Angeles Burbank Airport"/>
    <x v="15"/>
    <x v="0"/>
  </r>
  <r>
    <x v="13"/>
    <s v="SEAAA"/>
    <n v="210291"/>
    <s v="SEAAA"/>
    <n v="1420"/>
    <x v="5"/>
    <s v="Skybridge Seattle Airport Hotel"/>
    <x v="15"/>
    <x v="0"/>
  </r>
  <r>
    <x v="13"/>
    <s v="MFRSH"/>
    <n v="210293"/>
    <s v="MFRSH"/>
    <n v="1421"/>
    <x v="5"/>
    <s v="SpringHill Suites by Marriott Medford"/>
    <x v="15"/>
    <x v="0"/>
  </r>
  <r>
    <x v="13"/>
    <s v="YLWFE"/>
    <n v="210295"/>
    <s v="YLWFE"/>
    <n v="1422"/>
    <x v="5"/>
    <s v="Fairfield by Marriott Inn &amp; Suites Penticton"/>
    <x v="15"/>
    <x v="0"/>
  </r>
  <r>
    <x v="13"/>
    <s v="PDXVS"/>
    <n v="210297"/>
    <s v="PDXVS"/>
    <n v="1423"/>
    <x v="5"/>
    <s v="SpringHill Suites by Marriott Portland Vancouver"/>
    <x v="15"/>
    <x v="0"/>
  </r>
  <r>
    <x v="13"/>
    <s v="LAXCV"/>
    <n v="210299"/>
    <s v="LAXCV"/>
    <n v="1424"/>
    <x v="5"/>
    <s v="Courtyard by Marriott Culver City Los Angeles"/>
    <x v="15"/>
    <x v="0"/>
  </r>
  <r>
    <x v="13"/>
    <s v="PDXOX"/>
    <n v="210301"/>
    <s v="PDXOX"/>
    <n v="1425"/>
    <x v="5"/>
    <s v="Moxy Portland Downtown"/>
    <x v="15"/>
    <x v="0"/>
  </r>
  <r>
    <x v="13"/>
    <s v="LAXFR"/>
    <n v="210303"/>
    <s v="LAXFR"/>
    <n v="1426"/>
    <x v="5"/>
    <s v="Fairfield by Marriott Inn &amp; Suites Los Angeles Rosemead"/>
    <x v="15"/>
    <x v="0"/>
  </r>
  <r>
    <x v="13"/>
    <s v="SNAOG"/>
    <n v="210305"/>
    <s v="SNAOG"/>
    <n v="1427"/>
    <x v="5"/>
    <s v="Courtyard by Marriott Santa Ana Orange County"/>
    <x v="15"/>
    <x v="0"/>
  </r>
  <r>
    <x v="13"/>
    <s v="SEAFC"/>
    <n v="210307"/>
    <s v="SEAFC"/>
    <n v="1428"/>
    <x v="5"/>
    <s v="Fairfield by Marriott Inn &amp; Suites Seattle Downtown/Seattle Center"/>
    <x v="15"/>
    <x v="0"/>
  </r>
  <r>
    <x v="13"/>
    <s v="SACWN"/>
    <n v="210309"/>
    <s v="SACWN"/>
    <n v="1429"/>
    <x v="5"/>
    <s v="Fairfield by Marriott Inn &amp; Suites Sacramento Airport Natomas"/>
    <x v="15"/>
    <x v="0"/>
  </r>
  <r>
    <x v="13"/>
    <s v="SFOLV"/>
    <n v="210311"/>
    <s v="SFOLV"/>
    <n v="1430"/>
    <x v="5"/>
    <s v="Fairfield by Marriott Inn &amp; Suites Livermore"/>
    <x v="15"/>
    <x v="0"/>
  </r>
  <r>
    <x v="13"/>
    <s v="SNASF"/>
    <n v="210313"/>
    <s v="SNASF"/>
    <n v="1431"/>
    <x v="5"/>
    <s v="SpringHill Suites by Marriott Irvine Lake Forest"/>
    <x v="15"/>
    <x v="0"/>
  </r>
  <r>
    <x v="13"/>
    <s v="SEAFO"/>
    <n v="210315"/>
    <s v="SEAFO"/>
    <n v="1432"/>
    <x v="5"/>
    <s v="Fairfield by Marriott Inn &amp; Suites Seattle Poulsbo"/>
    <x v="15"/>
    <x v="0"/>
  </r>
  <r>
    <x v="13"/>
    <s v="LASSA"/>
    <n v="210317"/>
    <s v="LASSA"/>
    <n v="1433"/>
    <x v="5"/>
    <s v="SpringHill Suites by Marriott Las Vegas Airport"/>
    <x v="15"/>
    <x v="0"/>
  </r>
  <r>
    <x v="13"/>
    <s v="RNODT"/>
    <n v="210319"/>
    <s v="RNODT"/>
    <n v="1434"/>
    <x v="5"/>
    <s v="Courtyard by Marriott Reno Downtown/Riverfront"/>
    <x v="15"/>
    <x v="0"/>
  </r>
  <r>
    <x v="14"/>
    <s v="ABICY"/>
    <n v="211017"/>
    <s v="ABICY"/>
    <n v="1602"/>
    <x v="6"/>
    <s v="Courtyard By Marriott Abilene Southwest/Abilene Mall South"/>
    <x v="27"/>
    <x v="0"/>
  </r>
  <r>
    <x v="14"/>
    <s v="ABQNJ"/>
    <n v="211023"/>
    <s v="ABQNJ"/>
    <n v="1605"/>
    <x v="6"/>
    <s v="SpringHill Suites By Marriott Albuquerque North/Journal Center"/>
    <x v="27"/>
    <x v="0"/>
  </r>
  <r>
    <x v="14"/>
    <s v="AMACY"/>
    <n v="211001"/>
    <s v="AMACY"/>
    <n v="1591"/>
    <x v="6"/>
    <s v="Courtyard By Marriott Amarillo West/Medical Center"/>
    <x v="27"/>
    <x v="0"/>
  </r>
  <r>
    <x v="14"/>
    <s v="AMAFI"/>
    <n v="211013"/>
    <s v="AMAFI"/>
    <n v="1597"/>
    <x v="6"/>
    <s v="Fairfield Inn &amp; Suites Amarillo West/Medical Center"/>
    <x v="27"/>
    <x v="0"/>
  </r>
  <r>
    <x v="14"/>
    <s v="AUSAT"/>
    <n v="211009"/>
    <s v="AUSAT"/>
    <n v="1595"/>
    <x v="6"/>
    <s v="AC Hotel Austin Hill Country"/>
    <x v="27"/>
    <x v="0"/>
  </r>
  <r>
    <x v="14"/>
    <s v="AUSFI"/>
    <n v="211005"/>
    <s v="AUSFI"/>
    <n v="1593"/>
    <x v="6"/>
    <s v="Fairfield Inn &amp; Suites Austin-University Area"/>
    <x v="27"/>
    <x v="0"/>
  </r>
  <r>
    <x v="14"/>
    <s v="BMICY"/>
    <n v="211007"/>
    <s v="BMICY"/>
    <n v="1594"/>
    <x v="6"/>
    <s v="Courtyard By Marriott Bloomington Normal"/>
    <x v="27"/>
    <x v="0"/>
  </r>
  <r>
    <x v="14"/>
    <s v="CNYFI"/>
    <n v="211019"/>
    <s v="CNYFI"/>
    <n v="1603"/>
    <x v="6"/>
    <s v="Fairfield Inn &amp; Suites Moab"/>
    <x v="27"/>
    <x v="0"/>
  </r>
  <r>
    <x v="14"/>
    <s v="CNYMS"/>
    <n v="211025"/>
    <s v="CNYMS"/>
    <n v="1606"/>
    <x v="6"/>
    <s v="SpringHill Suites By Marriott Moab"/>
    <x v="27"/>
    <x v="0"/>
  </r>
  <r>
    <x v="14"/>
    <s v="GJTFI"/>
    <n v="211027"/>
    <s v="GJTFI"/>
    <n v="1607"/>
    <x v="6"/>
    <s v="Fairfield Inn &amp; Suites Grand Junction Downtown/Historic Main Street"/>
    <x v="27"/>
    <x v="0"/>
  </r>
  <r>
    <x v="14"/>
    <s v="GJTSH"/>
    <n v="211021"/>
    <s v="GJTSH"/>
    <n v="1604"/>
    <x v="6"/>
    <s v="SpringHill Suites By Marriott Grand Junction Downtown/Historic Main Street"/>
    <x v="27"/>
    <x v="0"/>
  </r>
  <r>
    <x v="14"/>
    <s v="MLUCY"/>
    <n v="211011"/>
    <s v="MLUCY"/>
    <n v="1596"/>
    <x v="6"/>
    <s v="Courtyard By Marriott Monroe Airport"/>
    <x v="27"/>
    <x v="0"/>
  </r>
  <r>
    <x v="14"/>
    <s v="OLMRO"/>
    <n v="211039"/>
    <s v="OLMRO"/>
    <n v="1613"/>
    <x v="6"/>
    <s v="Fairfield Inn &amp; Suites Grand Mound Centralia"/>
    <x v="27"/>
    <x v="0"/>
  </r>
  <r>
    <x v="14"/>
    <s v="ONTRT"/>
    <n v="211035"/>
    <s v="ONTRT"/>
    <n v="1611"/>
    <x v="6"/>
    <s v="Fairfield Inn &amp; Suites Temecula"/>
    <x v="27"/>
    <x v="0"/>
  </r>
  <r>
    <x v="14"/>
    <s v="ONTST"/>
    <n v="211037"/>
    <s v="ONTST"/>
    <n v="1612"/>
    <x v="6"/>
    <s v="SpringHill Suites By Marriott Temecula Valley Wine Country"/>
    <x v="27"/>
    <x v="0"/>
  </r>
  <r>
    <x v="14"/>
    <s v="PDXCA"/>
    <n v="211029"/>
    <s v="PDXCA"/>
    <n v="1608"/>
    <x v="6"/>
    <s v="Courtyard By Marriott Portland Airport"/>
    <x v="27"/>
    <x v="0"/>
  </r>
  <r>
    <x v="14"/>
    <s v="PDXFI"/>
    <n v="211031"/>
    <s v="PDXFI"/>
    <n v="1609"/>
    <x v="6"/>
    <s v="Fairfield Inn &amp; Suites Portland Airport"/>
    <x v="27"/>
    <x v="0"/>
  </r>
  <r>
    <x v="14"/>
    <s v="RDMFI"/>
    <n v="211043"/>
    <s v="RDMFI"/>
    <n v="1615"/>
    <x v="6"/>
    <s v="Fairfield Inn &amp; Suites Bend Downtown"/>
    <x v="27"/>
    <x v="0"/>
  </r>
  <r>
    <x v="14"/>
    <s v="SATCY"/>
    <n v="211015"/>
    <s v="SATCY"/>
    <n v="1600"/>
    <x v="6"/>
    <s v="Courtyard By Marriott San Antonio Airport/North Star Mall"/>
    <x v="27"/>
    <x v="0"/>
  </r>
  <r>
    <x v="14"/>
    <s v="SATFA"/>
    <n v="211003"/>
    <s v="SATFA"/>
    <n v="1592"/>
    <x v="6"/>
    <s v="Fairfield Inn &amp; Suites San Antonio Airport/North Star Mall"/>
    <x v="27"/>
    <x v="0"/>
  </r>
  <r>
    <x v="14"/>
    <s v="STSUK"/>
    <n v="211041"/>
    <s v="STSUK"/>
    <n v="1614"/>
    <x v="6"/>
    <s v="Fairfield Inn &amp; Suites Ukiah Mendocino County"/>
    <x v="27"/>
    <x v="0"/>
  </r>
  <r>
    <x v="14"/>
    <s v="WMCFI"/>
    <n v="211033"/>
    <s v="WMCFI"/>
    <n v="1610"/>
    <x v="6"/>
    <s v="Fairfield Inn &amp; Suites Winnemucca"/>
    <x v="27"/>
    <x v="0"/>
  </r>
  <r>
    <x v="14"/>
    <s v="ALOCY"/>
    <n v="112289"/>
    <s v="ALOCY"/>
    <n v="1598"/>
    <x v="7"/>
    <s v="Courtyard By Marriott Waterloo Cedar Falls"/>
    <x v="27"/>
    <x v="0"/>
  </r>
  <r>
    <x v="14"/>
    <s v="BDLWL"/>
    <n v="112119"/>
    <s v="BDLWL"/>
    <n v="1500"/>
    <x v="7"/>
    <s v="SpringHill Suites By Marriott Hartford Airport/Windsor Locks"/>
    <x v="27"/>
    <x v="0"/>
  </r>
  <r>
    <x v="14"/>
    <s v="BOSBR"/>
    <n v="112163"/>
    <s v="BOSBR"/>
    <n v="1522"/>
    <x v="7"/>
    <s v="Courtyard By Marriott Boston Westborough"/>
    <x v="27"/>
    <x v="0"/>
  </r>
  <r>
    <x v="14"/>
    <s v="BTLFI"/>
    <n v="112273"/>
    <s v="BTLFI"/>
    <n v="1577"/>
    <x v="7"/>
    <s v="Fairfield Inn By Marriott Battle Creek"/>
    <x v="27"/>
    <x v="0"/>
  </r>
  <r>
    <x v="14"/>
    <s v="BTVAC"/>
    <n v="112113"/>
    <s v="BTVAC"/>
    <n v="1497"/>
    <x v="7"/>
    <s v="AC Hotel Burlington"/>
    <x v="27"/>
    <x v="0"/>
  </r>
  <r>
    <x v="14"/>
    <s v="BTVWB"/>
    <n v="112103"/>
    <s v="BTVWB"/>
    <n v="1492"/>
    <x v="7"/>
    <s v="Fairfield Inn &amp; Suites Waterbury Stowe"/>
    <x v="27"/>
    <x v="0"/>
  </r>
  <r>
    <x v="14"/>
    <s v="BUFCY"/>
    <n v="112221"/>
    <s v="BUFCY"/>
    <n v="1551"/>
    <x v="7"/>
    <s v="Courtyard By Marriott Buffalo Amherst/University"/>
    <x v="27"/>
    <x v="0"/>
  </r>
  <r>
    <x v="14"/>
    <s v="BWIAB"/>
    <n v="112011"/>
    <s v="BWIAB"/>
    <n v="1446"/>
    <x v="7"/>
    <s v="SpringHill Suites By Marriott Edgewood Aberdeen"/>
    <x v="27"/>
    <x v="0"/>
  </r>
  <r>
    <x v="14"/>
    <s v="BWIDT"/>
    <n v="112073"/>
    <s v="BWIDT"/>
    <n v="1477"/>
    <x v="7"/>
    <s v="Courtyard By Marriott Baltimore Downtown/Inner Harbor"/>
    <x v="27"/>
    <x v="0"/>
  </r>
  <r>
    <x v="14"/>
    <s v="CAEFS"/>
    <n v="112185"/>
    <s v="CAEFS"/>
    <n v="1533"/>
    <x v="7"/>
    <s v="Fairfield Inn &amp; Suites Columbia Northeast"/>
    <x v="27"/>
    <x v="0"/>
  </r>
  <r>
    <x v="14"/>
    <s v="CAEMT"/>
    <n v="112095"/>
    <s v="CAEMT"/>
    <n v="1488"/>
    <x v="7"/>
    <s v="SpringHill Suites By Marriott Sumter"/>
    <x v="27"/>
    <x v="0"/>
  </r>
  <r>
    <x v="14"/>
    <s v="CAKDT"/>
    <n v="112287"/>
    <s v="CAKDT"/>
    <n v="1584"/>
    <x v="7"/>
    <s v="Courtyard By Marriott Akron Downtown"/>
    <x v="27"/>
    <x v="0"/>
  </r>
  <r>
    <x v="14"/>
    <s v="CAKFC"/>
    <n v="112059"/>
    <s v="CAKFC"/>
    <n v="1470"/>
    <x v="7"/>
    <s v="Fairfield Inn &amp; Suites Canton South"/>
    <x v="27"/>
    <x v="0"/>
  </r>
  <r>
    <x v="14"/>
    <s v="CHADL"/>
    <n v="112029"/>
    <s v="CHADL"/>
    <n v="1455"/>
    <x v="7"/>
    <s v="Courtyard By Marriott Dalton"/>
    <x v="27"/>
    <x v="0"/>
  </r>
  <r>
    <x v="14"/>
    <s v="CHASE"/>
    <n v="112077"/>
    <s v="CHASE"/>
    <n v="1479"/>
    <x v="7"/>
    <s v="Fairfield Inn &amp; Suites Chattanooga South/East Ridge"/>
    <x v="27"/>
    <x v="0"/>
  </r>
  <r>
    <x v="14"/>
    <s v="CHATF"/>
    <n v="112247"/>
    <s v="CHATF"/>
    <n v="1564"/>
    <x v="7"/>
    <s v="Fairfield Inn &amp; Suites Chattanooga I-24/Lookout Mountain"/>
    <x v="27"/>
    <x v="0"/>
  </r>
  <r>
    <x v="14"/>
    <s v="CHODT"/>
    <n v="112055"/>
    <s v="CHODT"/>
    <n v="1468"/>
    <x v="7"/>
    <s v="Courtyard By Marriott Charlottesville - University Medical Center"/>
    <x v="27"/>
    <x v="0"/>
  </r>
  <r>
    <x v="14"/>
    <s v="CHSCO"/>
    <n v="112223"/>
    <s v="CHSCO"/>
    <n v="1552"/>
    <x v="7"/>
    <s v="Courtyard By Marriott Charleston-North Charleston"/>
    <x v="27"/>
    <x v="0"/>
  </r>
  <r>
    <x v="14"/>
    <s v="CHSFD"/>
    <n v="112195"/>
    <s v="CHSFD"/>
    <n v="1538"/>
    <x v="7"/>
    <s v="Fairfield by Marriott Inn &amp; Suites Charleston Downtown"/>
    <x v="27"/>
    <x v="0"/>
  </r>
  <r>
    <x v="14"/>
    <s v="CHSMT"/>
    <n v="112115"/>
    <s v="CHSMT"/>
    <n v="1498"/>
    <x v="7"/>
    <s v="SpringHill Suites By Marriott Charleston Mount Pleasant"/>
    <x v="27"/>
    <x v="0"/>
  </r>
  <r>
    <x v="14"/>
    <s v="CLEAV"/>
    <n v="112003"/>
    <s v="CLEAV"/>
    <n v="1442"/>
    <x v="7"/>
    <s v="Fairfield Inn &amp; Suites Cleveland Avon"/>
    <x v="27"/>
    <x v="0"/>
  </r>
  <r>
    <x v="14"/>
    <s v="CLEIP"/>
    <n v="112085"/>
    <s v="CLEIP"/>
    <n v="1483"/>
    <x v="7"/>
    <s v="SpringHill Suites By Marriott Cleveland Independence"/>
    <x v="27"/>
    <x v="0"/>
  </r>
  <r>
    <x v="14"/>
    <s v="CLTBL"/>
    <n v="112265"/>
    <s v="CLTBL"/>
    <n v="1573"/>
    <x v="7"/>
    <s v="Courtyard By Marriott Charlotte Ballantyne Area"/>
    <x v="27"/>
    <x v="0"/>
  </r>
  <r>
    <x v="14"/>
    <s v="CLTGS"/>
    <n v="112161"/>
    <s v="CLTGS"/>
    <n v="1521"/>
    <x v="7"/>
    <s v="Fairfield Inn By Marriott Charlotte Gastonia"/>
    <x v="27"/>
    <x v="0"/>
  </r>
  <r>
    <x v="14"/>
    <s v="CLTSO"/>
    <n v="112171"/>
    <s v="CLTSO"/>
    <n v="1526"/>
    <x v="7"/>
    <s v="SpringHill Suites By Marriott Charlotte Southwest"/>
    <x v="27"/>
    <x v="0"/>
  </r>
  <r>
    <x v="14"/>
    <s v="CMHCY"/>
    <n v="112177"/>
    <s v="CMHCY"/>
    <n v="1529"/>
    <x v="7"/>
    <s v="Courtyard By Marriott Columbus Downtown"/>
    <x v="27"/>
    <x v="0"/>
  </r>
  <r>
    <x v="14"/>
    <s v="CMHDF"/>
    <n v="112111"/>
    <s v="CMHDF"/>
    <n v="1496"/>
    <x v="7"/>
    <s v="Fairfield Inn &amp; Suites Columbus Dublin"/>
    <x v="27"/>
    <x v="0"/>
  </r>
  <r>
    <x v="14"/>
    <s v="CMHRY"/>
    <n v="112157"/>
    <s v="CMHRY"/>
    <n v="1519"/>
    <x v="7"/>
    <s v="Fairfield Inn &amp; Suites Columbus East"/>
    <x v="27"/>
    <x v="0"/>
  </r>
  <r>
    <x v="14"/>
    <s v="CMHWG"/>
    <n v="112203"/>
    <s v="CMHWG"/>
    <n v="1542"/>
    <x v="7"/>
    <s v="Courtyard By Marriott Columbus OSU"/>
    <x v="27"/>
    <x v="0"/>
  </r>
  <r>
    <x v="14"/>
    <s v="CMHWS"/>
    <n v="112281"/>
    <s v="CMHWS"/>
    <n v="1581"/>
    <x v="7"/>
    <s v="SpringHill Suites By Marriott Columbus West"/>
    <x v="27"/>
    <x v="0"/>
  </r>
  <r>
    <x v="14"/>
    <s v="CSGCH"/>
    <n v="112233"/>
    <s v="CSGCH"/>
    <n v="1557"/>
    <x v="7"/>
    <s v="Courtyard By Marriott Columbus"/>
    <x v="27"/>
    <x v="0"/>
  </r>
  <r>
    <x v="14"/>
    <s v="CSGFI"/>
    <n v="112039"/>
    <s v="CSGFI"/>
    <n v="1460"/>
    <x v="7"/>
    <s v="Fairfield Inn &amp; Suites Columbus"/>
    <x v="27"/>
    <x v="0"/>
  </r>
  <r>
    <x v="14"/>
    <s v="CSGLG"/>
    <n v="112261"/>
    <s v="CSGLG"/>
    <n v="1571"/>
    <x v="7"/>
    <s v="Courtyard By Marriott LaGrange"/>
    <x v="27"/>
    <x v="0"/>
  </r>
  <r>
    <x v="14"/>
    <s v="CVGCI"/>
    <n v="112237"/>
    <s v="CVGCI"/>
    <n v="1559"/>
    <x v="7"/>
    <s v="AC Hotel Cincinnati at Liberty Center"/>
    <x v="27"/>
    <x v="0"/>
  </r>
  <r>
    <x v="14"/>
    <s v="CVGFL"/>
    <n v="112167"/>
    <s v="CVGFL"/>
    <n v="1524"/>
    <x v="7"/>
    <s v="Courtyard By Marriott Cincinnati Airport South/Florence"/>
    <x v="27"/>
    <x v="0"/>
  </r>
  <r>
    <x v="14"/>
    <s v="CVGFP"/>
    <n v="112275"/>
    <s v="CVGFP"/>
    <n v="1578"/>
    <x v="7"/>
    <s v="SpringHill Suites By Marriott Cincinnati North/Forest Park"/>
    <x v="27"/>
    <x v="0"/>
  </r>
  <r>
    <x v="14"/>
    <s v="CVGOF"/>
    <n v="112121"/>
    <s v="CVGOF"/>
    <n v="1501"/>
    <x v="7"/>
    <s v="Fairfield by Marriott Inn &amp; Suites Oxford"/>
    <x v="27"/>
    <x v="0"/>
  </r>
  <r>
    <x v="14"/>
    <s v="CVGSF"/>
    <n v="112127"/>
    <s v="CVGSF"/>
    <n v="1504"/>
    <x v="7"/>
    <s v="SpringHill Suites By Marriott Cincinnati Airport South"/>
    <x v="27"/>
    <x v="0"/>
  </r>
  <r>
    <x v="14"/>
    <s v="DAYCL"/>
    <n v="112145"/>
    <s v="DAYCL"/>
    <n v="1513"/>
    <x v="7"/>
    <s v="Courtyard By Marriott Lima"/>
    <x v="27"/>
    <x v="0"/>
  </r>
  <r>
    <x v="14"/>
    <s v="DAYCN"/>
    <n v="112019"/>
    <s v="DAYCN"/>
    <n v="1450"/>
    <x v="7"/>
    <s v="Courtyard By Marriott Dayton North"/>
    <x v="27"/>
    <x v="0"/>
  </r>
  <r>
    <x v="14"/>
    <s v="DTWAS"/>
    <n v="112125"/>
    <s v="DTWAS"/>
    <n v="1503"/>
    <x v="7"/>
    <s v="SpringHill Suites By Marriott Detroit Metro Airport Romulus"/>
    <x v="27"/>
    <x v="0"/>
  </r>
  <r>
    <x v="14"/>
    <s v="DTWSS"/>
    <n v="112091"/>
    <s v="DTWSS"/>
    <n v="1486"/>
    <x v="7"/>
    <s v="SpringHill Suites By Marriott Detroit Sterling Heights"/>
    <x v="27"/>
    <x v="0"/>
  </r>
  <r>
    <x v="14"/>
    <s v="ERIFI"/>
    <n v="112193"/>
    <s v="ERIFI"/>
    <n v="1537"/>
    <x v="7"/>
    <s v="Fairfield Inn By Marriott Erie Millcreek Mall"/>
    <x v="27"/>
    <x v="0"/>
  </r>
  <r>
    <x v="14"/>
    <s v="ESNFI"/>
    <n v="112031"/>
    <s v="ESNFI"/>
    <n v="1456"/>
    <x v="7"/>
    <s v="Fairfield Inn &amp; Suites Easton"/>
    <x v="27"/>
    <x v="0"/>
  </r>
  <r>
    <x v="14"/>
    <s v="EWNSH"/>
    <n v="112023"/>
    <s v="EWNSH"/>
    <n v="1452"/>
    <x v="7"/>
    <s v="SpringHill Suites By Marriott New Bern"/>
    <x v="27"/>
    <x v="0"/>
  </r>
  <r>
    <x v="14"/>
    <s v="EWRFB"/>
    <n v="112227"/>
    <s v="EWRFB"/>
    <n v="1554"/>
    <x v="7"/>
    <s v="Fairfield Inn &amp; Suites Bridgewater Branchburg/Somerville"/>
    <x v="27"/>
    <x v="0"/>
  </r>
  <r>
    <x v="14"/>
    <s v="FAYSH"/>
    <n v="112207"/>
    <s v="FAYSH"/>
    <n v="1544"/>
    <x v="7"/>
    <s v="SpringHill Suites By Marriott Pinehurst Southern Pines"/>
    <x v="27"/>
    <x v="0"/>
  </r>
  <r>
    <x v="14"/>
    <s v="FKBFI"/>
    <n v="112053"/>
    <s v="FKBFI"/>
    <n v="1467"/>
    <x v="7"/>
    <s v="Fairfield Inn &amp; Suites Fredericksburg"/>
    <x v="27"/>
    <x v="0"/>
  </r>
  <r>
    <x v="14"/>
    <s v="GONSH"/>
    <n v="112079"/>
    <s v="GONSH"/>
    <n v="1480"/>
    <x v="7"/>
    <s v="SpringHill Suites By Marriott Mystic Waterford"/>
    <x v="27"/>
    <x v="0"/>
  </r>
  <r>
    <x v="14"/>
    <s v="GRRCY"/>
    <n v="112051"/>
    <s v="GRRCY"/>
    <n v="1466"/>
    <x v="7"/>
    <s v="Courtyard By Marriott Grand Rapids Airport"/>
    <x v="27"/>
    <x v="0"/>
  </r>
  <r>
    <x v="14"/>
    <s v="GRRDT"/>
    <n v="112139"/>
    <s v="GRRDT"/>
    <n v="1510"/>
    <x v="7"/>
    <s v="Courtyard By Marriott Grand Rapids Downtown"/>
    <x v="27"/>
    <x v="0"/>
  </r>
  <r>
    <x v="14"/>
    <s v="GRRSL"/>
    <n v="112191"/>
    <s v="GRRSL"/>
    <n v="1536"/>
    <x v="7"/>
    <s v="SpringHill Suites By Marriott Holland"/>
    <x v="27"/>
    <x v="0"/>
  </r>
  <r>
    <x v="14"/>
    <s v="GSOBR"/>
    <n v="112239"/>
    <s v="GSOBR"/>
    <n v="1560"/>
    <x v="7"/>
    <s v="Courtyard By Marriott Burlington"/>
    <x v="27"/>
    <x v="0"/>
  </r>
  <r>
    <x v="14"/>
    <s v="GSOHH"/>
    <n v="112149"/>
    <s v="GSOHH"/>
    <n v="1515"/>
    <x v="7"/>
    <s v="SpringHill Suites by Marriott High Point Downtown"/>
    <x v="27"/>
    <x v="0"/>
  </r>
  <r>
    <x v="14"/>
    <s v="GSPPF"/>
    <n v="112093"/>
    <s v="GSPPF"/>
    <n v="1487"/>
    <x v="7"/>
    <s v="Fairfield by Marriott Inn &amp; Suites Piedmont Greenville"/>
    <x v="27"/>
    <x v="0"/>
  </r>
  <r>
    <x v="14"/>
    <s v="GSPPR"/>
    <n v="112001"/>
    <s v="GSPPR"/>
    <n v="1441"/>
    <x v="7"/>
    <s v="Fairfield Inn By Marriott Greenville-Spartanburg Airport"/>
    <x v="27"/>
    <x v="0"/>
  </r>
  <r>
    <x v="14"/>
    <s v="HARNC"/>
    <n v="112213"/>
    <s v="HARNC"/>
    <n v="1547"/>
    <x v="7"/>
    <s v="Fairfield Inn &amp; Suites Harrisburg West"/>
    <x v="27"/>
    <x v="0"/>
  </r>
  <r>
    <x v="14"/>
    <s v="HARSB"/>
    <n v="112231"/>
    <s v="HARSB"/>
    <n v="1556"/>
    <x v="7"/>
    <s v="Courtyard By Marriott Shippensburg"/>
    <x v="27"/>
    <x v="0"/>
  </r>
  <r>
    <x v="14"/>
    <s v="HARWM"/>
    <n v="112229"/>
    <s v="HARWM"/>
    <n v="1555"/>
    <x v="7"/>
    <s v="Courtyard By Marriott Harrisburg West/Mechanicsburg"/>
    <x v="27"/>
    <x v="0"/>
  </r>
  <r>
    <x v="14"/>
    <s v="HHHHS"/>
    <n v="112135"/>
    <s v="HHHHS"/>
    <n v="1508"/>
    <x v="7"/>
    <s v="SpringHill Suites By Marriott Hilton Head Island"/>
    <x v="27"/>
    <x v="0"/>
  </r>
  <r>
    <x v="14"/>
    <s v="HVNCO"/>
    <n v="112219"/>
    <s v="HVNCO"/>
    <n v="1550"/>
    <x v="7"/>
    <s v="Courtyard By Marriott New Haven Orange/Milford"/>
    <x v="27"/>
    <x v="0"/>
  </r>
  <r>
    <x v="14"/>
    <s v="HVNCY"/>
    <n v="112045"/>
    <s v="HVNCY"/>
    <n v="1463"/>
    <x v="7"/>
    <s v="Courtyard By Marriott Waterbury Downtown"/>
    <x v="27"/>
    <x v="0"/>
  </r>
  <r>
    <x v="14"/>
    <s v="HYACY"/>
    <n v="112097"/>
    <s v="HYACY"/>
    <n v="1489"/>
    <x v="7"/>
    <s v="Courtyard By Marriott Cape Cod Hyannis"/>
    <x v="27"/>
    <x v="0"/>
  </r>
  <r>
    <x v="14"/>
    <s v="ILMCB"/>
    <n v="112151"/>
    <s v="ILMCB"/>
    <n v="1516"/>
    <x v="7"/>
    <s v="Courtyard By Marriott Carolina Beach Oceanfront"/>
    <x v="27"/>
    <x v="0"/>
  </r>
  <r>
    <x v="14"/>
    <s v="ILMWE"/>
    <n v="112197"/>
    <s v="ILMWE"/>
    <n v="1539"/>
    <x v="7"/>
    <s v="Fairfield Inn &amp; Suites Wilmington/Wrightsville Beach"/>
    <x v="27"/>
    <x v="0"/>
  </r>
  <r>
    <x v="14"/>
    <s v="INDTH"/>
    <n v="112087"/>
    <s v="INDTH"/>
    <n v="1484"/>
    <x v="7"/>
    <s v="Fairfield Inn &amp; Suites Terre Haute"/>
    <x v="27"/>
    <x v="0"/>
  </r>
  <r>
    <x v="14"/>
    <s v="INTJE"/>
    <n v="112089"/>
    <s v="INTJE"/>
    <n v="1485"/>
    <x v="7"/>
    <s v="Fairfield Inn &amp; Suites Elkin Jonesville"/>
    <x v="27"/>
    <x v="0"/>
  </r>
  <r>
    <x v="14"/>
    <s v="IPTLH"/>
    <n v="112199"/>
    <s v="IPTLH"/>
    <n v="1540"/>
    <x v="7"/>
    <s v="Fairfield Inn &amp; Suites Lock Haven"/>
    <x v="27"/>
    <x v="0"/>
  </r>
  <r>
    <x v="14"/>
    <s v="ISPSH"/>
    <n v="112159"/>
    <s v="ISPSH"/>
    <n v="1520"/>
    <x v="7"/>
    <s v="SpringHill Suites By Marriott Long Island Brookhaven"/>
    <x v="27"/>
    <x v="0"/>
  </r>
  <r>
    <x v="14"/>
    <s v="ITHFI"/>
    <n v="112269"/>
    <s v="ITHFI"/>
    <n v="1575"/>
    <x v="7"/>
    <s v="Fairfield Inn &amp; Suites Ithaca"/>
    <x v="27"/>
    <x v="0"/>
  </r>
  <r>
    <x v="14"/>
    <s v="JAXCB"/>
    <n v="112259"/>
    <s v="JAXCB"/>
    <n v="1570"/>
    <x v="7"/>
    <s v="Courtyard By Marriott St. Augustine Beach"/>
    <x v="27"/>
    <x v="0"/>
  </r>
  <r>
    <x v="14"/>
    <s v="JAXCP"/>
    <n v="112005"/>
    <s v="JAXCP"/>
    <n v="1443"/>
    <x v="7"/>
    <s v="Fairfield Inn &amp; Suites Jacksonville West/Chaffee Point"/>
    <x v="27"/>
    <x v="0"/>
  </r>
  <r>
    <x v="14"/>
    <s v="JXNCY"/>
    <n v="112099"/>
    <s v="JXNCY"/>
    <n v="1490"/>
    <x v="7"/>
    <s v="Courtyard By Marriott Jackson"/>
    <x v="27"/>
    <x v="0"/>
  </r>
  <r>
    <x v="14"/>
    <s v="LAFCY"/>
    <n v="112211"/>
    <s v="LAFCY"/>
    <n v="1546"/>
    <x v="7"/>
    <s v="Courtyard By Marriott Lafayette"/>
    <x v="27"/>
    <x v="0"/>
  </r>
  <r>
    <x v="14"/>
    <s v="LAFFI"/>
    <n v="112175"/>
    <s v="LAFFI"/>
    <n v="1528"/>
    <x v="7"/>
    <s v="Fairfield Inn &amp; Suites Lafayette"/>
    <x v="27"/>
    <x v="0"/>
  </r>
  <r>
    <x v="14"/>
    <s v="LANCL"/>
    <n v="112205"/>
    <s v="LANCL"/>
    <n v="1543"/>
    <x v="7"/>
    <s v="Courtyard by Marriott Lansing Downtown"/>
    <x v="27"/>
    <x v="0"/>
  </r>
  <r>
    <x v="14"/>
    <s v="LEXKN"/>
    <n v="112063"/>
    <s v="LEXKN"/>
    <n v="1472"/>
    <x v="7"/>
    <s v="Courtyard By Marriott Lexington Keeneland/Airport"/>
    <x v="27"/>
    <x v="0"/>
  </r>
  <r>
    <x v="14"/>
    <s v="LWBFI"/>
    <n v="112143"/>
    <s v="LWBFI"/>
    <n v="1512"/>
    <x v="7"/>
    <s v="Fairfield Inn &amp; Suites Lewisburg"/>
    <x v="27"/>
    <x v="0"/>
  </r>
  <r>
    <x v="14"/>
    <s v="LYHFI"/>
    <n v="112267"/>
    <s v="LYHFI"/>
    <n v="1574"/>
    <x v="7"/>
    <s v="Fairfield Inn &amp; Suites Lynchburg Liberty University"/>
    <x v="27"/>
    <x v="0"/>
  </r>
  <r>
    <x v="14"/>
    <s v="MBSFI"/>
    <n v="112271"/>
    <s v="MBSFI"/>
    <n v="1576"/>
    <x v="7"/>
    <s v="Fairfield Inn &amp; Suites Saginaw"/>
    <x v="27"/>
    <x v="0"/>
  </r>
  <r>
    <x v="14"/>
    <s v="MCNSH"/>
    <n v="112037"/>
    <s v="MCNSH"/>
    <n v="1459"/>
    <x v="7"/>
    <s v="SpringHill Suites By Marriott Macon"/>
    <x v="27"/>
    <x v="0"/>
  </r>
  <r>
    <x v="14"/>
    <s v="MCNWR"/>
    <n v="112189"/>
    <s v="MCNWR"/>
    <n v="1535"/>
    <x v="7"/>
    <s v="Fairfield Inn &amp; Suites Warner Robins"/>
    <x v="27"/>
    <x v="0"/>
  </r>
  <r>
    <x v="14"/>
    <s v="MCOFV"/>
    <n v="112021"/>
    <s v="MCOFV"/>
    <n v="1451"/>
    <x v="7"/>
    <s v="Fairfield Inn &amp; Suites Orlando Lake Buena Vista"/>
    <x v="27"/>
    <x v="0"/>
  </r>
  <r>
    <x v="14"/>
    <s v="MCOKK"/>
    <n v="112165"/>
    <s v="MCOKK"/>
    <n v="1523"/>
    <x v="7"/>
    <s v="SpringHill Suites By Marriott Orlando Lake Buena Vista South"/>
    <x v="27"/>
    <x v="0"/>
  </r>
  <r>
    <x v="14"/>
    <s v="MCOLL"/>
    <n v="112009"/>
    <s v="MCOLL"/>
    <n v="1445"/>
    <x v="7"/>
    <s v="Courtyard By Marriott Orlando Altamonte Springs/Maitland"/>
    <x v="27"/>
    <x v="0"/>
  </r>
  <r>
    <x v="14"/>
    <s v="MCOLM"/>
    <n v="112235"/>
    <s v="MCOLM"/>
    <n v="1558"/>
    <x v="7"/>
    <s v="Courtyard By Marriott Orlando Lake Mary/North"/>
    <x v="27"/>
    <x v="0"/>
  </r>
  <r>
    <x v="14"/>
    <s v="MCOOF"/>
    <n v="112279"/>
    <s v="MCOOF"/>
    <n v="1580"/>
    <x v="7"/>
    <s v="Fairfield Inn &amp; Suites Orlando Ocoee"/>
    <x v="27"/>
    <x v="0"/>
  </r>
  <r>
    <x v="14"/>
    <s v="MCOSA"/>
    <n v="112283"/>
    <s v="MCOSA"/>
    <n v="1582"/>
    <x v="7"/>
    <s v="SpringHill Suites By Marriott Orlando Airport"/>
    <x v="27"/>
    <x v="0"/>
  </r>
  <r>
    <x v="14"/>
    <s v="MCOSH"/>
    <n v="112049"/>
    <s v="MCOSH"/>
    <n v="1465"/>
    <x v="7"/>
    <s v="SpringHill Suites By Marriott Orlando North/Sanford"/>
    <x v="27"/>
    <x v="0"/>
  </r>
  <r>
    <x v="14"/>
    <s v="MHTHO"/>
    <n v="112069"/>
    <s v="MHTHO"/>
    <n v="1475"/>
    <x v="7"/>
    <s v="Fairfield Inn &amp; Suites Manchester South/Hooksett"/>
    <x v="27"/>
    <x v="0"/>
  </r>
  <r>
    <x v="14"/>
    <s v="MIAFH"/>
    <n v="112257"/>
    <s v="MIAFH"/>
    <n v="1569"/>
    <x v="7"/>
    <s v="Fairfield Inn &amp; Suites Homestead Florida City"/>
    <x v="27"/>
    <x v="0"/>
  </r>
  <r>
    <x v="14"/>
    <s v="MKGNS"/>
    <n v="112183"/>
    <s v="MKGNS"/>
    <n v="1532"/>
    <x v="7"/>
    <s v="Fairfield Inn &amp; Suites Muskegon Norton Shores"/>
    <x v="27"/>
    <x v="0"/>
  </r>
  <r>
    <x v="14"/>
    <s v="MLBFV"/>
    <n v="112061"/>
    <s v="MLBFV"/>
    <n v="1471"/>
    <x v="7"/>
    <s v="Fairfield Inn &amp; Suites Melbourne Viera Town Center"/>
    <x v="27"/>
    <x v="0"/>
  </r>
  <r>
    <x v="14"/>
    <s v="MLBSC"/>
    <n v="112033"/>
    <s v="MLBSC"/>
    <n v="1457"/>
    <x v="7"/>
    <s v="SpringHill Suites By Marriott Cape Canaveral Cocoa Beach"/>
    <x v="27"/>
    <x v="0"/>
  </r>
  <r>
    <x v="14"/>
    <s v="MNZCY"/>
    <n v="112131"/>
    <s v="MNZCY"/>
    <n v="1506"/>
    <x v="7"/>
    <s v="Courtyard By Marriott Stafford Quantico"/>
    <x v="27"/>
    <x v="0"/>
  </r>
  <r>
    <x v="14"/>
    <s v="MNZFS"/>
    <n v="112215"/>
    <s v="MNZFS"/>
    <n v="1548"/>
    <x v="7"/>
    <s v="Fairfield Inn &amp; Suites Quantico Stafford"/>
    <x v="27"/>
    <x v="0"/>
  </r>
  <r>
    <x v="14"/>
    <s v="MOBSF"/>
    <n v="112291"/>
    <s v="MOBSF"/>
    <n v="1599"/>
    <x v="7"/>
    <s v="Courtyard By Marriott Mobile Daphne/Eastern Shore"/>
    <x v="27"/>
    <x v="0"/>
  </r>
  <r>
    <x v="14"/>
    <s v="MOBSP"/>
    <n v="112293"/>
    <s v="MOBSP"/>
    <n v="1601"/>
    <x v="7"/>
    <s v="Fairfield Inn &amp; Suites Mobile Daphne/Eastern Shore"/>
    <x v="27"/>
    <x v="0"/>
  </r>
  <r>
    <x v="14"/>
    <s v="ORFFV"/>
    <n v="112147"/>
    <s v="ORFFV"/>
    <n v="1514"/>
    <x v="7"/>
    <s v="Fairfield by Marriott Inn &amp; Suites Virginia Beach/Norfolk Airport"/>
    <x v="27"/>
    <x v="0"/>
  </r>
  <r>
    <x v="14"/>
    <s v="ORFVO"/>
    <n v="112187"/>
    <s v="ORFVO"/>
    <n v="1534"/>
    <x v="7"/>
    <s v="SpringHill Suites By Marriott Virginia Beach Oceanfront"/>
    <x v="27"/>
    <x v="0"/>
  </r>
  <r>
    <x v="14"/>
    <s v="ORFVX"/>
    <n v="112081"/>
    <s v="ORFVX"/>
    <n v="1481"/>
    <x v="7"/>
    <s v="Moxy Virginia Beach Oceanfront"/>
    <x v="27"/>
    <x v="0"/>
  </r>
  <r>
    <x v="14"/>
    <s v="PBICP"/>
    <n v="112245"/>
    <s v="PBICP"/>
    <n v="1563"/>
    <x v="7"/>
    <s v="Courtyard by Marriott Port St. Lucie Tradition"/>
    <x v="27"/>
    <x v="0"/>
  </r>
  <r>
    <x v="14"/>
    <s v="PBIST"/>
    <n v="112071"/>
    <s v="PBIST"/>
    <n v="1476"/>
    <x v="7"/>
    <s v="Courtyard By Marriott Stuart"/>
    <x v="27"/>
    <x v="0"/>
  </r>
  <r>
    <x v="14"/>
    <s v="PGVWF"/>
    <n v="112241"/>
    <s v="PGVWF"/>
    <n v="1561"/>
    <x v="7"/>
    <s v="Fairfield by Marriott Inn &amp; Suites Weldon"/>
    <x v="27"/>
    <x v="0"/>
  </r>
  <r>
    <x v="14"/>
    <s v="PITHW"/>
    <n v="112117"/>
    <s v="PITHW"/>
    <n v="1499"/>
    <x v="7"/>
    <s v="Courtyard By Marriott Pittsburgh West Homestead/Waterfront"/>
    <x v="27"/>
    <x v="0"/>
  </r>
  <r>
    <x v="14"/>
    <s v="PITSR"/>
    <n v="112057"/>
    <s v="PITSR"/>
    <n v="1469"/>
    <x v="7"/>
    <s v="Courtyard By Marriott Pittsburgh Airport Settlers Ridge"/>
    <x v="27"/>
    <x v="0"/>
  </r>
  <r>
    <x v="14"/>
    <s v="PITWH"/>
    <n v="112013"/>
    <s v="PITWH"/>
    <n v="1447"/>
    <x v="7"/>
    <s v="SpringHill Suites By Marriott Wheeling Triadelphia Area"/>
    <x v="27"/>
    <x v="0"/>
  </r>
  <r>
    <x v="14"/>
    <s v="PITWS"/>
    <n v="112201"/>
    <s v="PITWS"/>
    <n v="1541"/>
    <x v="7"/>
    <s v="SpringHill Suites By Marriott Pittsburgh Washington"/>
    <x v="27"/>
    <x v="0"/>
  </r>
  <r>
    <x v="14"/>
    <s v="PLNCY"/>
    <n v="112225"/>
    <s v="PLNCY"/>
    <n v="1553"/>
    <x v="7"/>
    <s v="Courtyard By Marriott Petoskey at Victories Square"/>
    <x v="27"/>
    <x v="0"/>
  </r>
  <r>
    <x v="14"/>
    <s v="PSMCY"/>
    <n v="112123"/>
    <s v="PSMCY"/>
    <n v="1502"/>
    <x v="7"/>
    <s v="Courtyard By Marriott Portsmouth"/>
    <x v="27"/>
    <x v="0"/>
  </r>
  <r>
    <x v="14"/>
    <s v="PSMFI"/>
    <n v="112109"/>
    <s v="PSMFI"/>
    <n v="1495"/>
    <x v="7"/>
    <s v="Fairfield Inn By Marriott Portsmouth Seacoast"/>
    <x v="27"/>
    <x v="0"/>
  </r>
  <r>
    <x v="14"/>
    <s v="PSMSH"/>
    <n v="112133"/>
    <s v="PSMSH"/>
    <n v="1507"/>
    <x v="7"/>
    <s v="SpringHill Suites By Marriott Hampton Portsmouth"/>
    <x v="27"/>
    <x v="0"/>
  </r>
  <r>
    <x v="14"/>
    <s v="PVDAP"/>
    <n v="112101"/>
    <s v="PVDAP"/>
    <n v="1491"/>
    <x v="7"/>
    <s v="Courtyard By Marriott Providence Warwick"/>
    <x v="27"/>
    <x v="0"/>
  </r>
  <r>
    <x v="14"/>
    <s v="PWMBW"/>
    <n v="112137"/>
    <s v="PWMBW"/>
    <n v="1509"/>
    <x v="7"/>
    <s v="Fairfield Inn &amp; Suites Brunswick Freeport"/>
    <x v="27"/>
    <x v="0"/>
  </r>
  <r>
    <x v="14"/>
    <s v="RDUCH"/>
    <n v="112155"/>
    <s v="RDUCH"/>
    <n v="1518"/>
    <x v="7"/>
    <s v="Courtyard By Marriott Chapel Hill"/>
    <x v="27"/>
    <x v="0"/>
  </r>
  <r>
    <x v="14"/>
    <s v="RDUSF"/>
    <n v="112285"/>
    <s v="RDUSF"/>
    <n v="1583"/>
    <x v="7"/>
    <s v="Fairfield Inn &amp; Suites Smithfield Selma/I-95"/>
    <x v="27"/>
    <x v="0"/>
  </r>
  <r>
    <x v="14"/>
    <s v="RICFI"/>
    <n v="112007"/>
    <s v="RICFI"/>
    <n v="1444"/>
    <x v="7"/>
    <s v="Fairfield by Marriott Inn &amp; Suites Richmond Innsbrook"/>
    <x v="27"/>
    <x v="0"/>
  </r>
  <r>
    <x v="14"/>
    <s v="RICGA"/>
    <n v="112173"/>
    <s v="RICGA"/>
    <n v="1527"/>
    <x v="7"/>
    <s v="Courtyard By Marriott Richmond North/Glen Allen"/>
    <x v="27"/>
    <x v="0"/>
  </r>
  <r>
    <x v="14"/>
    <s v="RICRA"/>
    <n v="112251"/>
    <s v="RICRA"/>
    <n v="1566"/>
    <x v="7"/>
    <s v="Fairfield Inn &amp; Suites Richmond Ashland"/>
    <x v="27"/>
    <x v="0"/>
  </r>
  <r>
    <x v="14"/>
    <s v="RICSC"/>
    <n v="112263"/>
    <s v="RICSC"/>
    <n v="1572"/>
    <x v="7"/>
    <s v="SpringHill Suites by Marriott Chester"/>
    <x v="27"/>
    <x v="0"/>
  </r>
  <r>
    <x v="14"/>
    <s v="RSWCH"/>
    <n v="112243"/>
    <s v="RSWCH"/>
    <n v="1562"/>
    <x v="7"/>
    <s v="Courtyard By Marriott Fort Myers Cape Coral"/>
    <x v="27"/>
    <x v="0"/>
  </r>
  <r>
    <x v="14"/>
    <s v="RSWFS"/>
    <n v="112025"/>
    <s v="RSWFS"/>
    <n v="1453"/>
    <x v="7"/>
    <s v="Fairfield Inn &amp; Suites Naples"/>
    <x v="27"/>
    <x v="0"/>
  </r>
  <r>
    <x v="14"/>
    <s v="SBNCB"/>
    <n v="112179"/>
    <s v="SBNCB"/>
    <n v="1530"/>
    <x v="7"/>
    <s v="Courtyard By Marriott St. Joseph Benton Harbor"/>
    <x v="27"/>
    <x v="0"/>
  </r>
  <r>
    <x v="14"/>
    <s v="SBNCD"/>
    <n v="112141"/>
    <s v="SBNCD"/>
    <n v="1511"/>
    <x v="7"/>
    <s v="Courtyard By Marriott South Bend Downtown"/>
    <x v="27"/>
    <x v="0"/>
  </r>
  <r>
    <x v="14"/>
    <s v="SBNSD"/>
    <n v="112249"/>
    <s v="SBNSD"/>
    <n v="1565"/>
    <x v="7"/>
    <s v="SpringHill Suites By Marriott St. Joseph Benton Harbor"/>
    <x v="27"/>
    <x v="0"/>
  </r>
  <r>
    <x v="14"/>
    <s v="SBYCI"/>
    <n v="112075"/>
    <s v="SBYCI"/>
    <n v="1478"/>
    <x v="7"/>
    <s v="Fairfield Inn &amp; Suites Chincoteague Island Waterfront"/>
    <x v="27"/>
    <x v="0"/>
  </r>
  <r>
    <x v="14"/>
    <s v="SBYFS"/>
    <n v="112253"/>
    <s v="SBYFS"/>
    <n v="1567"/>
    <x v="7"/>
    <s v="SpringHill Suites By Marriott Frederica"/>
    <x v="27"/>
    <x v="0"/>
  </r>
  <r>
    <x v="14"/>
    <s v="SCECY"/>
    <n v="112047"/>
    <s v="SCECY"/>
    <n v="1464"/>
    <x v="7"/>
    <s v="Courtyard By Marriott State College"/>
    <x v="27"/>
    <x v="0"/>
  </r>
  <r>
    <x v="14"/>
    <s v="SDFFB"/>
    <n v="112067"/>
    <s v="SDFFB"/>
    <n v="1474"/>
    <x v="7"/>
    <s v="Fairfield by Marriott Inn &amp; Suites Bardstown"/>
    <x v="27"/>
    <x v="0"/>
  </r>
  <r>
    <x v="14"/>
    <s v="SDFFY"/>
    <n v="112153"/>
    <s v="SDFFY"/>
    <n v="1517"/>
    <x v="7"/>
    <s v="Fairfield by Marriott Inn &amp; Suites Louisville New Albany, IN"/>
    <x v="27"/>
    <x v="0"/>
  </r>
  <r>
    <x v="14"/>
    <s v="SEGFI"/>
    <n v="112217"/>
    <s v="SEGFI"/>
    <n v="1549"/>
    <x v="7"/>
    <s v="Fairfield Inn &amp; Suites Selinsgrove"/>
    <x v="27"/>
    <x v="0"/>
  </r>
  <r>
    <x v="14"/>
    <s v="SHDFS"/>
    <n v="112041"/>
    <s v="SHDFS"/>
    <n v="1461"/>
    <x v="7"/>
    <s v="Fairfield Inn &amp; Suites Staunton"/>
    <x v="27"/>
    <x v="0"/>
  </r>
  <r>
    <x v="14"/>
    <s v="SMEFI"/>
    <n v="112027"/>
    <s v="SMEFI"/>
    <n v="1454"/>
    <x v="7"/>
    <s v="Fairfield Inn &amp; Suites London"/>
    <x v="27"/>
    <x v="0"/>
  </r>
  <r>
    <x v="14"/>
    <s v="SRQSR"/>
    <n v="112105"/>
    <s v="SRQSR"/>
    <n v="1493"/>
    <x v="7"/>
    <s v="SpringHill Suites By Marriott Bradenton Downtown/Riverfront"/>
    <x v="27"/>
    <x v="0"/>
  </r>
  <r>
    <x v="14"/>
    <s v="SWFCY"/>
    <n v="112209"/>
    <s v="SWFCY"/>
    <n v="1545"/>
    <x v="7"/>
    <s v="Courtyard By Marriott Middletown Goshen"/>
    <x v="27"/>
    <x v="0"/>
  </r>
  <r>
    <x v="14"/>
    <s v="TLHCT"/>
    <n v="112277"/>
    <s v="TLHCT"/>
    <n v="1579"/>
    <x v="7"/>
    <s v="Courtyard by Marriott Thomasville Downtown"/>
    <x v="27"/>
    <x v="0"/>
  </r>
  <r>
    <x v="14"/>
    <s v="TOLBG"/>
    <n v="112017"/>
    <s v="TOLBG"/>
    <n v="1449"/>
    <x v="7"/>
    <s v="Fairfield Inn &amp; Suites Bowling Green"/>
    <x v="27"/>
    <x v="0"/>
  </r>
  <r>
    <x v="14"/>
    <s v="TPAEF"/>
    <n v="112043"/>
    <s v="TPAEF"/>
    <n v="1462"/>
    <x v="7"/>
    <s v="Fairfield Inn &amp; Suites Tampa Fairgrounds/Casino"/>
    <x v="27"/>
    <x v="0"/>
  </r>
  <r>
    <x v="14"/>
    <s v="TPAMB"/>
    <n v="112181"/>
    <s v="TPAMB"/>
    <n v="1531"/>
    <x v="7"/>
    <s v="Courtyard By Marriott St. Petersburg Clearwater/Madeira Beach"/>
    <x v="27"/>
    <x v="0"/>
  </r>
  <r>
    <x v="14"/>
    <s v="TPASN"/>
    <n v="112065"/>
    <s v="TPASN"/>
    <n v="1473"/>
    <x v="7"/>
    <s v="Fairfield Inn &amp; Suites St. Petersburg North"/>
    <x v="27"/>
    <x v="0"/>
  </r>
  <r>
    <x v="14"/>
    <s v="TYSCP"/>
    <n v="112169"/>
    <s v="TYSCP"/>
    <n v="1525"/>
    <x v="7"/>
    <s v="Courtyard By Marriott Pigeon Forge"/>
    <x v="27"/>
    <x v="0"/>
  </r>
  <r>
    <x v="14"/>
    <s v="TYSFN"/>
    <n v="112015"/>
    <s v="TYSFN"/>
    <n v="1448"/>
    <x v="7"/>
    <s v="Fairfield Inn &amp; Suites Knoxville Northwest"/>
    <x v="27"/>
    <x v="0"/>
  </r>
  <r>
    <x v="14"/>
    <s v="VLDCY"/>
    <n v="112035"/>
    <s v="VLDCY"/>
    <n v="1458"/>
    <x v="7"/>
    <s v="Courtyard By Marriott Valdosta"/>
    <x v="27"/>
    <x v="0"/>
  </r>
  <r>
    <x v="14"/>
    <s v="YGKFI"/>
    <n v="112129"/>
    <s v="YGKFI"/>
    <n v="1505"/>
    <x v="7"/>
    <s v="Fairfield Inn &amp; Suites Belleville"/>
    <x v="27"/>
    <x v="0"/>
  </r>
  <r>
    <x v="14"/>
    <s v="YNGCY"/>
    <n v="112083"/>
    <s v="YNGCY"/>
    <n v="1482"/>
    <x v="7"/>
    <s v="Courtyard By Marriott Youngstown Canfield"/>
    <x v="27"/>
    <x v="0"/>
  </r>
  <r>
    <x v="14"/>
    <s v="YNGFI"/>
    <n v="112107"/>
    <s v="YNGFI"/>
    <n v="1494"/>
    <x v="7"/>
    <s v="Fairfield Inn &amp; Suites Youngstown Boardman/Poland"/>
    <x v="27"/>
    <x v="0"/>
  </r>
  <r>
    <x v="14"/>
    <s v="YYZFO"/>
    <n v="112255"/>
    <s v="YYZFO"/>
    <n v="1568"/>
    <x v="7"/>
    <s v="Fairfield by Marriott Inn &amp; Suites Newmarket"/>
    <x v="27"/>
    <x v="0"/>
  </r>
  <r>
    <x v="15"/>
    <s v="AUSSA"/>
    <n v="211049"/>
    <s v="AUSSA"/>
    <n v="1636"/>
    <x v="6"/>
    <s v="Aloft Austin South"/>
    <x v="28"/>
    <x v="0"/>
  </r>
  <r>
    <x v="15"/>
    <s v="DENAL"/>
    <n v="211055"/>
    <s v="DENAL"/>
    <n v="1643"/>
    <x v="6"/>
    <s v="Aloft Broomfield Denver"/>
    <x v="28"/>
    <x v="0"/>
  </r>
  <r>
    <x v="15"/>
    <s v="DENAN"/>
    <n v="211057"/>
    <s v="DENAN"/>
    <n v="1644"/>
    <x v="6"/>
    <s v="Aloft Denver North Westminster"/>
    <x v="28"/>
    <x v="0"/>
  </r>
  <r>
    <x v="15"/>
    <s v="ELPAL"/>
    <n v="211059"/>
    <s v="ELPAL"/>
    <n v="1645"/>
    <x v="6"/>
    <s v="Aloft El Paso Downtown"/>
    <x v="28"/>
    <x v="0"/>
  </r>
  <r>
    <x v="15"/>
    <s v="LASHA"/>
    <n v="211061"/>
    <s v="LASHA"/>
    <n v="1646"/>
    <x v="6"/>
    <s v="Aloft Henderson"/>
    <x v="28"/>
    <x v="0"/>
  </r>
  <r>
    <x v="15"/>
    <s v="MFEAL"/>
    <n v="211051"/>
    <s v="MFEAL"/>
    <n v="1637"/>
    <x v="6"/>
    <s v="Aloft McAllen"/>
    <x v="28"/>
    <x v="0"/>
  </r>
  <r>
    <x v="15"/>
    <s v="OKCAQ"/>
    <n v="211053"/>
    <s v="OKCAQ"/>
    <n v="1641"/>
    <x v="6"/>
    <s v="Aloft Oklahoma City Quail Springs"/>
    <x v="28"/>
    <x v="0"/>
  </r>
  <r>
    <x v="15"/>
    <s v="SATNA"/>
    <n v="211047"/>
    <s v="SATNA"/>
    <n v="1635"/>
    <x v="6"/>
    <s v="Aloft San Antonio UTSA Area"/>
    <x v="28"/>
    <x v="0"/>
  </r>
  <r>
    <x v="15"/>
    <s v="YYFFP"/>
    <n v="211063"/>
    <s v="YYFFP"/>
    <n v="1647"/>
    <x v="6"/>
    <s v="Four Points by Sheraton Penticton at the Convention Centre"/>
    <x v="28"/>
    <x v="0"/>
  </r>
  <r>
    <x v="15"/>
    <s v="ATWFP"/>
    <n v="112317"/>
    <s v="ATWFP"/>
    <n v="1639"/>
    <x v="7"/>
    <s v="Four Points by Sheraton Appleton"/>
    <x v="28"/>
    <x v="0"/>
  </r>
  <r>
    <x v="15"/>
    <s v="BHMAL"/>
    <n v="112319"/>
    <s v="BHMAL"/>
    <n v="1640"/>
    <x v="7"/>
    <s v="Aloft Birmingham Soho Square"/>
    <x v="28"/>
    <x v="0"/>
  </r>
  <r>
    <x v="15"/>
    <s v="CLTAL"/>
    <n v="112307"/>
    <s v="CLTAL"/>
    <n v="1631"/>
    <x v="7"/>
    <s v="Aloft Charlotte Ballantyne"/>
    <x v="28"/>
    <x v="0"/>
  </r>
  <r>
    <x v="15"/>
    <s v="CLTUL"/>
    <n v="112299"/>
    <s v="CLTUL"/>
    <n v="1627"/>
    <x v="7"/>
    <s v="Aloft Charlotte City Center"/>
    <x v="28"/>
    <x v="0"/>
  </r>
  <r>
    <x v="15"/>
    <s v="FLLAA"/>
    <n v="112309"/>
    <s v="FLLAA"/>
    <n v="1632"/>
    <x v="7"/>
    <s v="Aloft Fort Lauderdale Airport"/>
    <x v="28"/>
    <x v="0"/>
  </r>
  <r>
    <x v="15"/>
    <s v="GNVAL"/>
    <n v="112301"/>
    <s v="GNVAL"/>
    <n v="1628"/>
    <x v="7"/>
    <s v="Aloft Gainesville University Area"/>
    <x v="28"/>
    <x v="0"/>
  </r>
  <r>
    <x v="15"/>
    <s v="INDAL"/>
    <n v="112313"/>
    <s v="INDAL"/>
    <n v="1634"/>
    <x v="7"/>
    <s v="Aloft Indianapolis Downtown"/>
    <x v="28"/>
    <x v="0"/>
  </r>
  <r>
    <x v="15"/>
    <s v="MKEAL"/>
    <n v="112321"/>
    <s v="MKEAL"/>
    <n v="1642"/>
    <x v="7"/>
    <s v="Aloft Milwaukee Downtown"/>
    <x v="28"/>
    <x v="0"/>
  </r>
  <r>
    <x v="15"/>
    <s v="MKEFP"/>
    <n v="112315"/>
    <s v="MKEFP"/>
    <n v="1638"/>
    <x v="7"/>
    <s v="Four Points by Sheraton Milwaukee North Shore"/>
    <x v="28"/>
    <x v="0"/>
  </r>
  <r>
    <x v="15"/>
    <s v="PWMAL"/>
    <n v="112311"/>
    <s v="PWMAL"/>
    <n v="1633"/>
    <x v="7"/>
    <s v="Aloft Portland Downtown Waterfront ME"/>
    <x v="28"/>
    <x v="0"/>
  </r>
  <r>
    <x v="15"/>
    <s v="RDULA"/>
    <n v="112305"/>
    <s v="RDULA"/>
    <n v="1630"/>
    <x v="7"/>
    <s v="Four Points by Sheraton Raleigh Arena"/>
    <x v="28"/>
    <x v="0"/>
  </r>
  <r>
    <x v="15"/>
    <s v="SBYAL"/>
    <n v="112303"/>
    <s v="SBYAL"/>
    <n v="1629"/>
    <x v="7"/>
    <s v="Aloft Ocean City"/>
    <x v="28"/>
    <x v="0"/>
  </r>
  <r>
    <x v="15"/>
    <s v="TYSAL"/>
    <n v="112297"/>
    <s v="TYSAL"/>
    <n v="1626"/>
    <x v="7"/>
    <s v="Aloft Knoxville West"/>
    <x v="28"/>
    <x v="0"/>
  </r>
  <r>
    <x v="16"/>
    <s v="COSFI"/>
    <n v="212075"/>
    <s v="COSFI"/>
    <n v="1755"/>
    <x v="8"/>
    <s v="Fairfield Inn &amp; Suites Colorado Springs Air Force Academy"/>
    <x v="29"/>
    <x v="0"/>
  </r>
  <r>
    <x v="16"/>
    <s v="DENDA"/>
    <n v="212071"/>
    <s v="DENDA"/>
    <n v="1753"/>
    <x v="8"/>
    <s v="SpringHill Suites By Marriott Denver Airport"/>
    <x v="29"/>
    <x v="0"/>
  </r>
  <r>
    <x v="16"/>
    <s v="DENFA"/>
    <n v="212069"/>
    <s v="DENFA"/>
    <n v="1750"/>
    <x v="8"/>
    <s v="Fairfield Inn &amp; Suites Denver Airport"/>
    <x v="29"/>
    <x v="0"/>
  </r>
  <r>
    <x v="16"/>
    <s v="FTCGR"/>
    <n v="212079"/>
    <s v="FTCGR"/>
    <n v="1757"/>
    <x v="8"/>
    <s v="Fairfield Inn &amp; Suites Greeley"/>
    <x v="29"/>
    <x v="0"/>
  </r>
  <r>
    <x v="16"/>
    <s v="GEGFA"/>
    <n v="212165"/>
    <s v="GEGFA"/>
    <n v="1802"/>
    <x v="8"/>
    <s v="Fairfield by Marriott Inn &amp; Suites Spokane Airport"/>
    <x v="29"/>
    <x v="0"/>
  </r>
  <r>
    <x v="16"/>
    <s v="GEGSH"/>
    <n v="212181"/>
    <s v="GEGSH"/>
    <n v="1810"/>
    <x v="8"/>
    <s v="SpringHill Suites By Marriott Spokane Airport"/>
    <x v="29"/>
    <x v="0"/>
  </r>
  <r>
    <x v="16"/>
    <s v="LAWDU"/>
    <n v="212017"/>
    <s v="LAWDU"/>
    <n v="1706"/>
    <x v="8"/>
    <s v="Fairfield by Marriott Inn &amp; Suites Duncan"/>
    <x v="29"/>
    <x v="0"/>
  </r>
  <r>
    <x v="16"/>
    <s v="LBBCY"/>
    <n v="212001"/>
    <s v="LBBCY"/>
    <n v="1692"/>
    <x v="8"/>
    <s v="Courtyard By Marriott Lubbock"/>
    <x v="29"/>
    <x v="0"/>
  </r>
  <r>
    <x v="16"/>
    <s v="LBBDT"/>
    <n v="212043"/>
    <s v="LBBDT"/>
    <n v="1733"/>
    <x v="8"/>
    <s v="Courtyard By Marriott Lubbock Downtown/University Area"/>
    <x v="29"/>
    <x v="0"/>
  </r>
  <r>
    <x v="16"/>
    <s v="LCHSH"/>
    <n v="212027"/>
    <s v="LCHSH"/>
    <n v="1720"/>
    <x v="8"/>
    <s v="SpringHill Suites By Marriott Lake Charles"/>
    <x v="29"/>
    <x v="0"/>
  </r>
  <r>
    <x v="16"/>
    <s v="LFKCY"/>
    <n v="212029"/>
    <s v="LFKCY"/>
    <n v="1721"/>
    <x v="8"/>
    <s v="Courtyard By Marriott Lufkin"/>
    <x v="29"/>
    <x v="0"/>
  </r>
  <r>
    <x v="16"/>
    <s v="LFTCY"/>
    <n v="212033"/>
    <s v="LFTCY"/>
    <n v="1724"/>
    <x v="8"/>
    <s v="Courtyard By Marriott Lafayette Airport"/>
    <x v="29"/>
    <x v="0"/>
  </r>
  <r>
    <x v="16"/>
    <s v="LGVFS"/>
    <n v="212039"/>
    <s v="LGVFS"/>
    <n v="1730"/>
    <x v="8"/>
    <s v="Fairfield Inn &amp; Suites Marshall"/>
    <x v="29"/>
    <x v="0"/>
  </r>
  <r>
    <x v="16"/>
    <s v="LITDT"/>
    <n v="212009"/>
    <s v="LITDT"/>
    <n v="1699"/>
    <x v="8"/>
    <s v="Courtyard By Marriott Little Rock Downtown"/>
    <x v="29"/>
    <x v="0"/>
  </r>
  <r>
    <x v="16"/>
    <s v="LJNCY"/>
    <n v="212005"/>
    <s v="LJNCY"/>
    <n v="1696"/>
    <x v="8"/>
    <s v="Courtyard By Marriott Lake Jackson"/>
    <x v="29"/>
    <x v="0"/>
  </r>
  <r>
    <x v="16"/>
    <s v="MLUWM"/>
    <n v="212025"/>
    <s v="MLUWM"/>
    <n v="1716"/>
    <x v="8"/>
    <s v="Fairfield Inn &amp; Suites West Monroe"/>
    <x v="29"/>
    <x v="0"/>
  </r>
  <r>
    <x v="16"/>
    <s v="MSYFD"/>
    <n v="212015"/>
    <s v="MSYFD"/>
    <n v="1704"/>
    <x v="8"/>
    <s v="Fairfield Inn &amp; Suites New Orleans Downtown/French Quarter Area"/>
    <x v="29"/>
    <x v="0"/>
  </r>
  <r>
    <x v="16"/>
    <s v="MSYFM"/>
    <n v="212037"/>
    <s v="MSYFM"/>
    <n v="1728"/>
    <x v="8"/>
    <s v="Fairfield Inn &amp; Suites New Orleans Metairie"/>
    <x v="29"/>
    <x v="0"/>
  </r>
  <r>
    <x v="16"/>
    <s v="MSYGR"/>
    <n v="212019"/>
    <s v="MSYGR"/>
    <n v="1707"/>
    <x v="8"/>
    <s v="Courtyard By Marriott New Orleans Westbank/Gretna"/>
    <x v="29"/>
    <x v="0"/>
  </r>
  <r>
    <x v="16"/>
    <s v="MSYLL"/>
    <n v="212035"/>
    <s v="MSYLL"/>
    <n v="1725"/>
    <x v="8"/>
    <s v="Fairfield Inn &amp; Suites Cut Off-Galliano"/>
    <x v="29"/>
    <x v="0"/>
  </r>
  <r>
    <x v="16"/>
    <s v="OMALV"/>
    <n v="212003"/>
    <s v="OMALV"/>
    <n v="1694"/>
    <x v="8"/>
    <s v="Courtyard By Marriott Omaha La Vista"/>
    <x v="29"/>
    <x v="0"/>
  </r>
  <r>
    <x v="16"/>
    <s v="OMAOX"/>
    <n v="212013"/>
    <s v="OMAOX"/>
    <n v="1703"/>
    <x v="8"/>
    <s v="Moxy Omaha Downtown"/>
    <x v="29"/>
    <x v="0"/>
  </r>
  <r>
    <x v="16"/>
    <s v="PDXFH"/>
    <n v="212173"/>
    <s v="PDXFH"/>
    <n v="1806"/>
    <x v="8"/>
    <s v="Fairfield Inn &amp; Suites Portland West/Beaverton"/>
    <x v="29"/>
    <x v="0"/>
  </r>
  <r>
    <x v="16"/>
    <s v="PDXOW"/>
    <n v="212169"/>
    <s v="PDXOW"/>
    <n v="1804"/>
    <x v="8"/>
    <s v="Fairfield Inn &amp; Suites Portland South/Lake Oswego"/>
    <x v="29"/>
    <x v="0"/>
  </r>
  <r>
    <x v="16"/>
    <s v="PHXCF"/>
    <n v="212135"/>
    <s v="PHX2"/>
    <n v="1829"/>
    <x v="8"/>
    <s v="Courtyard By Marriott Phoenix Chandler/Fashion Center"/>
    <x v="29"/>
    <x v="0"/>
  </r>
  <r>
    <x v="16"/>
    <s v="PHXFF"/>
    <n v="212135"/>
    <s v="PHX2"/>
    <n v="1787"/>
    <x v="8"/>
    <s v="Fairfield Inn &amp; Suites Phoenix Chandler/Fashion Center"/>
    <x v="29"/>
    <x v="0"/>
  </r>
  <r>
    <x v="16"/>
    <s v="PNXCY"/>
    <n v="212051"/>
    <s v="PNXCY"/>
    <n v="1739"/>
    <x v="8"/>
    <s v="Courtyard By Marriott Sherman"/>
    <x v="29"/>
    <x v="0"/>
  </r>
  <r>
    <x v="16"/>
    <s v="RDDRE"/>
    <n v="212111"/>
    <s v="RDDRE"/>
    <n v="1775"/>
    <x v="8"/>
    <s v="Fairfield Inn &amp; Suites Redding"/>
    <x v="29"/>
    <x v="0"/>
  </r>
  <r>
    <x v="16"/>
    <s v="RFDCH"/>
    <n v="212031"/>
    <s v="RFDCH"/>
    <n v="1723"/>
    <x v="8"/>
    <s v="Courtyard By Marriott Rockford"/>
    <x v="29"/>
    <x v="0"/>
  </r>
  <r>
    <x v="16"/>
    <s v="RFDRF"/>
    <n v="212041"/>
    <s v="RFDRF"/>
    <n v="1732"/>
    <x v="8"/>
    <s v="Fairfield Inn &amp; Suites Rockford"/>
    <x v="29"/>
    <x v="0"/>
  </r>
  <r>
    <x v="16"/>
    <s v="RNOCC"/>
    <n v="212137"/>
    <s v="RNOCC"/>
    <n v="1788"/>
    <x v="8"/>
    <s v="Courtyard By Marriott Carson City"/>
    <x v="29"/>
    <x v="0"/>
  </r>
  <r>
    <x v="16"/>
    <s v="RNOCS"/>
    <n v="212215"/>
    <s v="RNOCS"/>
    <n v="1827"/>
    <x v="8"/>
    <s v="Courtyard By Marriott Reno Sparks"/>
    <x v="29"/>
    <x v="0"/>
  </r>
  <r>
    <x v="16"/>
    <s v="RNOCY"/>
    <n v="212105"/>
    <s v="RNOCY"/>
    <n v="1772"/>
    <x v="8"/>
    <s v="Courtyard By Marriott Reno"/>
    <x v="29"/>
    <x v="0"/>
  </r>
  <r>
    <x v="16"/>
    <s v="RNOFI"/>
    <n v="212211"/>
    <s v="RNOFI"/>
    <n v="1825"/>
    <x v="8"/>
    <s v="Fairfield Inn &amp; Suites Reno Sparks"/>
    <x v="29"/>
    <x v="0"/>
  </r>
  <r>
    <x v="16"/>
    <s v="RNOSO"/>
    <n v="212121"/>
    <s v="RNOSO"/>
    <n v="1780"/>
    <x v="8"/>
    <s v="SpringHill Suites By Marriott Reno"/>
    <x v="29"/>
    <x v="0"/>
  </r>
  <r>
    <x v="16"/>
    <s v="RNOSU"/>
    <n v="212201"/>
    <s v="RNOSU"/>
    <n v="1820"/>
    <x v="8"/>
    <s v="SpringHill Suites by Marriott Truckee Lake Tahoe"/>
    <x v="29"/>
    <x v="0"/>
  </r>
  <r>
    <x v="16"/>
    <s v="ROGFI"/>
    <n v="212007"/>
    <s v="ROGFI"/>
    <n v="1698"/>
    <x v="8"/>
    <s v="Fairfield Inn &amp; Suites Bentonville Rogers"/>
    <x v="29"/>
    <x v="0"/>
  </r>
  <r>
    <x v="16"/>
    <s v="SACCY"/>
    <n v="212183"/>
    <s v="SACCY"/>
    <n v="1811"/>
    <x v="8"/>
    <s v="Courtyard By Marriott Sacramento Midtown"/>
    <x v="29"/>
    <x v="0"/>
  </r>
  <r>
    <x v="16"/>
    <s v="SACFL"/>
    <n v="212103"/>
    <s v="SACFL"/>
    <n v="1771"/>
    <x v="8"/>
    <s v="Fairfield Inn &amp; Suites Sacramento Folsom"/>
    <x v="29"/>
    <x v="0"/>
  </r>
  <r>
    <x v="16"/>
    <s v="SACFS"/>
    <n v="212167"/>
    <s v="SACFS"/>
    <n v="1803"/>
    <x v="8"/>
    <s v="Fairfield Inn &amp; Suites Sacramento Rancho Cordova"/>
    <x v="29"/>
    <x v="0"/>
  </r>
  <r>
    <x v="16"/>
    <s v="SACSH"/>
    <n v="212151"/>
    <s v="SACSH"/>
    <n v="1795"/>
    <x v="8"/>
    <s v="SpringHill Suites By Marriott Sacramento Natomas"/>
    <x v="29"/>
    <x v="0"/>
  </r>
  <r>
    <x v="16"/>
    <s v="SACSR"/>
    <n v="212127"/>
    <s v="SACSR"/>
    <n v="1783"/>
    <x v="8"/>
    <s v="SpringHill Suites By Marriott Sacramento Roseville"/>
    <x v="29"/>
    <x v="0"/>
  </r>
  <r>
    <x v="16"/>
    <s v="SACSW"/>
    <n v="212185"/>
    <s v="SACSW"/>
    <n v="1812"/>
    <x v="8"/>
    <s v="SpringHill Suites By Marriott West Sacramento"/>
    <x v="29"/>
    <x v="0"/>
  </r>
  <r>
    <x v="16"/>
    <s v="SACVA"/>
    <n v="212209"/>
    <s v="SACVA"/>
    <n v="1824"/>
    <x v="8"/>
    <s v="Courtyard By Marriott Vacaville"/>
    <x v="29"/>
    <x v="0"/>
  </r>
  <r>
    <x v="16"/>
    <s v="SACWI"/>
    <n v="212153"/>
    <s v="SACWI"/>
    <n v="1796"/>
    <x v="8"/>
    <s v="Fairfield by Marriott Inn &amp; Suites Winters Davis"/>
    <x v="29"/>
    <x v="0"/>
  </r>
  <r>
    <x v="16"/>
    <s v="SACWO"/>
    <n v="212139"/>
    <s v="SACWO"/>
    <n v="1789"/>
    <x v="8"/>
    <s v="Fairfield Inn &amp; Suites Sacramento Airport Woodland"/>
    <x v="29"/>
    <x v="0"/>
  </r>
  <r>
    <x v="16"/>
    <s v="SAFFE"/>
    <n v="212055"/>
    <s v="SAFFE"/>
    <n v="1743"/>
    <x v="8"/>
    <s v="Fairfield Inn &amp; Suites Santa Fe"/>
    <x v="29"/>
    <x v="0"/>
  </r>
  <r>
    <x v="16"/>
    <s v="SANAL"/>
    <n v="212199"/>
    <s v="SANAL"/>
    <n v="1819"/>
    <x v="8"/>
    <s v="Courtyard By Marriott San Diego Airport/Liberty Station"/>
    <x v="29"/>
    <x v="0"/>
  </r>
  <r>
    <x v="16"/>
    <s v="SANCD"/>
    <n v="212197"/>
    <s v="SANCD"/>
    <n v="1818"/>
    <x v="8"/>
    <s v="Courtyard By Marriott San Diego Downtown"/>
    <x v="29"/>
    <x v="0"/>
  </r>
  <r>
    <x v="16"/>
    <s v="SANCG"/>
    <n v="212107"/>
    <s v="SANCG"/>
    <n v="1773"/>
    <x v="8"/>
    <s v="Courtyard By Marriott San Diego Gaslamp/Convention Center"/>
    <x v="29"/>
    <x v="0"/>
  </r>
  <r>
    <x v="16"/>
    <s v="SANCM"/>
    <n v="212175"/>
    <s v="SANCM"/>
    <n v="1807"/>
    <x v="8"/>
    <s v="Courtyard By Marriott San Diego Mission Valley/Hotel Circle"/>
    <x v="29"/>
    <x v="0"/>
  </r>
  <r>
    <x v="16"/>
    <s v="SANCR"/>
    <n v="212203"/>
    <s v="SANCR"/>
    <n v="1821"/>
    <x v="8"/>
    <s v="Courtyard By Marriott San Diego Miramar"/>
    <x v="29"/>
    <x v="0"/>
  </r>
  <r>
    <x v="16"/>
    <s v="SANCS"/>
    <n v="212119"/>
    <s v="SANCS"/>
    <n v="1779"/>
    <x v="8"/>
    <s v="Courtyard By Marriott San Diego Carlsbad"/>
    <x v="29"/>
    <x v="0"/>
  </r>
  <r>
    <x v="16"/>
    <s v="SANCY"/>
    <n v="212143"/>
    <s v="SANCY"/>
    <n v="1791"/>
    <x v="8"/>
    <s v="Courtyard By Marriott San Diego Central"/>
    <x v="29"/>
    <x v="0"/>
  </r>
  <r>
    <x v="16"/>
    <s v="SANEC"/>
    <n v="212179"/>
    <s v="SANEC"/>
    <n v="1809"/>
    <x v="8"/>
    <s v="Courtyard By Marriott San Diego El Cajon"/>
    <x v="29"/>
    <x v="0"/>
  </r>
  <r>
    <x v="16"/>
    <s v="SANES"/>
    <n v="212171"/>
    <s v="SANES"/>
    <n v="1805"/>
    <x v="8"/>
    <s v="Fairfield Inn &amp; Suites San Diego North/San Marcos"/>
    <x v="29"/>
    <x v="0"/>
  </r>
  <r>
    <x v="16"/>
    <s v="SANFD"/>
    <n v="212149"/>
    <s v="SANFD"/>
    <n v="1794"/>
    <x v="8"/>
    <s v="Fairfield Inn &amp; Suites San Diego Carlsbad"/>
    <x v="29"/>
    <x v="0"/>
  </r>
  <r>
    <x v="16"/>
    <s v="SANFI"/>
    <n v="212207"/>
    <s v="SANFI"/>
    <n v="1823"/>
    <x v="8"/>
    <s v="Fairfield Inn &amp; Suites San Diego Old Town"/>
    <x v="29"/>
    <x v="0"/>
  </r>
  <r>
    <x v="16"/>
    <s v="SANOD"/>
    <n v="212109"/>
    <s v="SANOD"/>
    <n v="1774"/>
    <x v="8"/>
    <s v="SpringHill Suites by Marriott Oceanside Beach"/>
    <x v="29"/>
    <x v="0"/>
  </r>
  <r>
    <x v="16"/>
    <s v="SANOT"/>
    <n v="212141"/>
    <s v="SANOT"/>
    <n v="1790"/>
    <x v="8"/>
    <s v="Courtyard By Marriott San Diego Old Town"/>
    <x v="29"/>
    <x v="0"/>
  </r>
  <r>
    <x v="16"/>
    <s v="SANOX"/>
    <n v="212217"/>
    <s v="SANOX"/>
    <n v="1828"/>
    <x v="8"/>
    <s v="Moxy San Diego Downtown/Gaslamp Quarter"/>
    <x v="29"/>
    <x v="0"/>
  </r>
  <r>
    <x v="16"/>
    <s v="SANSB"/>
    <n v="212189"/>
    <s v="SANSB"/>
    <n v="1814"/>
    <x v="8"/>
    <s v="Courtyard By Marriott San Diego Del Mar/Solana Beach"/>
    <x v="29"/>
    <x v="0"/>
  </r>
  <r>
    <x v="16"/>
    <s v="SANSC"/>
    <n v="212123"/>
    <s v="SANSC"/>
    <n v="1781"/>
    <x v="8"/>
    <s v="SpringHill Suites By Marriott San Diego Carlsbad"/>
    <x v="29"/>
    <x v="0"/>
  </r>
  <r>
    <x v="16"/>
    <s v="SANSD"/>
    <n v="212157"/>
    <s v="SANSD"/>
    <n v="1798"/>
    <x v="8"/>
    <s v="SpringHill Suites By Marriott San Diego Escondido/Downtown"/>
    <x v="29"/>
    <x v="0"/>
  </r>
  <r>
    <x v="16"/>
    <s v="SANSM"/>
    <n v="212161"/>
    <s v="SANSM"/>
    <n v="1800"/>
    <x v="8"/>
    <s v="SpringHill Suites By Marriott San Diego Mission Valley"/>
    <x v="29"/>
    <x v="0"/>
  </r>
  <r>
    <x v="16"/>
    <s v="SATBF"/>
    <n v="212045"/>
    <s v="SATBF"/>
    <n v="1734"/>
    <x v="8"/>
    <s v="Fairfield Inn &amp; Suites New Braunfels"/>
    <x v="29"/>
    <x v="0"/>
  </r>
  <r>
    <x v="16"/>
    <s v="SATFM"/>
    <n v="212011"/>
    <s v="SATFM"/>
    <n v="1702"/>
    <x v="8"/>
    <s v="Fairfield Inn &amp; Suites San Antonio Medical Center"/>
    <x v="29"/>
    <x v="0"/>
  </r>
  <r>
    <x v="16"/>
    <s v="SATNB"/>
    <n v="212021"/>
    <s v="SATNB"/>
    <n v="1710"/>
    <x v="8"/>
    <s v="Courtyard By Marriott New Braunfels River Village"/>
    <x v="29"/>
    <x v="0"/>
  </r>
  <r>
    <x v="16"/>
    <s v="SBPAF"/>
    <n v="212155"/>
    <s v="SBPAF"/>
    <n v="1797"/>
    <x v="8"/>
    <s v="Fairfield by Marriott Inn &amp; Suites Atascadero"/>
    <x v="29"/>
    <x v="0"/>
  </r>
  <r>
    <x v="16"/>
    <s v="SBPPR"/>
    <n v="212129"/>
    <s v="SBPPR"/>
    <n v="1784"/>
    <x v="8"/>
    <s v="Courtyard By Marriott Paso Robles"/>
    <x v="29"/>
    <x v="0"/>
  </r>
  <r>
    <x v="16"/>
    <s v="SBPSH"/>
    <n v="212195"/>
    <s v="SBPSH"/>
    <n v="1817"/>
    <x v="8"/>
    <s v="SpringHill Suites By Marriott Paso Robles Atascadero"/>
    <x v="29"/>
    <x v="0"/>
  </r>
  <r>
    <x v="16"/>
    <s v="SCKFI"/>
    <n v="212213"/>
    <s v="SCKFI"/>
    <n v="1826"/>
    <x v="8"/>
    <s v="Fairfield by Marriott Inn &amp; Suites Lodi"/>
    <x v="29"/>
    <x v="0"/>
  </r>
  <r>
    <x v="16"/>
    <s v="SCKLF"/>
    <n v="212125"/>
    <s v="SCKLF"/>
    <n v="1782"/>
    <x v="8"/>
    <s v="Fairfield Inn &amp; Suites Stockton Lathrop"/>
    <x v="29"/>
    <x v="0"/>
  </r>
  <r>
    <x v="16"/>
    <s v="SFOAC"/>
    <n v="212159"/>
    <s v="SFOAC"/>
    <n v="1799"/>
    <x v="8"/>
    <s v="Fairfield Inn &amp; Suites Napa American Canyon"/>
    <x v="29"/>
    <x v="0"/>
  </r>
  <r>
    <x v="16"/>
    <s v="SFONS"/>
    <n v="212163"/>
    <s v="SFONS"/>
    <n v="1801"/>
    <x v="8"/>
    <s v="SpringHill Suites By Marriott Napa Valley"/>
    <x v="29"/>
    <x v="0"/>
  </r>
  <r>
    <x v="16"/>
    <s v="SFOVL"/>
    <n v="212205"/>
    <s v="SFOVL"/>
    <n v="1822"/>
    <x v="8"/>
    <s v="Courtyard By Marriott Vallejo Napa Valley"/>
    <x v="29"/>
    <x v="0"/>
  </r>
  <r>
    <x v="16"/>
    <s v="SGUFI"/>
    <n v="212073"/>
    <s v="SGUFI"/>
    <n v="1754"/>
    <x v="8"/>
    <s v="Fairfield Inn By Marriott St. George"/>
    <x v="29"/>
    <x v="0"/>
  </r>
  <r>
    <x v="16"/>
    <s v="SGUZI"/>
    <n v="212065"/>
    <s v="SGUZI"/>
    <n v="1748"/>
    <x v="8"/>
    <s v="SpringHill Suites By Marriott Springdale Zion National Park"/>
    <x v="29"/>
    <x v="0"/>
  </r>
  <r>
    <x v="16"/>
    <s v="SLCAD"/>
    <n v="212087"/>
    <s v="SLCAD"/>
    <n v="1761"/>
    <x v="8"/>
    <s v="AC Hotel Salt Lake City Downtown"/>
    <x v="29"/>
    <x v="0"/>
  </r>
  <r>
    <x v="16"/>
    <s v="SLCAP"/>
    <n v="212077"/>
    <s v="SLCAP"/>
    <n v="1756"/>
    <x v="8"/>
    <s v="Courtyard By Marriott Salt Lake City Airport"/>
    <x v="29"/>
    <x v="0"/>
  </r>
  <r>
    <x v="16"/>
    <s v="SLCCL"/>
    <n v="212089"/>
    <s v="SLCCL"/>
    <n v="1762"/>
    <x v="8"/>
    <s v="Courtyard By Marriott Salt Lake City Layton"/>
    <x v="29"/>
    <x v="0"/>
  </r>
  <r>
    <x v="16"/>
    <s v="SLCFD"/>
    <n v="212083"/>
    <s v="SLCFD"/>
    <n v="1759"/>
    <x v="8"/>
    <s v="Fairfield Inn &amp; Suites Salt Lake City Downtown"/>
    <x v="29"/>
    <x v="0"/>
  </r>
  <r>
    <x v="16"/>
    <s v="SLCFI"/>
    <n v="212095"/>
    <s v="SLCFI"/>
    <n v="1767"/>
    <x v="8"/>
    <s v="Fairfield Inn &amp; Suites Salt Lake City South"/>
    <x v="29"/>
    <x v="0"/>
  </r>
  <r>
    <x v="16"/>
    <s v="SLCFR"/>
    <n v="212101"/>
    <s v="SLCFR"/>
    <n v="1770"/>
    <x v="8"/>
    <s v="Fairfield Inn &amp; Suites Richfield"/>
    <x v="29"/>
    <x v="0"/>
  </r>
  <r>
    <x v="16"/>
    <s v="SLCFW"/>
    <n v="212067"/>
    <s v="SLCFW"/>
    <n v="1749"/>
    <x v="8"/>
    <s v="Fairfield by Marriott Inn &amp; Suites Salt Lake City Cottonwood"/>
    <x v="29"/>
    <x v="0"/>
  </r>
  <r>
    <x v="16"/>
    <s v="SLCLG"/>
    <n v="212059"/>
    <s v="SLCLG"/>
    <n v="1745"/>
    <x v="8"/>
    <s v="SpringHill Suites By Marriott Logan"/>
    <x v="29"/>
    <x v="0"/>
  </r>
  <r>
    <x v="16"/>
    <s v="SLCOP"/>
    <n v="212061"/>
    <s v="SLCOP"/>
    <n v="1746"/>
    <x v="8"/>
    <s v="Courtyard by Marriott Orem University Place"/>
    <x v="29"/>
    <x v="0"/>
  </r>
  <r>
    <x v="16"/>
    <s v="SLCSA"/>
    <n v="212097"/>
    <s v="SLCSA"/>
    <n v="1768"/>
    <x v="8"/>
    <s v="SpringHill Suites By Marriott Salt Lake City Airport"/>
    <x v="29"/>
    <x v="0"/>
  </r>
  <r>
    <x v="16"/>
    <s v="SLCSD"/>
    <n v="212085"/>
    <s v="SLCSD"/>
    <n v="1760"/>
    <x v="8"/>
    <s v="Courtyard By Marriott Salt Lake City Sandy"/>
    <x v="29"/>
    <x v="0"/>
  </r>
  <r>
    <x v="16"/>
    <s v="SLCSH"/>
    <n v="212091"/>
    <s v="SLCSH"/>
    <n v="1764"/>
    <x v="8"/>
    <s v="SpringHill Suites By Marriott Salt Lake City Downtown"/>
    <x v="29"/>
    <x v="0"/>
  </r>
  <r>
    <x v="16"/>
    <s v="SLCSO"/>
    <n v="212099"/>
    <s v="SLCSO"/>
    <n v="1769"/>
    <x v="8"/>
    <s v="SpringHill Suites By Marriott Salt Lake City Sugar House"/>
    <x v="29"/>
    <x v="0"/>
  </r>
  <r>
    <x v="16"/>
    <s v="SMFAC"/>
    <n v="212113"/>
    <s v="SMFAC"/>
    <n v="1776"/>
    <x v="8"/>
    <s v="AC Hotel Sacramento"/>
    <x v="29"/>
    <x v="0"/>
  </r>
  <r>
    <x v="16"/>
    <s v="SMFWC"/>
    <n v="212131"/>
    <s v="SMFWC"/>
    <n v="1785"/>
    <x v="8"/>
    <s v="Courtyard By Marriott Woodland"/>
    <x v="29"/>
    <x v="0"/>
  </r>
  <r>
    <x v="16"/>
    <s v="STLCA"/>
    <n v="212023"/>
    <s v="STLCA"/>
    <n v="1711"/>
    <x v="8"/>
    <s v="AC Hotel St. Louis Chesterfield"/>
    <x v="29"/>
    <x v="0"/>
  </r>
  <r>
    <x v="16"/>
    <s v="STSCY"/>
    <n v="212145"/>
    <s v="STSCY"/>
    <n v="1792"/>
    <x v="8"/>
    <s v="Courtyard By Marriott Santa Rosa"/>
    <x v="29"/>
    <x v="0"/>
  </r>
  <r>
    <x v="16"/>
    <s v="STSFI"/>
    <n v="212187"/>
    <s v="STSFI"/>
    <n v="1813"/>
    <x v="8"/>
    <s v="Fairfield Inn &amp; Suites Santa Rosa Rohnert Park"/>
    <x v="29"/>
    <x v="0"/>
  </r>
  <r>
    <x v="16"/>
    <s v="TCCFI"/>
    <n v="212093"/>
    <s v="TCCFI"/>
    <n v="1766"/>
    <x v="8"/>
    <s v="Fairfield Inn &amp; Suites Tucumcari"/>
    <x v="29"/>
    <x v="0"/>
  </r>
  <r>
    <x v="16"/>
    <s v="VISVT"/>
    <n v="212191"/>
    <s v="VISVT"/>
    <n v="1815"/>
    <x v="8"/>
    <s v="Fairfield Inn &amp; Suites Visalia Tulare"/>
    <x v="29"/>
    <x v="0"/>
  </r>
  <r>
    <x v="16"/>
    <s v="WCOCY"/>
    <n v="212047"/>
    <s v="WCOCY"/>
    <n v="1735"/>
    <x v="8"/>
    <s v="Courtyard By Marriott Waco"/>
    <x v="29"/>
    <x v="0"/>
  </r>
  <r>
    <x v="16"/>
    <s v="WJFFI"/>
    <n v="212117"/>
    <s v="WJFFI"/>
    <n v="1778"/>
    <x v="8"/>
    <s v="Fairfield Inn &amp; Suites Palmdale West"/>
    <x v="29"/>
    <x v="0"/>
  </r>
  <r>
    <x v="16"/>
    <s v="XNAFX"/>
    <n v="212049"/>
    <s v="XNAFX"/>
    <n v="1736"/>
    <x v="8"/>
    <s v="Moxy Fayetteville"/>
    <x v="29"/>
    <x v="0"/>
  </r>
  <r>
    <x v="16"/>
    <s v="YCDCY"/>
    <n v="212177"/>
    <s v="YCDCY"/>
    <n v="1808"/>
    <x v="8"/>
    <s v="Courtyard by Marriott Nanaimo"/>
    <x v="29"/>
    <x v="0"/>
  </r>
  <r>
    <x v="16"/>
    <s v="YEGCY"/>
    <n v="212063"/>
    <s v="YEGCY"/>
    <n v="1747"/>
    <x v="8"/>
    <s v="Courtyard By Marriott Edmonton Downtown"/>
    <x v="29"/>
    <x v="0"/>
  </r>
  <r>
    <x v="16"/>
    <s v="YEGFA"/>
    <n v="212081"/>
    <s v="YEGFA"/>
    <n v="1758"/>
    <x v="8"/>
    <s v="Fairfield Inn Edmonton International Airport"/>
    <x v="29"/>
    <x v="0"/>
  </r>
  <r>
    <x v="16"/>
    <s v="YEGFI"/>
    <n v="212053"/>
    <s v="YEGFI"/>
    <n v="1742"/>
    <x v="8"/>
    <s v="Fairfield Inn &amp; Suites Edmonton North"/>
    <x v="29"/>
    <x v="0"/>
  </r>
  <r>
    <x v="16"/>
    <s v="YKAFI"/>
    <n v="212115"/>
    <s v="YKAFI"/>
    <n v="1777"/>
    <x v="8"/>
    <s v="Fairfield Inn &amp; Suites Kamloops"/>
    <x v="29"/>
    <x v="0"/>
  </r>
  <r>
    <x v="16"/>
    <s v="YLWFI"/>
    <n v="212147"/>
    <s v="YLWFI"/>
    <n v="1793"/>
    <x v="8"/>
    <s v="Fairfield Inn &amp; Suites Kelowna"/>
    <x v="29"/>
    <x v="0"/>
  </r>
  <r>
    <x v="16"/>
    <s v="YLWFW"/>
    <n v="212133"/>
    <s v="YLWFW"/>
    <n v="1786"/>
    <x v="8"/>
    <s v="Fairfield by Marriott Inn &amp; Suites West Kelowna"/>
    <x v="29"/>
    <x v="0"/>
  </r>
  <r>
    <x v="16"/>
    <s v="YUMFI"/>
    <n v="212193"/>
    <s v="YUMFI"/>
    <n v="1816"/>
    <x v="8"/>
    <s v="Fairfield Inn &amp; Suites Yuma"/>
    <x v="29"/>
    <x v="0"/>
  </r>
  <r>
    <x v="16"/>
    <s v="YYCBM"/>
    <n v="212057"/>
    <s v="YYCBM"/>
    <n v="1744"/>
    <x v="8"/>
    <s v="Moxy Banff"/>
    <x v="29"/>
    <x v="0"/>
  </r>
  <r>
    <x v="16"/>
    <s v="BDLCW"/>
    <n v="120025"/>
    <s v="BDLCW"/>
    <n v="1671"/>
    <x v="9"/>
    <s v="Courtyard By Marriott West Springfield"/>
    <x v="29"/>
    <x v="0"/>
  </r>
  <r>
    <x v="16"/>
    <s v="BDLHO"/>
    <n v="120029"/>
    <s v="BDLHO"/>
    <n v="1673"/>
    <x v="9"/>
    <s v="Fairfield Inn &amp; Suites Springfield Holyoke"/>
    <x v="29"/>
    <x v="0"/>
  </r>
  <r>
    <x v="16"/>
    <s v="BNACV"/>
    <n v="120109"/>
    <s v="BNACV"/>
    <n v="1738"/>
    <x v="9"/>
    <s v="Fairfield Inn &amp; Suites Clarksville"/>
    <x v="29"/>
    <x v="0"/>
  </r>
  <r>
    <x v="16"/>
    <s v="BNAVL"/>
    <n v="120105"/>
    <s v="BNAVL"/>
    <n v="1731"/>
    <x v="9"/>
    <s v="Courtyard By Marriott Clarksville"/>
    <x v="29"/>
    <x v="0"/>
  </r>
  <r>
    <x v="16"/>
    <s v="DAYAC"/>
    <n v="120065"/>
    <s v="DAYAC"/>
    <n v="1691"/>
    <x v="9"/>
    <s v="AC Hotel Dayton"/>
    <x v="29"/>
    <x v="0"/>
  </r>
  <r>
    <x v="16"/>
    <s v="DAYFD"/>
    <n v="120005"/>
    <s v="DAYFD"/>
    <n v="1661"/>
    <x v="9"/>
    <s v="Fairfield by Marriott Inn &amp; Suites Dayton Downtown"/>
    <x v="29"/>
    <x v="0"/>
  </r>
  <r>
    <x v="16"/>
    <s v="DAYSF"/>
    <n v="120023"/>
    <s v="DAYSF"/>
    <n v="1670"/>
    <x v="9"/>
    <s v="Fairfield Inn &amp; Suites Dayton South"/>
    <x v="29"/>
    <x v="0"/>
  </r>
  <r>
    <x v="16"/>
    <s v="FARSH"/>
    <n v="120099"/>
    <s v="FARSH"/>
    <n v="1726"/>
    <x v="9"/>
    <s v="SpringHill Suites by Marriott Fargo"/>
    <x v="29"/>
    <x v="0"/>
  </r>
  <r>
    <x v="16"/>
    <s v="HGRFI"/>
    <n v="120007"/>
    <s v="HGRFI"/>
    <n v="1662"/>
    <x v="9"/>
    <s v="Fairfield Inn &amp; Suites Hagerstown"/>
    <x v="29"/>
    <x v="0"/>
  </r>
  <r>
    <x v="16"/>
    <s v="IADGV"/>
    <n v="120027"/>
    <s v="IADGV"/>
    <n v="1672"/>
    <x v="9"/>
    <s v="SpringHill Suites By Marriott Gainesville Haymarket"/>
    <x v="29"/>
    <x v="0"/>
  </r>
  <r>
    <x v="16"/>
    <s v="MEMAH"/>
    <n v="120101"/>
    <s v="MEMAH"/>
    <n v="1727"/>
    <x v="9"/>
    <s v="SpringHill Suites by Marriott Arlington TN"/>
    <x v="29"/>
    <x v="0"/>
  </r>
  <r>
    <x v="16"/>
    <s v="MEMFA"/>
    <n v="120089"/>
    <s v="MEMFA"/>
    <n v="1715"/>
    <x v="9"/>
    <s v="Fairfield Inn &amp; Suites Memphis Arlington"/>
    <x v="29"/>
    <x v="0"/>
  </r>
  <r>
    <x v="16"/>
    <s v="MEMLX"/>
    <n v="120107"/>
    <s v="MEMLX"/>
    <n v="1737"/>
    <x v="9"/>
    <s v="Courtyard By Marriott Memphis East/Bill Morris Parkway"/>
    <x v="29"/>
    <x v="0"/>
  </r>
  <r>
    <x v="16"/>
    <s v="MEMOX"/>
    <n v="120067"/>
    <s v="MEMOX"/>
    <n v="1693"/>
    <x v="9"/>
    <s v="Moxy Memphis Downtown"/>
    <x v="29"/>
    <x v="0"/>
  </r>
  <r>
    <x v="16"/>
    <s v="MGMSP"/>
    <n v="120111"/>
    <s v="MGMSP"/>
    <n v="1740"/>
    <x v="9"/>
    <s v="SpringHill Suites By Marriott Montgomery Prattville/Millbrook"/>
    <x v="29"/>
    <x v="0"/>
  </r>
  <r>
    <x v="16"/>
    <s v="MKEAP"/>
    <n v="120071"/>
    <s v="MKEAP"/>
    <n v="1697"/>
    <x v="9"/>
    <s v="Fairfield Inn &amp; Suites Milwaukee Airport"/>
    <x v="29"/>
    <x v="0"/>
  </r>
  <r>
    <x v="16"/>
    <s v="MKEFB"/>
    <n v="120077"/>
    <s v="MKEFB"/>
    <n v="1705"/>
    <x v="9"/>
    <s v="Fairfield by Marriott Inn &amp; Suites Milwaukee Brookfield"/>
    <x v="29"/>
    <x v="0"/>
  </r>
  <r>
    <x v="16"/>
    <s v="MKEFI"/>
    <n v="120073"/>
    <s v="MKEFI"/>
    <n v="1700"/>
    <x v="9"/>
    <s v="Fairfield Inn &amp; Suites Milwaukee North"/>
    <x v="29"/>
    <x v="0"/>
  </r>
  <r>
    <x v="16"/>
    <s v="MKESK"/>
    <n v="120091"/>
    <s v="MKESK"/>
    <n v="1717"/>
    <x v="9"/>
    <s v="SpringHill Suites By Marriott Kenosha"/>
    <x v="29"/>
    <x v="0"/>
  </r>
  <r>
    <x v="16"/>
    <s v="MKLCY"/>
    <n v="120081"/>
    <s v="MKLCY"/>
    <n v="1709"/>
    <x v="9"/>
    <s v="Courtyard By Marriott Jackson"/>
    <x v="29"/>
    <x v="0"/>
  </r>
  <r>
    <x v="16"/>
    <s v="MLIBH"/>
    <n v="120075"/>
    <s v="MLIBH"/>
    <n v="1701"/>
    <x v="9"/>
    <s v="SpringHill Suites by Marriott Bettendorf"/>
    <x v="29"/>
    <x v="0"/>
  </r>
  <r>
    <x v="16"/>
    <s v="MPOFI"/>
    <n v="120019"/>
    <s v="MPOFI"/>
    <n v="1668"/>
    <x v="9"/>
    <s v="Fairfield Inn &amp; Suites Stroudsburg Bartonsville/Poconos"/>
    <x v="29"/>
    <x v="0"/>
  </r>
  <r>
    <x v="16"/>
    <s v="MSNBF"/>
    <n v="120093"/>
    <s v="MSNBF"/>
    <n v="1718"/>
    <x v="9"/>
    <s v="Fairfield by Marriott Inn &amp; Suites Baraboo"/>
    <x v="29"/>
    <x v="0"/>
  </r>
  <r>
    <x v="16"/>
    <s v="MSNHW"/>
    <n v="120085"/>
    <s v="MSNHW"/>
    <n v="1713"/>
    <x v="9"/>
    <s v="SpringHill Suites By Marriott Madison"/>
    <x v="29"/>
    <x v="0"/>
  </r>
  <r>
    <x v="16"/>
    <s v="PAHFI"/>
    <n v="120095"/>
    <s v="PAHFI"/>
    <n v="1719"/>
    <x v="9"/>
    <s v="Fairfield Inn &amp; Suites Paducah"/>
    <x v="29"/>
    <x v="0"/>
  </r>
  <r>
    <x v="16"/>
    <s v="PHFYT"/>
    <n v="120039"/>
    <s v="PHFYT"/>
    <n v="1678"/>
    <x v="9"/>
    <s v="Courtyard By Marriott Newport News Yorktown"/>
    <x v="29"/>
    <x v="0"/>
  </r>
  <r>
    <x v="16"/>
    <s v="PHLMF"/>
    <n v="120059"/>
    <s v="PHLMF"/>
    <n v="1688"/>
    <x v="9"/>
    <s v="Fairfield Inn &amp; Suites Middletown"/>
    <x v="29"/>
    <x v="0"/>
  </r>
  <r>
    <x v="16"/>
    <s v="PNSFO"/>
    <n v="120097"/>
    <s v="PNSFO"/>
    <n v="1722"/>
    <x v="9"/>
    <s v="Fairfield by Marriott Inn &amp; Suites Foley"/>
    <x v="29"/>
    <x v="0"/>
  </r>
  <r>
    <x v="16"/>
    <s v="PNSPC"/>
    <n v="120087"/>
    <s v="PNSPC"/>
    <n v="1714"/>
    <x v="9"/>
    <s v="Courtyard By Marriott Pensacola Downtown"/>
    <x v="29"/>
    <x v="0"/>
  </r>
  <r>
    <x v="16"/>
    <s v="PNSPS"/>
    <n v="120069"/>
    <s v="PNSPS"/>
    <n v="1695"/>
    <x v="9"/>
    <s v="SpringHill Suites By Marriott Pensacola"/>
    <x v="29"/>
    <x v="0"/>
  </r>
  <r>
    <x v="16"/>
    <s v="PSMEX"/>
    <n v="120037"/>
    <s v="PSMEX"/>
    <n v="1677"/>
    <x v="9"/>
    <s v="Fairfield Inn &amp; Suites Portsmouth Exeter"/>
    <x v="29"/>
    <x v="0"/>
  </r>
  <r>
    <x v="16"/>
    <s v="PWMLO"/>
    <n v="120017"/>
    <s v="PWMLO"/>
    <n v="1667"/>
    <x v="9"/>
    <s v="Courtyard By Marriott Portland Airport"/>
    <x v="29"/>
    <x v="0"/>
  </r>
  <r>
    <x v="16"/>
    <s v="RAPCY"/>
    <n v="120115"/>
    <s v="RAPCY"/>
    <n v="1751"/>
    <x v="9"/>
    <s v="Courtyard By Marriott Rapid City"/>
    <x v="29"/>
    <x v="0"/>
  </r>
  <r>
    <x v="16"/>
    <s v="RAPFI"/>
    <n v="120119"/>
    <s v="RAPFI"/>
    <n v="1763"/>
    <x v="9"/>
    <s v="Fairfield Inn &amp; Suites Rapid City"/>
    <x v="29"/>
    <x v="0"/>
  </r>
  <r>
    <x v="16"/>
    <s v="RAPSP"/>
    <n v="120117"/>
    <s v="RAPSP"/>
    <n v="1752"/>
    <x v="9"/>
    <s v="Fairfield Inn &amp; Suites Spearfish"/>
    <x v="29"/>
    <x v="0"/>
  </r>
  <r>
    <x v="16"/>
    <s v="RICCN"/>
    <n v="120013"/>
    <s v="RICCN"/>
    <n v="1665"/>
    <x v="9"/>
    <s v="Courtyard by Marriott Richmond Scott’s Addition"/>
    <x v="29"/>
    <x v="0"/>
  </r>
  <r>
    <x v="16"/>
    <s v="RNZFI"/>
    <n v="120113"/>
    <s v="RNZFI"/>
    <n v="1741"/>
    <x v="9"/>
    <s v="Fairfield Inn &amp; Suites Fair Oaks Farms"/>
    <x v="29"/>
    <x v="0"/>
  </r>
  <r>
    <x v="16"/>
    <s v="RSWNS"/>
    <n v="120057"/>
    <s v="RSWNS"/>
    <n v="1687"/>
    <x v="9"/>
    <s v="SpringHill Suites By Marriott Naples"/>
    <x v="29"/>
    <x v="0"/>
  </r>
  <r>
    <x v="16"/>
    <s v="RWIFR"/>
    <n v="120035"/>
    <s v="RWIFR"/>
    <n v="1676"/>
    <x v="9"/>
    <s v="Fairfield by Marriott Inn &amp; Suites Rocky Mount"/>
    <x v="29"/>
    <x v="0"/>
  </r>
  <r>
    <x v="16"/>
    <s v="SAVAC"/>
    <n v="120051"/>
    <s v="SAVAC"/>
    <n v="1684"/>
    <x v="9"/>
    <s v="AC Hotel Savannah Historic District"/>
    <x v="29"/>
    <x v="0"/>
  </r>
  <r>
    <x v="16"/>
    <s v="SBNSN"/>
    <n v="120015"/>
    <s v="SBNSN"/>
    <n v="1666"/>
    <x v="9"/>
    <s v="SpringHill Suites By Marriott South Bend Notre Dame Area"/>
    <x v="29"/>
    <x v="0"/>
  </r>
  <r>
    <x v="16"/>
    <s v="SDFSH"/>
    <n v="120021"/>
    <s v="SDFSH"/>
    <n v="1669"/>
    <x v="9"/>
    <s v="SpringHill Suites By Marriott Louisville Hurstbourne/North"/>
    <x v="29"/>
    <x v="0"/>
  </r>
  <r>
    <x v="16"/>
    <s v="SEGBL"/>
    <n v="120033"/>
    <s v="SEGBL"/>
    <n v="1675"/>
    <x v="9"/>
    <s v="Fairfield Inn &amp; Suites Bloomsburg"/>
    <x v="29"/>
    <x v="0"/>
  </r>
  <r>
    <x v="16"/>
    <s v="SYRVR"/>
    <n v="120041"/>
    <s v="SYRVR"/>
    <n v="1679"/>
    <x v="9"/>
    <s v="Fairfield Inn &amp; Suites Verona"/>
    <x v="29"/>
    <x v="0"/>
  </r>
  <r>
    <x v="16"/>
    <s v="TCLAC"/>
    <n v="120079"/>
    <s v="TCLAC"/>
    <n v="1708"/>
    <x v="9"/>
    <s v="AC Hotel Tuscaloosa Downtown"/>
    <x v="29"/>
    <x v="0"/>
  </r>
  <r>
    <x v="16"/>
    <s v="TFOSH"/>
    <n v="120011"/>
    <s v="TFOSH"/>
    <n v="1664"/>
    <x v="9"/>
    <s v="SpringHill Suites By Marriott Tifton"/>
    <x v="29"/>
    <x v="0"/>
  </r>
  <r>
    <x v="16"/>
    <s v="TLHSE"/>
    <n v="120003"/>
    <s v="TLHSE"/>
    <n v="1660"/>
    <x v="9"/>
    <s v="SpringHill Suites By Marriott Tallahassee Central"/>
    <x v="29"/>
    <x v="0"/>
  </r>
  <r>
    <x v="16"/>
    <s v="TOLFI"/>
    <n v="120001"/>
    <s v="TOLFI"/>
    <n v="1659"/>
    <x v="9"/>
    <s v="Fairfield Inn &amp; Suites Findlay"/>
    <x v="29"/>
    <x v="0"/>
  </r>
  <r>
    <x v="16"/>
    <s v="TOLNO"/>
    <n v="120047"/>
    <s v="TOLNO"/>
    <n v="1682"/>
    <x v="9"/>
    <s v="Courtyard By Marriott Toledo North"/>
    <x v="29"/>
    <x v="0"/>
  </r>
  <r>
    <x v="16"/>
    <s v="TPANP"/>
    <n v="120043"/>
    <s v="TPANP"/>
    <n v="1680"/>
    <x v="9"/>
    <s v="SpringHill Suites By Marriott Tampa North/I-75 Tampa Palms"/>
    <x v="29"/>
    <x v="0"/>
  </r>
  <r>
    <x v="16"/>
    <s v="TPANW"/>
    <n v="120049"/>
    <s v="TPANW"/>
    <n v="1683"/>
    <x v="9"/>
    <s v="Courtyard By Marriott Tampa Northwest/Veterans Expressway"/>
    <x v="29"/>
    <x v="0"/>
  </r>
  <r>
    <x v="16"/>
    <s v="TRIFB"/>
    <n v="120053"/>
    <s v="TRIFB"/>
    <n v="1685"/>
    <x v="9"/>
    <s v="Fairfield Inn &amp; Suites Bristol"/>
    <x v="29"/>
    <x v="0"/>
  </r>
  <r>
    <x v="16"/>
    <s v="TYSKX"/>
    <n v="120063"/>
    <s v="TYSKX"/>
    <n v="1690"/>
    <x v="9"/>
    <s v="Courtyard By Marriott Knoxville Airport Alcoa"/>
    <x v="29"/>
    <x v="0"/>
  </r>
  <r>
    <x v="16"/>
    <s v="TYSSP"/>
    <n v="120031"/>
    <s v="TYSSP"/>
    <n v="1674"/>
    <x v="9"/>
    <s v="SpringHill Suites By Marriott Pigeon Forge"/>
    <x v="29"/>
    <x v="0"/>
  </r>
  <r>
    <x v="16"/>
    <s v="VLDFV"/>
    <n v="120045"/>
    <s v="VLDFV"/>
    <n v="1681"/>
    <x v="9"/>
    <s v="Fairfield Inn &amp; Suites Valdosta"/>
    <x v="29"/>
    <x v="0"/>
  </r>
  <r>
    <x v="16"/>
    <s v="VPSCY"/>
    <n v="120103"/>
    <s v="VPSCY"/>
    <n v="1729"/>
    <x v="9"/>
    <s v="Courtyard By Marriott Sandestin at Grand Boulevard"/>
    <x v="29"/>
    <x v="0"/>
  </r>
  <r>
    <x v="16"/>
    <s v="VPSWF"/>
    <n v="120083"/>
    <s v="VPSWF"/>
    <n v="1712"/>
    <x v="9"/>
    <s v="Fairfield by Marriott Inn &amp; Suites Fort Walton Beach Hurlburt Area"/>
    <x v="29"/>
    <x v="0"/>
  </r>
  <r>
    <x v="16"/>
    <s v="WASFK"/>
    <n v="120055"/>
    <s v="WASFK"/>
    <n v="1686"/>
    <x v="9"/>
    <s v="SpringHill Suites By Marriott Frederick"/>
    <x v="29"/>
    <x v="0"/>
  </r>
  <r>
    <x v="16"/>
    <s v="YOWAC"/>
    <n v="120009"/>
    <s v="YOWAC"/>
    <n v="1663"/>
    <x v="9"/>
    <s v="AC Hotel Ottawa Downtown"/>
    <x v="29"/>
    <x v="0"/>
  </r>
  <r>
    <x v="16"/>
    <s v="YQAGF"/>
    <n v="120061"/>
    <s v="YQAGF"/>
    <n v="1689"/>
    <x v="9"/>
    <s v="Fairfield by Marriott Inn &amp; Suites Gravenhurst Muskoka"/>
    <x v="29"/>
    <x v="0"/>
  </r>
  <r>
    <x v="16"/>
    <s v="YXECY"/>
    <n v="120121"/>
    <s v="YXECY"/>
    <n v="1765"/>
    <x v="9"/>
    <s v="Courtyard By Marriott Saskatoon Airport"/>
    <x v="29"/>
    <x v="0"/>
  </r>
  <r>
    <x v="17"/>
    <s v="BTMFI"/>
    <n v="121067"/>
    <s v="BTMFI"/>
    <n v="1961"/>
    <x v="10"/>
    <s v="Fairfield by Marriott Inn &amp; Suites Butte"/>
    <x v="30"/>
    <x v="0"/>
  </r>
  <r>
    <x v="17"/>
    <s v="BTRSH"/>
    <n v="213099"/>
    <s v="BTRSH"/>
    <n v="1904"/>
    <x v="11"/>
    <s v="SpringHill Suites by Marriott Baton Rouge South"/>
    <x v="30"/>
    <x v="0"/>
  </r>
  <r>
    <x v="17"/>
    <s v="CAEOD"/>
    <n v="121005"/>
    <s v="CAEOD"/>
    <n v="1854"/>
    <x v="10"/>
    <s v="Moxy Columbia Downtown"/>
    <x v="30"/>
    <x v="0"/>
  </r>
  <r>
    <x v="17"/>
    <s v="CGIFI"/>
    <n v="213071"/>
    <s v="CGIFI"/>
    <n v="1883"/>
    <x v="11"/>
    <s v="Fairfield by Marriott Inn &amp; Suites Poplar Bluff"/>
    <x v="30"/>
    <x v="0"/>
  </r>
  <r>
    <x v="17"/>
    <s v="CHACC"/>
    <n v="121007"/>
    <s v="CHACC"/>
    <n v="1856"/>
    <x v="10"/>
    <s v="Courtyard by Marriott Cleveland TN"/>
    <x v="30"/>
    <x v="0"/>
  </r>
  <r>
    <x v="17"/>
    <s v="CHIBL"/>
    <n v="213107"/>
    <s v="CHIBL"/>
    <n v="1908"/>
    <x v="11"/>
    <s v="SpringHill Suites by Marriott Chicago Bolingbrook"/>
    <x v="30"/>
    <x v="0"/>
  </r>
  <r>
    <x v="17"/>
    <s v="CHIGV"/>
    <n v="213051"/>
    <s v="CHIGV"/>
    <n v="1868"/>
    <x v="11"/>
    <s v="Courtyard by Marriott Chicago Glenview/Northbrook"/>
    <x v="30"/>
    <x v="0"/>
  </r>
  <r>
    <x v="17"/>
    <s v="CIDCI"/>
    <n v="121015"/>
    <s v="CIDCI"/>
    <n v="1875"/>
    <x v="10"/>
    <s v="Courtyard by Marriott Iowa City University Heights"/>
    <x v="30"/>
    <x v="0"/>
  </r>
  <r>
    <x v="17"/>
    <s v="CIDFN"/>
    <n v="121049"/>
    <s v="CIDFN"/>
    <n v="1917"/>
    <x v="10"/>
    <s v="Fairfield by Marriott Inn &amp; Suites Cedar Rapids North"/>
    <x v="30"/>
    <x v="0"/>
  </r>
  <r>
    <x v="17"/>
    <s v="CIDSH"/>
    <n v="121025"/>
    <s v="CIDSH"/>
    <n v="1885"/>
    <x v="10"/>
    <s v="SpringHill Suites by Marriott Coralville"/>
    <x v="30"/>
    <x v="0"/>
  </r>
  <r>
    <x v="17"/>
    <s v="CPRCY"/>
    <n v="213201"/>
    <s v="CPRCY"/>
    <n v="1971"/>
    <x v="11"/>
    <s v="Courtyard by Marriott Casper"/>
    <x v="30"/>
    <x v="0"/>
  </r>
  <r>
    <x v="17"/>
    <s v="CYSSW"/>
    <n v="213191"/>
    <s v="CYSSW"/>
    <n v="1966"/>
    <x v="11"/>
    <s v="Fairfield by Marriott Inn &amp; Suites Cheyenne Southwest/Downtown Area"/>
    <x v="30"/>
    <x v="0"/>
  </r>
  <r>
    <x v="17"/>
    <s v="DENAF"/>
    <n v="213203"/>
    <s v="DENAF"/>
    <n v="1972"/>
    <x v="11"/>
    <s v="SpringHill Suites by Marriott Denver at Anschutz Medical Campus"/>
    <x v="30"/>
    <x v="0"/>
  </r>
  <r>
    <x v="17"/>
    <s v="DENAS"/>
    <n v="213185"/>
    <s v="DENAS"/>
    <n v="1962"/>
    <x v="11"/>
    <s v="Fairfield by Marriott Inn &amp; Suites Denver Aurora/Parker"/>
    <x v="30"/>
    <x v="0"/>
  </r>
  <r>
    <x v="17"/>
    <s v="DENAU"/>
    <n v="213163"/>
    <s v="DENAU"/>
    <n v="1950"/>
    <x v="11"/>
    <s v="Fairfield by Marriott Inn &amp; Suites Denver Aurora/Medical Center"/>
    <x v="30"/>
    <x v="0"/>
  </r>
  <r>
    <x v="17"/>
    <s v="DENBL"/>
    <n v="213157"/>
    <s v="DENBL"/>
    <n v="1947"/>
    <x v="11"/>
    <s v="SpringHill Suites by Marriott Boulder Longmont"/>
    <x v="30"/>
    <x v="0"/>
  </r>
  <r>
    <x v="17"/>
    <s v="DENCD"/>
    <n v="213175"/>
    <s v="DENCD"/>
    <n v="1956"/>
    <x v="11"/>
    <s v="Courtyard by Marriott Denver Downtown"/>
    <x v="30"/>
    <x v="0"/>
  </r>
  <r>
    <x v="17"/>
    <s v="DENFD"/>
    <n v="213143"/>
    <s v="DENFD"/>
    <n v="1939"/>
    <x v="11"/>
    <s v="Fairfield by Marriott Inn &amp; Suites Denver Downtown"/>
    <x v="30"/>
    <x v="0"/>
  </r>
  <r>
    <x v="17"/>
    <s v="DENFS"/>
    <n v="213173"/>
    <s v="DENFS"/>
    <n v="1955"/>
    <x v="11"/>
    <s v="Fairfield by Marriott Inn &amp; Suites Denver Tech Center/South"/>
    <x v="30"/>
    <x v="0"/>
  </r>
  <r>
    <x v="17"/>
    <s v="DENFY"/>
    <n v="213221"/>
    <s v="DENFY"/>
    <n v="1981"/>
    <x v="11"/>
    <s v="Fairfield by Marriott Inn &amp; Suites Denver Airport at Gateway Park"/>
    <x v="30"/>
    <x v="0"/>
  </r>
  <r>
    <x v="17"/>
    <s v="DENLG"/>
    <n v="213167"/>
    <s v="DENLG"/>
    <n v="1952"/>
    <x v="11"/>
    <s v="Courtyard by Marriott Boulder Longmont"/>
    <x v="30"/>
    <x v="0"/>
  </r>
  <r>
    <x v="17"/>
    <s v="DENLS"/>
    <n v="213225"/>
    <s v="DENLS"/>
    <n v="1983"/>
    <x v="11"/>
    <s v="Courtyard by Marriott Boulder Broomfield"/>
    <x v="30"/>
    <x v="0"/>
  </r>
  <r>
    <x v="17"/>
    <s v="DENLT"/>
    <n v="213151"/>
    <s v="DENLT"/>
    <n v="1944"/>
    <x v="11"/>
    <s v="Courtyard by Marriott Denver Southwest/Littleton"/>
    <x v="30"/>
    <x v="0"/>
  </r>
  <r>
    <x v="17"/>
    <s v="DENNW"/>
    <n v="213145"/>
    <s v="DENNW"/>
    <n v="1940"/>
    <x v="11"/>
    <s v="Courtyard by Marriott Denver North/Westminster"/>
    <x v="30"/>
    <x v="0"/>
  </r>
  <r>
    <x v="17"/>
    <s v="DENOX"/>
    <n v="213177"/>
    <s v="DENOX"/>
    <n v="1957"/>
    <x v="11"/>
    <s v="Moxy Denver Cherry Creek"/>
    <x v="30"/>
    <x v="0"/>
  </r>
  <r>
    <x v="17"/>
    <s v="DENPK"/>
    <n v="213183"/>
    <s v="DENPK"/>
    <n v="1960"/>
    <x v="11"/>
    <s v="SpringHill Suites by Marriott Denver Parker"/>
    <x v="30"/>
    <x v="0"/>
  </r>
  <r>
    <x v="17"/>
    <s v="DENSD"/>
    <n v="213199"/>
    <s v="DENSD"/>
    <n v="1970"/>
    <x v="11"/>
    <s v="SpringHill Suites by Marriott Denver Downtown"/>
    <x v="30"/>
    <x v="0"/>
  </r>
  <r>
    <x v="17"/>
    <s v="DENSV"/>
    <n v="213213"/>
    <s v="DENSV"/>
    <n v="1977"/>
    <x v="11"/>
    <s v="SpringHill Suites by Marriott Denver West/Golden"/>
    <x v="30"/>
    <x v="0"/>
  </r>
  <r>
    <x v="17"/>
    <s v="DENUC"/>
    <n v="213141"/>
    <s v="DENUC"/>
    <n v="1938"/>
    <x v="11"/>
    <s v="Courtyard by Marriott Denver Airport at Gateway Park"/>
    <x v="30"/>
    <x v="0"/>
  </r>
  <r>
    <x v="17"/>
    <s v="DENWM"/>
    <n v="213209"/>
    <s v="DENWM"/>
    <n v="1975"/>
    <x v="11"/>
    <s v="SpringHill Suites by Marriott Denver North/Westminster"/>
    <x v="30"/>
    <x v="0"/>
  </r>
  <r>
    <x v="17"/>
    <s v="DENWO"/>
    <n v="213171"/>
    <s v="DENWO"/>
    <n v="1954"/>
    <x v="11"/>
    <s v="SpringHill Suites by Marriott Denver Tech Center"/>
    <x v="30"/>
    <x v="0"/>
  </r>
  <r>
    <x v="17"/>
    <s v="DENWT"/>
    <n v="213159"/>
    <s v="DENWT"/>
    <n v="1948"/>
    <x v="11"/>
    <s v="Fairfield by Marriott Inn &amp; Suites Denver North/Westminster"/>
    <x v="30"/>
    <x v="0"/>
  </r>
  <r>
    <x v="17"/>
    <s v="DENXN"/>
    <n v="213153"/>
    <s v="DENXN"/>
    <n v="1945"/>
    <x v="11"/>
    <s v="Fairfield by Marriott Inn &amp; Suites Denver Tech Center North"/>
    <x v="30"/>
    <x v="0"/>
  </r>
  <r>
    <x v="17"/>
    <s v="DHNET"/>
    <n v="121035"/>
    <s v="DHNET"/>
    <n v="1896"/>
    <x v="10"/>
    <s v="Fairfield by Marriott Inn &amp; Suites Enterprise"/>
    <x v="30"/>
    <x v="0"/>
  </r>
  <r>
    <x v="17"/>
    <s v="DSMCM"/>
    <n v="121039"/>
    <s v="DSMCM"/>
    <n v="1909"/>
    <x v="10"/>
    <s v="Courtyard by Marriott Ames"/>
    <x v="30"/>
    <x v="0"/>
  </r>
  <r>
    <x v="17"/>
    <s v="EGEFA"/>
    <n v="213215"/>
    <s v="EGEFA"/>
    <n v="1978"/>
    <x v="11"/>
    <s v="AC Hotel Frisco Colorado"/>
    <x v="30"/>
    <x v="0"/>
  </r>
  <r>
    <x v="17"/>
    <s v="ELPCE"/>
    <n v="213211"/>
    <s v="ELPCE"/>
    <n v="1976"/>
    <x v="11"/>
    <s v="Courtyard by Marriott El Paso East/I-10"/>
    <x v="30"/>
    <x v="0"/>
  </r>
  <r>
    <x v="17"/>
    <s v="ELPCV"/>
    <n v="213195"/>
    <s v="ELPCV"/>
    <n v="1968"/>
    <x v="11"/>
    <s v="Courtyard by Marriott El Paso Downtown/Convention Center"/>
    <x v="30"/>
    <x v="0"/>
  </r>
  <r>
    <x v="17"/>
    <s v="ELPCY"/>
    <n v="213161"/>
    <s v="ELPCY"/>
    <n v="1949"/>
    <x v="11"/>
    <s v="Courtyard by Marriott El Paso Airport"/>
    <x v="30"/>
    <x v="0"/>
  </r>
  <r>
    <x v="17"/>
    <s v="ELPHA"/>
    <n v="213217"/>
    <s v="ELPHA"/>
    <n v="1979"/>
    <x v="11"/>
    <s v="SpringHill Suites by Marriott El Paso Airport"/>
    <x v="30"/>
    <x v="0"/>
  </r>
  <r>
    <x v="17"/>
    <s v="ELPSE"/>
    <n v="213197"/>
    <s v="ELPSE"/>
    <n v="1969"/>
    <x v="11"/>
    <s v="SpringHill Suites by Marriott El Paso"/>
    <x v="30"/>
    <x v="0"/>
  </r>
  <r>
    <x v="17"/>
    <s v="FLGCY"/>
    <n v="213241"/>
    <s v="FLGCY"/>
    <n v="1993"/>
    <x v="11"/>
    <s v="Courtyard by Marriott Flagstaff"/>
    <x v="30"/>
    <x v="0"/>
  </r>
  <r>
    <x v="17"/>
    <s v="FLGFF"/>
    <n v="213227"/>
    <s v="FLGFF"/>
    <n v="1984"/>
    <x v="11"/>
    <s v="Fairfield by Marriott Inn &amp; Suites Flagstaff East"/>
    <x v="30"/>
    <x v="0"/>
  </r>
  <r>
    <x v="17"/>
    <s v="FMNFI"/>
    <n v="213181"/>
    <s v="FMNFI"/>
    <n v="1959"/>
    <x v="11"/>
    <s v="Fairfield by Marriott Inn &amp; Suites Farmington"/>
    <x v="30"/>
    <x v="0"/>
  </r>
  <r>
    <x v="17"/>
    <s v="FTCCY"/>
    <n v="213147"/>
    <s v="FTCCY"/>
    <n v="1941"/>
    <x v="11"/>
    <s v="Courtyard by Marriott Fort Collins"/>
    <x v="30"/>
    <x v="0"/>
  </r>
  <r>
    <x v="17"/>
    <s v="FTCFF"/>
    <n v="213149"/>
    <s v="FTCFF"/>
    <n v="1943"/>
    <x v="11"/>
    <s v="Fairfield by Marriott Inn &amp; Suites Fort Collins South"/>
    <x v="30"/>
    <x v="0"/>
  </r>
  <r>
    <x v="17"/>
    <s v="FTCSH"/>
    <n v="213187"/>
    <s v="FTCSH"/>
    <n v="1964"/>
    <x v="11"/>
    <s v="SpringHill Suites by Marriott Loveland Fort Collins/Windsor"/>
    <x v="30"/>
    <x v="0"/>
  </r>
  <r>
    <x v="17"/>
    <s v="FWASO"/>
    <n v="121001"/>
    <s v="FWASO"/>
    <n v="1844"/>
    <x v="10"/>
    <s v="SpringHill Suites by Marriott Fort Wayne Southwest"/>
    <x v="30"/>
    <x v="0"/>
  </r>
  <r>
    <x v="17"/>
    <s v="FWASW"/>
    <n v="121003"/>
    <s v="FWASW"/>
    <n v="1846"/>
    <x v="10"/>
    <s v="Fairfield by Marriott Inn &amp; Suites Fort Wayne Southwest"/>
    <x v="30"/>
    <x v="0"/>
  </r>
  <r>
    <x v="17"/>
    <s v="GCCFI"/>
    <n v="213179"/>
    <s v="GCCFI"/>
    <n v="1958"/>
    <x v="11"/>
    <s v="Fairfield by Marriott Inn &amp; Suites Gillette"/>
    <x v="30"/>
    <x v="0"/>
  </r>
  <r>
    <x v="17"/>
    <s v="GJTCY"/>
    <n v="213193"/>
    <s v="GJTCY"/>
    <n v="1967"/>
    <x v="11"/>
    <s v="Courtyard by Marriott Grand Junction"/>
    <x v="30"/>
    <x v="0"/>
  </r>
  <r>
    <x v="17"/>
    <s v="GLSSH"/>
    <n v="213109"/>
    <s v="GLSSH"/>
    <n v="1910"/>
    <x v="11"/>
    <s v="SpringHill Suites by Marriott Galveston Island"/>
    <x v="30"/>
    <x v="0"/>
  </r>
  <r>
    <x v="17"/>
    <s v="GPTBN"/>
    <n v="121031"/>
    <s v="GPTBN"/>
    <n v="1893"/>
    <x v="10"/>
    <s v="Courtyard by Marriott Biloxi North/D'Iberville"/>
    <x v="30"/>
    <x v="0"/>
  </r>
  <r>
    <x v="17"/>
    <s v="GRISH"/>
    <n v="213113"/>
    <s v="GRISH"/>
    <n v="1916"/>
    <x v="11"/>
    <s v="SpringHill Suites by Marriott Grand Island"/>
    <x v="30"/>
    <x v="0"/>
  </r>
  <r>
    <x v="17"/>
    <s v="GTFSH"/>
    <n v="121069"/>
    <s v="GTFSH"/>
    <n v="1963"/>
    <x v="10"/>
    <s v="SpringHill Suites by Marriott Great Falls"/>
    <x v="30"/>
    <x v="0"/>
  </r>
  <r>
    <x v="17"/>
    <s v="GUPFI"/>
    <n v="213189"/>
    <s v="GUPFI"/>
    <n v="1965"/>
    <x v="11"/>
    <s v="Fairfield by Marriott Inn &amp; Suites Gallup"/>
    <x v="30"/>
    <x v="0"/>
  </r>
  <r>
    <x v="17"/>
    <s v="GUPSH"/>
    <n v="213165"/>
    <s v="GUPSH"/>
    <n v="1951"/>
    <x v="11"/>
    <s v="SpringHill Suites by Marriott Gallup"/>
    <x v="30"/>
    <x v="0"/>
  </r>
  <r>
    <x v="17"/>
    <s v="HDCCY"/>
    <n v="213077"/>
    <s v="HDCCY"/>
    <n v="1887"/>
    <x v="11"/>
    <s v="Courtyard by Marriott Hammond"/>
    <x v="30"/>
    <x v="0"/>
  </r>
  <r>
    <x v="17"/>
    <s v="HLNFN"/>
    <n v="121065"/>
    <s v="HLNFN"/>
    <n v="1942"/>
    <x v="10"/>
    <s v="Fairfield by Marriott Inn &amp; Suites Helena North"/>
    <x v="30"/>
    <x v="0"/>
  </r>
  <r>
    <x v="17"/>
    <s v="HOBFI"/>
    <n v="213219"/>
    <s v="HOBFI"/>
    <n v="1980"/>
    <x v="11"/>
    <s v="Fairfield by Marriott Inn &amp; Suites Hobbs"/>
    <x v="30"/>
    <x v="0"/>
  </r>
  <r>
    <x v="17"/>
    <s v="HRLCY"/>
    <n v="213061"/>
    <s v="HRLCY"/>
    <n v="1873"/>
    <x v="11"/>
    <s v="Courtyard by Marriott Harlingen"/>
    <x v="30"/>
    <x v="0"/>
  </r>
  <r>
    <x v="17"/>
    <s v="HRLFI"/>
    <n v="213067"/>
    <s v="HRLFI"/>
    <n v="1878"/>
    <x v="11"/>
    <s v="Fairfield by Marriott Inn &amp; Suites Harlingen"/>
    <x v="30"/>
    <x v="0"/>
  </r>
  <r>
    <x v="17"/>
    <s v="HSVCH"/>
    <n v="121033"/>
    <s v="HSVCH"/>
    <n v="1895"/>
    <x v="10"/>
    <s v="Courtyard by Marriott Huntsville University Drive"/>
    <x v="30"/>
    <x v="0"/>
  </r>
  <r>
    <x v="17"/>
    <s v="HSVDC"/>
    <n v="121045"/>
    <s v="HSVDC"/>
    <n v="1914"/>
    <x v="10"/>
    <s v="Courtyard by Marriott Decatur"/>
    <x v="30"/>
    <x v="0"/>
  </r>
  <r>
    <x v="17"/>
    <s v="HSVSH"/>
    <n v="121059"/>
    <s v="HSVSH"/>
    <n v="1928"/>
    <x v="10"/>
    <s v="SpringHill Suites by Marriott Huntsville Downtown"/>
    <x v="30"/>
    <x v="0"/>
  </r>
  <r>
    <x v="17"/>
    <s v="IAHCS"/>
    <n v="213093"/>
    <s v="IAHCS"/>
    <n v="1900"/>
    <x v="11"/>
    <s v="Courtyard by Marriott Houston North/Shenandoah"/>
    <x v="30"/>
    <x v="0"/>
  </r>
  <r>
    <x v="17"/>
    <s v="ICTAD"/>
    <n v="213137"/>
    <s v="ICTAD"/>
    <n v="1936"/>
    <x v="11"/>
    <s v="AC Hotel Wichita Downtown"/>
    <x v="30"/>
    <x v="0"/>
  </r>
  <r>
    <x v="17"/>
    <s v="ICTHU"/>
    <n v="213111"/>
    <s v="ICTHU"/>
    <n v="1911"/>
    <x v="11"/>
    <s v="Fairfield by Marriott Inn &amp; Suites Hutchinson"/>
    <x v="30"/>
    <x v="0"/>
  </r>
  <r>
    <x v="17"/>
    <s v="ICTWW"/>
    <n v="213083"/>
    <s v="ICTWW"/>
    <n v="1892"/>
    <x v="11"/>
    <s v="SpringHill Suites by Marriott Wichita Airport"/>
    <x v="30"/>
    <x v="0"/>
  </r>
  <r>
    <x v="17"/>
    <s v="IDAFP"/>
    <n v="213205"/>
    <s v="IDAFP"/>
    <n v="1973"/>
    <x v="11"/>
    <s v="Fairfield by Marriott Inn &amp; Suites Pocatello"/>
    <x v="30"/>
    <x v="0"/>
  </r>
  <r>
    <x v="17"/>
    <s v="IDAPC"/>
    <n v="213223"/>
    <s v="IDAPC"/>
    <n v="1982"/>
    <x v="11"/>
    <s v="Courtyard by Marriott Pocatello"/>
    <x v="30"/>
    <x v="0"/>
  </r>
  <r>
    <x v="17"/>
    <s v="IDASL"/>
    <n v="213155"/>
    <s v="IDASL"/>
    <n v="1946"/>
    <x v="11"/>
    <s v="SpringHill Suites by Marriott Island Park Yellowstone"/>
    <x v="30"/>
    <x v="0"/>
  </r>
  <r>
    <x v="17"/>
    <s v="ILEFI"/>
    <n v="213103"/>
    <s v="ILEFI"/>
    <n v="1906"/>
    <x v="11"/>
    <s v="Fairfield by Marriott Inn &amp; Suites Killeen"/>
    <x v="30"/>
    <x v="0"/>
  </r>
  <r>
    <x v="17"/>
    <s v="JBRCY"/>
    <n v="213055"/>
    <s v="JBRCY"/>
    <n v="1870"/>
    <x v="11"/>
    <s v="Courtyard by Marriott Jonesboro"/>
    <x v="30"/>
    <x v="0"/>
  </r>
  <r>
    <x v="17"/>
    <s v="JBRFI"/>
    <n v="213131"/>
    <s v="JBRFI"/>
    <n v="1933"/>
    <x v="11"/>
    <s v="Fairfield by Marriott Inn &amp; Suites Jonesboro"/>
    <x v="30"/>
    <x v="0"/>
  </r>
  <r>
    <x v="17"/>
    <s v="LARFI"/>
    <n v="213207"/>
    <s v="LARFI"/>
    <n v="1974"/>
    <x v="11"/>
    <s v="Fairfield by Marriott Inn &amp; Suites Laramie"/>
    <x v="30"/>
    <x v="0"/>
  </r>
  <r>
    <x v="17"/>
    <s v="LFTSH"/>
    <n v="213129"/>
    <s v="LFTSH"/>
    <n v="1932"/>
    <x v="11"/>
    <s v="SpringHill Suites by Marriott Lafayette South at River Ranch"/>
    <x v="30"/>
    <x v="0"/>
  </r>
  <r>
    <x v="17"/>
    <s v="LITCH"/>
    <n v="213085"/>
    <s v="LITCH"/>
    <n v="1894"/>
    <x v="11"/>
    <s v="Courtyard by Marriott Little Rock West"/>
    <x v="30"/>
    <x v="0"/>
  </r>
  <r>
    <x v="17"/>
    <s v="MAFFI"/>
    <n v="213089"/>
    <s v="MAFFI"/>
    <n v="1898"/>
    <x v="11"/>
    <s v="Fairfield by Marriott Inn &amp; Suites Midland"/>
    <x v="30"/>
    <x v="0"/>
  </r>
  <r>
    <x v="17"/>
    <s v="MAFFO"/>
    <n v="213097"/>
    <s v="MAFFO"/>
    <n v="1903"/>
    <x v="11"/>
    <s v="Fairfield by Marriott Inn &amp; Suites Monahans"/>
    <x v="30"/>
    <x v="0"/>
  </r>
  <r>
    <x v="17"/>
    <s v="MCETH"/>
    <n v="213229"/>
    <s v="MCETH"/>
    <n v="1985"/>
    <x v="11"/>
    <s v="SpringHill Suites by Marriott Turlock"/>
    <x v="30"/>
    <x v="0"/>
  </r>
  <r>
    <x v="17"/>
    <s v="MEMCD"/>
    <n v="121043"/>
    <s v="MEMCD"/>
    <n v="1913"/>
    <x v="10"/>
    <s v="Courtyard by Marriott Memphis Downtown"/>
    <x v="30"/>
    <x v="0"/>
  </r>
  <r>
    <x v="17"/>
    <s v="MEMFG"/>
    <n v="121023"/>
    <s v="MEMFG"/>
    <n v="1882"/>
    <x v="10"/>
    <s v="Fairfield by Marriott Inn &amp; Suites Memphis Germantown"/>
    <x v="30"/>
    <x v="0"/>
  </r>
  <r>
    <x v="17"/>
    <s v="MEMMP"/>
    <n v="121061"/>
    <s v="MEMMP"/>
    <n v="1929"/>
    <x v="10"/>
    <s v="SpringHill Suites by Marriott Memphis Downtown"/>
    <x v="30"/>
    <x v="0"/>
  </r>
  <r>
    <x v="17"/>
    <s v="MEMVL"/>
    <n v="121017"/>
    <s v="MEMVL"/>
    <n v="1876"/>
    <x v="10"/>
    <s v="Courtyard by Marriott Memphis Collierville"/>
    <x v="30"/>
    <x v="0"/>
  </r>
  <r>
    <x v="17"/>
    <s v="MGMMA"/>
    <n v="121029"/>
    <s v="MGMMA"/>
    <n v="1891"/>
    <x v="10"/>
    <s v="Fairfield by Marriott Inn &amp; Suites Montgomery-EastChase Parkway"/>
    <x v="30"/>
    <x v="0"/>
  </r>
  <r>
    <x v="17"/>
    <s v="MGMPC"/>
    <n v="121055"/>
    <s v="MGMPC"/>
    <n v="1924"/>
    <x v="10"/>
    <s v="Courtyard by Marriott Montgomery Prattville"/>
    <x v="30"/>
    <x v="0"/>
  </r>
  <r>
    <x v="17"/>
    <s v="MKLJK"/>
    <n v="121051"/>
    <s v="MKLJK"/>
    <n v="1919"/>
    <x v="10"/>
    <s v="Fairfield by Marriott Inn &amp; Suites Jackson"/>
    <x v="30"/>
    <x v="0"/>
  </r>
  <r>
    <x v="17"/>
    <s v="MSNCW"/>
    <n v="121021"/>
    <s v="MSNCW"/>
    <n v="1881"/>
    <x v="10"/>
    <s v="Courtyard by Marriott Madison West/Middleton"/>
    <x v="30"/>
    <x v="0"/>
  </r>
  <r>
    <x v="17"/>
    <s v="MSNFS"/>
    <n v="121047"/>
    <s v="MSNFS"/>
    <n v="1915"/>
    <x v="10"/>
    <s v="Fairfield by Marriott Inn &amp; Suites Madison South"/>
    <x v="30"/>
    <x v="0"/>
  </r>
  <r>
    <x v="17"/>
    <s v="MSPAR"/>
    <n v="121041"/>
    <s v="MSPAR"/>
    <n v="1912"/>
    <x v="10"/>
    <s v="AC Hotel Minneapolis Downtown"/>
    <x v="30"/>
    <x v="0"/>
  </r>
  <r>
    <x v="17"/>
    <s v="MSPCE"/>
    <n v="121063"/>
    <s v="MSPCE"/>
    <n v="1931"/>
    <x v="10"/>
    <s v="Courtyard by Marriott Edina Bloomington"/>
    <x v="30"/>
    <x v="0"/>
  </r>
  <r>
    <x v="17"/>
    <s v="MSPCY"/>
    <n v="121037"/>
    <s v="MSPCY"/>
    <n v="1901"/>
    <x v="10"/>
    <s v="Courtyard by Marriott Bloomington by Mall of America"/>
    <x v="30"/>
    <x v="0"/>
  </r>
  <r>
    <x v="17"/>
    <s v="MSPSU"/>
    <n v="121019"/>
    <s v="MSPSU"/>
    <n v="1879"/>
    <x v="10"/>
    <s v="SpringHill Suites by Marriott St. Paul Downtown"/>
    <x v="30"/>
    <x v="0"/>
  </r>
  <r>
    <x v="17"/>
    <s v="OKCCA"/>
    <n v="213053"/>
    <s v="OKCCA"/>
    <n v="1869"/>
    <x v="11"/>
    <s v="Courtyard by Marriott Oklahoma City Airport"/>
    <x v="30"/>
    <x v="0"/>
  </r>
  <r>
    <x v="17"/>
    <s v="OKCFI"/>
    <n v="213123"/>
    <s v="OKCFI"/>
    <n v="1925"/>
    <x v="11"/>
    <s v="Fairfield by Marriott Inn &amp; Suites Norman"/>
    <x v="30"/>
    <x v="0"/>
  </r>
  <r>
    <x v="17"/>
    <s v="OKCNO"/>
    <n v="213059"/>
    <s v="OKCNO"/>
    <n v="1872"/>
    <x v="11"/>
    <s v="Courtyard by Marriott Norman"/>
    <x v="30"/>
    <x v="0"/>
  </r>
  <r>
    <x v="17"/>
    <s v="OKCNQ"/>
    <n v="213125"/>
    <s v="OKCNQ"/>
    <n v="1927"/>
    <x v="11"/>
    <s v="Courtyard by Marriott Oklahoma City North/Quail Springs"/>
    <x v="30"/>
    <x v="0"/>
  </r>
  <r>
    <x v="17"/>
    <s v="OMACB"/>
    <n v="121053"/>
    <s v="OMACB"/>
    <n v="1920"/>
    <x v="10"/>
    <s v="Fairfield by Marriott Inn &amp; Suites Omaha East/Council Bluffs, IA"/>
    <x v="30"/>
    <x v="0"/>
  </r>
  <r>
    <x v="17"/>
    <s v="OMANW"/>
    <n v="213095"/>
    <s v="OMANW"/>
    <n v="1902"/>
    <x v="11"/>
    <s v="Fairfield by Marriott Inn &amp; Suites Omaha Northwest"/>
    <x v="30"/>
    <x v="0"/>
  </r>
  <r>
    <x v="17"/>
    <s v="OMAOP"/>
    <n v="213075"/>
    <s v="OMAOP"/>
    <n v="1886"/>
    <x v="11"/>
    <s v="Fairfield by Marriott Inn &amp; Suites Omaha Papillion"/>
    <x v="30"/>
    <x v="0"/>
  </r>
  <r>
    <x v="17"/>
    <s v="OMAWF"/>
    <n v="213115"/>
    <s v="OMAWF"/>
    <n v="1918"/>
    <x v="11"/>
    <s v="Fairfield by Marriott Inn &amp; Suites Omaha West"/>
    <x v="30"/>
    <x v="0"/>
  </r>
  <r>
    <x v="17"/>
    <s v="OXRCY"/>
    <n v="213233"/>
    <s v="OXRCY"/>
    <n v="1987"/>
    <x v="11"/>
    <s v="Courtyard by Marriott Ventura Simi Valley"/>
    <x v="30"/>
    <x v="0"/>
  </r>
  <r>
    <x v="17"/>
    <s v="OXRVM"/>
    <n v="213239"/>
    <s v="OXRVM"/>
    <n v="1992"/>
    <x v="11"/>
    <s v="Fairfield by Marriott Inn &amp; Suites Moorpark Ventura County"/>
    <x v="30"/>
    <x v="0"/>
  </r>
  <r>
    <x v="17"/>
    <s v="PDXHL"/>
    <n v="213231"/>
    <s v="PDXHL"/>
    <n v="1986"/>
    <x v="11"/>
    <s v="SpringHill Suites by Marriott Portland Hillsboro"/>
    <x v="30"/>
    <x v="0"/>
  </r>
  <r>
    <x v="17"/>
    <s v="PDXHS"/>
    <n v="213245"/>
    <s v="PDXHS"/>
    <n v="1995"/>
    <x v="11"/>
    <s v="Courtyard by Marriott Portland Hillsboro"/>
    <x v="30"/>
    <x v="0"/>
  </r>
  <r>
    <x v="17"/>
    <s v="PEQFI"/>
    <n v="213047"/>
    <s v="PEQFI"/>
    <n v="1866"/>
    <x v="11"/>
    <s v="Fairfield by Marriott Inn &amp; Suites Pecos"/>
    <x v="30"/>
    <x v="0"/>
  </r>
  <r>
    <x v="17"/>
    <s v="PFNSH"/>
    <n v="121027"/>
    <s v="PFNSH"/>
    <n v="1889"/>
    <x v="10"/>
    <s v="SpringHill Suites by Marriott Panama City Beach Beachfront"/>
    <x v="30"/>
    <x v="0"/>
  </r>
  <r>
    <x v="17"/>
    <s v="PHXDF"/>
    <n v="213243"/>
    <s v="PHXDF"/>
    <n v="1994"/>
    <x v="11"/>
    <s v="Fairfield by Marriott Inn &amp; Suites Scottsdale Old Town"/>
    <x v="30"/>
    <x v="0"/>
  </r>
  <r>
    <x v="17"/>
    <s v="PHXFO"/>
    <n v="213237"/>
    <s v="PHXFO"/>
    <n v="1990"/>
    <x v="11"/>
    <s v="Fairfield by Marriott Inn &amp; Suites Phoenix West Chandler"/>
    <x v="30"/>
    <x v="0"/>
  </r>
  <r>
    <x v="17"/>
    <s v="PIAPE"/>
    <n v="213133"/>
    <s v="PIAPE"/>
    <n v="1934"/>
    <x v="11"/>
    <s v="Fairfield by Marriott Inn &amp; Suites Peoria East"/>
    <x v="30"/>
    <x v="0"/>
  </r>
  <r>
    <x v="17"/>
    <s v="PITFW"/>
    <n v="121011"/>
    <s v="PITFW"/>
    <n v="1863"/>
    <x v="10"/>
    <s v="Fairfield by Marriott Inn &amp; Suites Weirton"/>
    <x v="30"/>
    <x v="0"/>
  </r>
  <r>
    <x v="17"/>
    <s v="RDGJT"/>
    <n v="121013"/>
    <s v="RDGJT"/>
    <n v="1865"/>
    <x v="10"/>
    <s v="Fairfield by Marriott Inn &amp; Suites Jonestown Lebanon Valley"/>
    <x v="30"/>
    <x v="0"/>
  </r>
  <r>
    <x v="17"/>
    <s v="RDUGS"/>
    <n v="121009"/>
    <s v="RDUGS"/>
    <n v="1860"/>
    <x v="10"/>
    <s v="SpringHill Suites by Marriott Raleigh Garner"/>
    <x v="30"/>
    <x v="0"/>
  </r>
  <r>
    <x v="17"/>
    <s v="RDURF"/>
    <n v="213031"/>
    <s v="RDURF"/>
    <n v="1853"/>
    <x v="11"/>
    <s v="Fairfield by Marriott Inn &amp; Suites Durham Southpoint"/>
    <x v="30"/>
    <x v="0"/>
  </r>
  <r>
    <x v="17"/>
    <s v="RDURH"/>
    <n v="213035"/>
    <s v="RDURH"/>
    <n v="1857"/>
    <x v="11"/>
    <s v="SpringHill Suites by Marriott Raleigh Cary"/>
    <x v="30"/>
    <x v="0"/>
  </r>
  <r>
    <x v="17"/>
    <s v="RICST"/>
    <n v="213021"/>
    <s v="RICST"/>
    <n v="1848"/>
    <x v="11"/>
    <s v="Fairfield by Marriott Inn &amp; Suites South Hill I-85"/>
    <x v="30"/>
    <x v="0"/>
  </r>
  <r>
    <x v="17"/>
    <s v="ROCFB"/>
    <n v="213023"/>
    <s v="ROCFB"/>
    <n v="1849"/>
    <x v="11"/>
    <s v="Fairfield by Marriott Inn &amp; Suites Batavia"/>
    <x v="30"/>
    <x v="0"/>
  </r>
  <r>
    <x v="17"/>
    <s v="RWICY"/>
    <n v="213027"/>
    <s v="RWICY"/>
    <n v="1851"/>
    <x v="11"/>
    <s v="Courtyard by Marriott Rocky Mount"/>
    <x v="30"/>
    <x v="0"/>
  </r>
  <r>
    <x v="17"/>
    <s v="SATBO"/>
    <n v="213135"/>
    <s v="SATBO"/>
    <n v="1935"/>
    <x v="11"/>
    <s v="Fairfield by Marriott Inn &amp; Suites San Antonio Boerne"/>
    <x v="30"/>
    <x v="0"/>
  </r>
  <r>
    <x v="17"/>
    <s v="SATTW"/>
    <n v="213117"/>
    <s v="SATTW"/>
    <n v="1921"/>
    <x v="11"/>
    <s v="SpringHill Suites by Marriott San Antonio Downtown/Riverwalk Area"/>
    <x v="30"/>
    <x v="0"/>
  </r>
  <r>
    <x v="17"/>
    <s v="SAVRH"/>
    <n v="213001"/>
    <s v="SAVRH"/>
    <n v="1836"/>
    <x v="11"/>
    <s v="Fairfield by Marriott Inn &amp; Suites Savannah SW/Richmond Hill"/>
    <x v="30"/>
    <x v="0"/>
  </r>
  <r>
    <x v="17"/>
    <s v="SBYOC"/>
    <n v="213009"/>
    <s v="SBYOC"/>
    <n v="1840"/>
    <x v="11"/>
    <s v="Courtyard by Marriott Ocean City Oceanfront"/>
    <x v="30"/>
    <x v="0"/>
  </r>
  <r>
    <x v="17"/>
    <s v="SDFAP"/>
    <n v="213017"/>
    <s v="SDFAP"/>
    <n v="1845"/>
    <x v="11"/>
    <s v="Courtyard by Marriott Louisville Airport"/>
    <x v="30"/>
    <x v="0"/>
  </r>
  <r>
    <x v="17"/>
    <s v="SDFEL"/>
    <n v="213037"/>
    <s v="SDFEL"/>
    <n v="1858"/>
    <x v="11"/>
    <s v="Fairfield by Marriott Inn &amp; Suites Elizabethtown"/>
    <x v="30"/>
    <x v="0"/>
  </r>
  <r>
    <x v="17"/>
    <s v="SDFSE"/>
    <n v="213029"/>
    <s v="SDFSE"/>
    <n v="1852"/>
    <x v="11"/>
    <s v="SpringHill Suites by Marriott Elizabethtown"/>
    <x v="30"/>
    <x v="0"/>
  </r>
  <r>
    <x v="17"/>
    <s v="SGFAP"/>
    <n v="213121"/>
    <s v="SGFAP"/>
    <n v="1923"/>
    <x v="11"/>
    <s v="Courtyard by Marriott Springfield Airport"/>
    <x v="30"/>
    <x v="0"/>
  </r>
  <r>
    <x v="17"/>
    <s v="SGFBN"/>
    <n v="213069"/>
    <s v="SGFBN"/>
    <n v="1880"/>
    <x v="11"/>
    <s v="Fairfield by Marriott Inn &amp; Suites Branson"/>
    <x v="30"/>
    <x v="0"/>
  </r>
  <r>
    <x v="17"/>
    <s v="SJCCN"/>
    <n v="213235"/>
    <s v="SJCCN"/>
    <n v="1989"/>
    <x v="11"/>
    <s v="Courtyard by Marriott Modesto North"/>
    <x v="30"/>
    <x v="0"/>
  </r>
  <r>
    <x v="17"/>
    <s v="SJTSH"/>
    <n v="213139"/>
    <s v="SJTSH"/>
    <n v="1937"/>
    <x v="11"/>
    <s v="SpringHill Suites by Marriott San Angelo"/>
    <x v="30"/>
    <x v="0"/>
  </r>
  <r>
    <x v="17"/>
    <s v="SLCFS"/>
    <n v="213169"/>
    <s v="SLCFS"/>
    <n v="1953"/>
    <x v="11"/>
    <s v="Fairfield by Marriott Inn &amp; Suites Salt Lake City Southwest"/>
    <x v="30"/>
    <x v="0"/>
  </r>
  <r>
    <x v="17"/>
    <s v="SLKCY"/>
    <n v="213019"/>
    <s v="SLKCY"/>
    <n v="1847"/>
    <x v="11"/>
    <s v="Courtyard by Marriott Lake Placid"/>
    <x v="30"/>
    <x v="0"/>
  </r>
  <r>
    <x v="17"/>
    <s v="SPAAC"/>
    <n v="213039"/>
    <s v="SPAAC"/>
    <n v="1859"/>
    <x v="11"/>
    <s v="AC Hotel Spartanburg"/>
    <x v="30"/>
    <x v="0"/>
  </r>
  <r>
    <x v="17"/>
    <s v="SPICY"/>
    <n v="213063"/>
    <s v="SPICY"/>
    <n v="1874"/>
    <x v="11"/>
    <s v="Courtyard by Marriott Springfield"/>
    <x v="30"/>
    <x v="0"/>
  </r>
  <r>
    <x v="17"/>
    <s v="SPZFI"/>
    <n v="213073"/>
    <s v="SPZFI"/>
    <n v="1884"/>
    <x v="11"/>
    <s v="Fairfield by Marriott Inn &amp; Suites Springdale"/>
    <x v="30"/>
    <x v="0"/>
  </r>
  <r>
    <x v="17"/>
    <s v="SQIPR"/>
    <n v="213127"/>
    <s v="SQIPR"/>
    <n v="1930"/>
    <x v="11"/>
    <s v="Fairfield by Marriott Inn &amp; Suites Peru"/>
    <x v="30"/>
    <x v="0"/>
  </r>
  <r>
    <x v="17"/>
    <s v="SRQVC"/>
    <n v="213011"/>
    <s v="SRQVC"/>
    <n v="1841"/>
    <x v="11"/>
    <s v="Fairfield by Marriott Inn &amp; Suites Venice"/>
    <x v="30"/>
    <x v="0"/>
  </r>
  <r>
    <x v="17"/>
    <s v="STEFI"/>
    <n v="213049"/>
    <s v="STEFI"/>
    <n v="1867"/>
    <x v="11"/>
    <s v="Fairfield by Marriott Inn &amp; Suites Stevens Point"/>
    <x v="30"/>
    <x v="0"/>
  </r>
  <r>
    <x v="17"/>
    <s v="SUXSF"/>
    <n v="213079"/>
    <s v="SUXSF"/>
    <n v="1888"/>
    <x v="11"/>
    <s v="Fairfield by Marriott Inn &amp; Suites Sioux Center"/>
    <x v="30"/>
    <x v="0"/>
  </r>
  <r>
    <x v="17"/>
    <s v="SYRFR"/>
    <n v="213005"/>
    <s v="SYRFR"/>
    <n v="1838"/>
    <x v="11"/>
    <s v="Fairfield by Marriott Inn &amp; Suites Rome NY"/>
    <x v="30"/>
    <x v="0"/>
  </r>
  <r>
    <x v="17"/>
    <s v="TBNFI"/>
    <n v="213105"/>
    <s v="TBNFI"/>
    <n v="1907"/>
    <x v="11"/>
    <s v="Fairfield Inn Fort Leonard Wood St. Robert"/>
    <x v="30"/>
    <x v="0"/>
  </r>
  <r>
    <x v="17"/>
    <s v="TLHST"/>
    <n v="213003"/>
    <s v="TLHST"/>
    <n v="1837"/>
    <x v="11"/>
    <s v="SpringHill Suites by Marriott Tallahassee North"/>
    <x v="30"/>
    <x v="0"/>
  </r>
  <r>
    <x v="17"/>
    <s v="TPABR"/>
    <n v="213025"/>
    <s v="TPABR"/>
    <n v="1850"/>
    <x v="11"/>
    <s v="Courtyard by Marriott Tampa Brandon"/>
    <x v="30"/>
    <x v="0"/>
  </r>
  <r>
    <x v="17"/>
    <s v="TPADS"/>
    <n v="213043"/>
    <s v="TPADS"/>
    <n v="1862"/>
    <x v="11"/>
    <s v="SpringHill Suites by Marriott Tampa Downtown"/>
    <x v="30"/>
    <x v="0"/>
  </r>
  <r>
    <x v="17"/>
    <s v="TPAFI"/>
    <n v="213015"/>
    <s v="TPAFI"/>
    <n v="1843"/>
    <x v="11"/>
    <s v="Fairfield by Marriott Inn &amp; Suites Tampa Brandon"/>
    <x v="30"/>
    <x v="0"/>
  </r>
  <r>
    <x v="17"/>
    <s v="TRICY"/>
    <n v="213013"/>
    <s v="TRICY"/>
    <n v="1842"/>
    <x v="11"/>
    <s v="Courtyard by Marriott Bristol"/>
    <x v="30"/>
    <x v="0"/>
  </r>
  <r>
    <x v="17"/>
    <s v="TTNET"/>
    <n v="213045"/>
    <s v="TTNET"/>
    <n v="1864"/>
    <x v="11"/>
    <s v="Courtyard by Marriott Ewing Princeton"/>
    <x v="30"/>
    <x v="0"/>
  </r>
  <r>
    <x v="17"/>
    <s v="TTNSH"/>
    <n v="213033"/>
    <s v="TTNSH"/>
    <n v="1855"/>
    <x v="11"/>
    <s v="SpringHill Suites by Marriott Ewing Princeton South"/>
    <x v="30"/>
    <x v="0"/>
  </r>
  <r>
    <x v="17"/>
    <s v="TULBV"/>
    <n v="213101"/>
    <s v="TULBV"/>
    <n v="1905"/>
    <x v="11"/>
    <s v="Fairfield by Marriott Inn &amp; Suites Bartlesville"/>
    <x v="30"/>
    <x v="0"/>
  </r>
  <r>
    <x v="17"/>
    <s v="TULCY"/>
    <n v="213091"/>
    <s v="TULCY"/>
    <n v="1899"/>
    <x v="11"/>
    <s v="Courtyard by Marriott Tulsa Central"/>
    <x v="30"/>
    <x v="0"/>
  </r>
  <r>
    <x v="17"/>
    <s v="TULTD"/>
    <n v="213065"/>
    <s v="TULTD"/>
    <n v="1877"/>
    <x v="11"/>
    <s v="Courtyard by Marriott Tulsa Downtown"/>
    <x v="30"/>
    <x v="0"/>
  </r>
  <r>
    <x v="17"/>
    <s v="TULWH"/>
    <n v="213057"/>
    <s v="TULWH"/>
    <n v="1871"/>
    <x v="11"/>
    <s v="Courtyard by Marriott Tulsa Woodland Hills"/>
    <x v="30"/>
    <x v="0"/>
  </r>
  <r>
    <x v="17"/>
    <s v="TVCCY"/>
    <n v="213007"/>
    <s v="TVCCY"/>
    <n v="1839"/>
    <x v="11"/>
    <s v="Courtyard by Marriott Traverse City"/>
    <x v="30"/>
    <x v="0"/>
  </r>
  <r>
    <x v="17"/>
    <s v="TXKFI"/>
    <n v="213081"/>
    <s v="TXKFI"/>
    <n v="1890"/>
    <x v="11"/>
    <s v="Fairfield by Marriott Inn &amp; Suites Texarkana"/>
    <x v="30"/>
    <x v="0"/>
  </r>
  <r>
    <x v="17"/>
    <s v="TYRCY"/>
    <n v="213119"/>
    <s v="TYRCY"/>
    <n v="1922"/>
    <x v="11"/>
    <s v="Courtyard by Marriott Tyler"/>
    <x v="30"/>
    <x v="0"/>
  </r>
  <r>
    <x v="17"/>
    <s v="TYRVT"/>
    <n v="213087"/>
    <s v="TYRVT"/>
    <n v="1897"/>
    <x v="11"/>
    <s v="Fairfield by Marriott Inn &amp; Suites Van Canton Area"/>
    <x v="30"/>
    <x v="0"/>
  </r>
  <r>
    <x v="17"/>
    <s v="TYSCK"/>
    <n v="213041"/>
    <s v="TYSCK"/>
    <n v="1861"/>
    <x v="11"/>
    <s v="Courtyard by Marriott Knoxville West/Bearden"/>
    <x v="30"/>
    <x v="0"/>
  </r>
  <r>
    <x v="17"/>
    <s v="TYSFF"/>
    <n v="121093"/>
    <s v="TYSFF"/>
    <n v="2005"/>
    <x v="10"/>
    <s v="Fairfield by Marriott Inn &amp; Suites Pigeon Forge"/>
    <x v="30"/>
    <x v="0"/>
  </r>
  <r>
    <x v="17"/>
    <s v="TYSKY"/>
    <n v="121089"/>
    <s v="TYSKY"/>
    <n v="2003"/>
    <x v="10"/>
    <s v="Courtyard by Marriott Kodak Sevierville"/>
    <x v="30"/>
    <x v="0"/>
  </r>
  <r>
    <x v="17"/>
    <s v="UINQU"/>
    <n v="121077"/>
    <s v="UINQU"/>
    <n v="1997"/>
    <x v="10"/>
    <s v="Fairfield by Marriott Inn &amp; Suites Quincy"/>
    <x v="30"/>
    <x v="0"/>
  </r>
  <r>
    <x v="17"/>
    <s v="VCTCU"/>
    <n v="121057"/>
    <s v="VCTCU"/>
    <n v="1926"/>
    <x v="10"/>
    <s v="Fairfield by Marriott Inn &amp; Suites Cuero"/>
    <x v="30"/>
    <x v="0"/>
  </r>
  <r>
    <x v="17"/>
    <s v="WASAD"/>
    <n v="121085"/>
    <s v="WASAD"/>
    <n v="2001"/>
    <x v="10"/>
    <s v="AC Hotel Washington DC Downtown"/>
    <x v="30"/>
    <x v="0"/>
  </r>
  <r>
    <x v="17"/>
    <s v="WASPM"/>
    <n v="121083"/>
    <s v="WASPM"/>
    <n v="2000"/>
    <x v="10"/>
    <s v="Fairfield by Marriott Inn &amp; Suites Potomac Mills Woodbridge"/>
    <x v="30"/>
    <x v="0"/>
  </r>
  <r>
    <x v="17"/>
    <s v="WASXF"/>
    <n v="121095"/>
    <s v="WASXF"/>
    <n v="2006"/>
    <x v="10"/>
    <s v="Fairfield by Marriott Inn &amp; Suites Alexandria"/>
    <x v="30"/>
    <x v="0"/>
  </r>
  <r>
    <x v="17"/>
    <s v="WCOFI"/>
    <n v="121075"/>
    <s v="WCOFI"/>
    <n v="1996"/>
    <x v="10"/>
    <s v="Fairfield by Marriott Inn &amp; Suites Waco South"/>
    <x v="30"/>
    <x v="0"/>
  </r>
  <r>
    <x v="17"/>
    <s v="WCOSH"/>
    <n v="121081"/>
    <s v="WCOSH"/>
    <n v="1999"/>
    <x v="10"/>
    <s v="SpringHill Suites by Marriott Waco Woodway"/>
    <x v="30"/>
    <x v="0"/>
  </r>
  <r>
    <x v="17"/>
    <s v="WCTCY"/>
    <n v="121079"/>
    <s v="WCTCY"/>
    <n v="1998"/>
    <x v="10"/>
    <s v="Courtyard by Marriott Wichita Falls"/>
    <x v="30"/>
    <x v="0"/>
  </r>
  <r>
    <x v="17"/>
    <s v="WGOFI"/>
    <n v="121091"/>
    <s v="WGOFI"/>
    <n v="2004"/>
    <x v="10"/>
    <s v="Fairfield by Marriott Inn &amp; Suites Winchester"/>
    <x v="30"/>
    <x v="0"/>
  </r>
  <r>
    <x v="17"/>
    <s v="WJFSH"/>
    <n v="121073"/>
    <s v="WJFSH"/>
    <n v="1991"/>
    <x v="10"/>
    <s v="SpringHill Suites by Marriott Lancaster Palmdale"/>
    <x v="30"/>
    <x v="0"/>
  </r>
  <r>
    <x v="17"/>
    <s v="YKMFI"/>
    <n v="121071"/>
    <s v="YKMFI"/>
    <n v="1988"/>
    <x v="10"/>
    <s v="Fairfield by Marriott Inn &amp; Suites Yakima"/>
    <x v="30"/>
    <x v="0"/>
  </r>
  <r>
    <x v="17"/>
    <s v="YOWCY"/>
    <n v="121087"/>
    <s v="YOWCY"/>
    <n v="2002"/>
    <x v="10"/>
    <s v="Courtyard by Marriott Ottawa Downtown"/>
    <x v="30"/>
    <x v="0"/>
  </r>
  <r>
    <x v="18"/>
    <s v="ATLAO"/>
    <n v="122007"/>
    <s v="ATLAO"/>
    <n v="2014"/>
    <x v="12"/>
    <s v="AC Hotel Atlanta Perimeter"/>
    <x v="31"/>
    <x v="0"/>
  </r>
  <r>
    <x v="18"/>
    <s v="ATLAY"/>
    <n v="122037"/>
    <s v="ATLAY"/>
    <n v="2029"/>
    <x v="12"/>
    <s v="Courtyard by Marriott Athens Downtown"/>
    <x v="31"/>
    <x v="0"/>
  </r>
  <r>
    <x v="18"/>
    <s v="ATLCR"/>
    <n v="122063"/>
    <s v="ATLCR"/>
    <n v="2042"/>
    <x v="12"/>
    <s v="Courtyard by Marriott Atlanta Conyers"/>
    <x v="31"/>
    <x v="0"/>
  </r>
  <r>
    <x v="18"/>
    <s v="ATLDK"/>
    <n v="122005"/>
    <s v="ATLDK"/>
    <n v="2013"/>
    <x v="12"/>
    <s v="Courtyard by Marriott Atlanta Marietta/I-75 North"/>
    <x v="31"/>
    <x v="0"/>
  </r>
  <r>
    <x v="18"/>
    <s v="ATLGA"/>
    <n v="122025"/>
    <s v="ATLGA"/>
    <n v="2023"/>
    <x v="12"/>
    <s v="Fairfield by Marriott Inn &amp; Suites Atlanta Gwinnett Place"/>
    <x v="31"/>
    <x v="0"/>
  </r>
  <r>
    <x v="18"/>
    <s v="ATLLN"/>
    <n v="122047"/>
    <s v="ATLLN"/>
    <n v="2034"/>
    <x v="12"/>
    <s v="Fairfield by Marriott Inn &amp; Suites Atlanta Stonecrest"/>
    <x v="31"/>
    <x v="0"/>
  </r>
  <r>
    <x v="18"/>
    <s v="ATLMD"/>
    <n v="122173"/>
    <s v="ATLMD"/>
    <n v="2097"/>
    <x v="12"/>
    <s v="Fairfield by Marriott Inn &amp; Suites Atlanta McDonough"/>
    <x v="31"/>
    <x v="0"/>
  </r>
  <r>
    <x v="18"/>
    <s v="ATLNG"/>
    <n v="122181"/>
    <s v="ATLNG"/>
    <n v="2101"/>
    <x v="12"/>
    <s v="Fairfield by Marriott Inn &amp; Suites Atlanta Cumming/Johns Creek"/>
    <x v="31"/>
    <x v="0"/>
  </r>
  <r>
    <x v="18"/>
    <s v="ATLNL"/>
    <n v="122079"/>
    <s v="ATLNL"/>
    <n v="2050"/>
    <x v="12"/>
    <s v="Courtyard by Marriott Atlanta Northlake"/>
    <x v="31"/>
    <x v="0"/>
  </r>
  <r>
    <x v="18"/>
    <s v="ATLSU"/>
    <n v="122125"/>
    <s v="ATLSU"/>
    <n v="2073"/>
    <x v="12"/>
    <s v="Courtyard by Marriott Atlanta Suwanee"/>
    <x v="31"/>
    <x v="0"/>
  </r>
  <r>
    <x v="18"/>
    <s v="ATLSZ"/>
    <n v="122167"/>
    <s v="ATLSZ"/>
    <n v="2094"/>
    <x v="12"/>
    <s v="Fairfield by Marriott Inn &amp; Suites Atlanta Airport North"/>
    <x v="31"/>
    <x v="0"/>
  </r>
  <r>
    <x v="18"/>
    <s v="ATLYH"/>
    <n v="122041"/>
    <s v="ATLYH"/>
    <n v="2031"/>
    <x v="12"/>
    <s v="SpringHill Suites by Marriott Conyers"/>
    <x v="31"/>
    <x v="0"/>
  </r>
  <r>
    <x v="18"/>
    <s v="AUSAN"/>
    <n v="213269"/>
    <s v="AUSAN"/>
    <n v="2126"/>
    <x v="11"/>
    <s v="SpringHill Suites by Marriott Austin Round Rock"/>
    <x v="31"/>
    <x v="0"/>
  </r>
  <r>
    <x v="18"/>
    <s v="AVLAB"/>
    <n v="122123"/>
    <s v="AVLAB"/>
    <n v="2072"/>
    <x v="12"/>
    <s v="AC Hotel Asheville Biltmore Village"/>
    <x v="31"/>
    <x v="0"/>
  </r>
  <r>
    <x v="18"/>
    <s v="AZOFW"/>
    <n v="122121"/>
    <s v="AZOFW"/>
    <n v="2071"/>
    <x v="12"/>
    <s v="Fairfield Inn Kalamazoo West"/>
    <x v="31"/>
    <x v="0"/>
  </r>
  <r>
    <x v="18"/>
    <s v="BHMFD"/>
    <n v="122215"/>
    <s v="BHMFD"/>
    <n v="2154"/>
    <x v="12"/>
    <s v="Fairfield by Marriott Inn &amp; Suites Birmingham Downtown"/>
    <x v="31"/>
    <x v="0"/>
  </r>
  <r>
    <x v="18"/>
    <s v="BKWCY"/>
    <n v="122115"/>
    <s v="BKWCY"/>
    <n v="2068"/>
    <x v="12"/>
    <s v="Courtyard by Marriott Beckley"/>
    <x v="31"/>
    <x v="0"/>
  </r>
  <r>
    <x v="18"/>
    <s v="BOSBL"/>
    <n v="122189"/>
    <s v="BOSBL"/>
    <n v="2105"/>
    <x v="12"/>
    <s v="Courtyard by Marriott Boston Brookline"/>
    <x v="31"/>
    <x v="0"/>
  </r>
  <r>
    <x v="18"/>
    <s v="BOSCD"/>
    <n v="122113"/>
    <s v="BOSCD"/>
    <n v="2067"/>
    <x v="12"/>
    <s v="AC Hotel Boston Downtown"/>
    <x v="31"/>
    <x v="0"/>
  </r>
  <r>
    <x v="18"/>
    <s v="BOSCW"/>
    <n v="122143"/>
    <s v="BOSCW"/>
    <n v="2082"/>
    <x v="12"/>
    <s v="Courtyard by Marriott Boston Woburn/Boston North"/>
    <x v="31"/>
    <x v="0"/>
  </r>
  <r>
    <x v="18"/>
    <s v="BOSSO"/>
    <n v="122093"/>
    <s v="BOSSO"/>
    <n v="2057"/>
    <x v="12"/>
    <s v="Courtyard by Marriott Boston-South Boston"/>
    <x v="31"/>
    <x v="0"/>
  </r>
  <r>
    <x v="18"/>
    <s v="BOSWM"/>
    <n v="122165"/>
    <s v="BOSWM"/>
    <n v="2093"/>
    <x v="12"/>
    <s v="Courtyard by Marriott Boston Waltham"/>
    <x v="31"/>
    <x v="0"/>
  </r>
  <r>
    <x v="18"/>
    <s v="BWIBA"/>
    <n v="122153"/>
    <s v="BWIBA"/>
    <n v="2087"/>
    <x v="12"/>
    <s v="SpringHill Suites by Marriott Arundel Mills BWI Airport"/>
    <x v="31"/>
    <x v="0"/>
  </r>
  <r>
    <x v="18"/>
    <s v="CAECH"/>
    <n v="122177"/>
    <s v="CAECH"/>
    <n v="2099"/>
    <x v="12"/>
    <s v="SpringHill Suites by Marriott Camden"/>
    <x v="31"/>
    <x v="0"/>
  </r>
  <r>
    <x v="18"/>
    <s v="CAESO"/>
    <n v="122101"/>
    <s v="CAESO"/>
    <n v="2061"/>
    <x v="12"/>
    <s v="SpringHill Suites by Marriott Orangeburg"/>
    <x v="31"/>
    <x v="0"/>
  </r>
  <r>
    <x v="18"/>
    <s v="CHSNC"/>
    <n v="122183"/>
    <s v="CHSNC"/>
    <n v="2102"/>
    <x v="12"/>
    <s v="SpringHill Suites by Marriott Charleston North/Ashley Phosphate"/>
    <x v="31"/>
    <x v="0"/>
  </r>
  <r>
    <x v="18"/>
    <s v="CLECE"/>
    <n v="122159"/>
    <s v="CLECE"/>
    <n v="2090"/>
    <x v="12"/>
    <s v="Courtyard by Marriott Cleveland University Circle"/>
    <x v="31"/>
    <x v="0"/>
  </r>
  <r>
    <x v="18"/>
    <s v="CLELY"/>
    <n v="122155"/>
    <s v="CLELY"/>
    <n v="2088"/>
    <x v="12"/>
    <s v="Courtyard by Marriott Cleveland Elyria"/>
    <x v="31"/>
    <x v="0"/>
  </r>
  <r>
    <x v="18"/>
    <s v="CLTCA"/>
    <n v="122077"/>
    <s v="CLTCA"/>
    <n v="2049"/>
    <x v="12"/>
    <s v="Courtyard by Marriott Charlotte Airport North"/>
    <x v="31"/>
    <x v="0"/>
  </r>
  <r>
    <x v="18"/>
    <s v="CLTDX"/>
    <n v="122065"/>
    <s v="CLTDX"/>
    <n v="2043"/>
    <x v="12"/>
    <s v="Moxy Charlotte Downtown"/>
    <x v="31"/>
    <x v="0"/>
  </r>
  <r>
    <x v="18"/>
    <s v="CLTSR"/>
    <n v="122117"/>
    <s v="CLTSR"/>
    <n v="2069"/>
    <x v="12"/>
    <s v="SpringHill Suites by Marriott Charlotte at Carowinds"/>
    <x v="31"/>
    <x v="0"/>
  </r>
  <r>
    <x v="18"/>
    <s v="CLTSU"/>
    <n v="122147"/>
    <s v="CLTSU"/>
    <n v="2084"/>
    <x v="12"/>
    <s v="SpringHill Suites by Marriott Charlotte Huntersville"/>
    <x v="31"/>
    <x v="0"/>
  </r>
  <r>
    <x v="18"/>
    <s v="CLTUP"/>
    <n v="122085"/>
    <s v="CLTUP"/>
    <n v="2053"/>
    <x v="12"/>
    <s v="Courtyard by Marriott Charlotte City Center"/>
    <x v="31"/>
    <x v="0"/>
  </r>
  <r>
    <x v="18"/>
    <s v="CMHFB"/>
    <n v="122061"/>
    <s v="CMHFB"/>
    <n v="2041"/>
    <x v="12"/>
    <s v="Fairfield by Marriott Inn &amp; Suites Columbus New Albany"/>
    <x v="31"/>
    <x v="0"/>
  </r>
  <r>
    <x v="18"/>
    <s v="CMHMA"/>
    <n v="122003"/>
    <s v="CMHMA"/>
    <n v="2012"/>
    <x v="12"/>
    <s v="Fairfield by Marriott Inn &amp; Suites Mansfield Ontario"/>
    <x v="31"/>
    <x v="0"/>
  </r>
  <r>
    <x v="18"/>
    <s v="CMHNK"/>
    <n v="122141"/>
    <s v="CMHNK"/>
    <n v="2081"/>
    <x v="12"/>
    <s v="Courtyard by Marriott Newark Granville"/>
    <x v="31"/>
    <x v="0"/>
  </r>
  <r>
    <x v="18"/>
    <s v="CMHSU"/>
    <n v="122057"/>
    <s v="CMHSU"/>
    <n v="2039"/>
    <x v="12"/>
    <s v="Fairfield by Marriott Inn &amp; Suites Columbus OSU"/>
    <x v="31"/>
    <x v="0"/>
  </r>
  <r>
    <x v="18"/>
    <s v="DALCM"/>
    <n v="213307"/>
    <s v="DALCM"/>
    <n v="2148"/>
    <x v="11"/>
    <s v="Courtyard by Marriott Dallas Mesquite"/>
    <x v="31"/>
    <x v="0"/>
  </r>
  <r>
    <x v="18"/>
    <s v="DALFM"/>
    <n v="213279"/>
    <s v="DALFM"/>
    <n v="2131"/>
    <x v="11"/>
    <s v="Fairfield by Marriott Inn &amp; Suites Dallas Mansfield"/>
    <x v="31"/>
    <x v="0"/>
  </r>
  <r>
    <x v="18"/>
    <s v="DALLE"/>
    <n v="213305"/>
    <s v="DALLE"/>
    <n v="2147"/>
    <x v="11"/>
    <s v="Fairfield by Marriott Inn &amp; Suites Dallas Lewisville"/>
    <x v="31"/>
    <x v="0"/>
  </r>
  <r>
    <x v="18"/>
    <s v="DALPF"/>
    <n v="213273"/>
    <s v="DALPF"/>
    <n v="2128"/>
    <x v="11"/>
    <s v="Fairfield by Marriott Inn &amp; Suites Dallas Plano/Frisco"/>
    <x v="31"/>
    <x v="0"/>
  </r>
  <r>
    <x v="18"/>
    <s v="DALPS"/>
    <n v="213255"/>
    <s v="DALPS"/>
    <n v="2117"/>
    <x v="11"/>
    <s v="SpringHill Suites by Marriott Dallas Plano/Frisco"/>
    <x v="31"/>
    <x v="0"/>
  </r>
  <r>
    <x v="18"/>
    <s v="DALRL"/>
    <n v="213267"/>
    <s v="DALRL"/>
    <n v="2125"/>
    <x v="11"/>
    <s v="Courtyard by Marriott Dallas Carrollton and Carrollton Conference Center"/>
    <x v="31"/>
    <x v="0"/>
  </r>
  <r>
    <x v="18"/>
    <s v="DALSR"/>
    <n v="213271"/>
    <s v="DALSR"/>
    <n v="2127"/>
    <x v="11"/>
    <s v="SpringHill Suites by Marriott Dallas Richardson/Plano"/>
    <x v="31"/>
    <x v="0"/>
  </r>
  <r>
    <x v="18"/>
    <s v="DALSW"/>
    <n v="213253"/>
    <s v="DALSW"/>
    <n v="2116"/>
    <x v="11"/>
    <s v="Courtyard by Marriott Fort Worth West at Cityview"/>
    <x v="31"/>
    <x v="0"/>
  </r>
  <r>
    <x v="18"/>
    <s v="DALWX"/>
    <n v="213293"/>
    <s v="DALWX"/>
    <n v="2139"/>
    <x v="11"/>
    <s v="Fairfield by Marriott Inn &amp; Suites Dallas Waxahachie"/>
    <x v="31"/>
    <x v="0"/>
  </r>
  <r>
    <x v="18"/>
    <s v="DECDE"/>
    <n v="213289"/>
    <s v="DECDE"/>
    <n v="2136"/>
    <x v="11"/>
    <s v="Fairfield Inn Forsyth Decatur"/>
    <x v="31"/>
    <x v="0"/>
  </r>
  <r>
    <x v="18"/>
    <s v="DFWAR"/>
    <n v="213281"/>
    <s v="DFWAR"/>
    <n v="2132"/>
    <x v="11"/>
    <s v="Fairfield by Marriott Inn &amp; Suites Arlington Near Six Flags"/>
    <x v="31"/>
    <x v="0"/>
  </r>
  <r>
    <x v="18"/>
    <s v="DFWCF"/>
    <n v="213287"/>
    <s v="DFWCF"/>
    <n v="2135"/>
    <x v="11"/>
    <s v="Fairfield by Marriott Inn &amp; Suites Corinth South Denton Area"/>
    <x v="31"/>
    <x v="0"/>
  </r>
  <r>
    <x v="18"/>
    <s v="DFWCN"/>
    <n v="213315"/>
    <s v="DFWCN"/>
    <n v="2152"/>
    <x v="11"/>
    <s v="Courtyard by Marriott Fort Worth Historic Stockyards"/>
    <x v="31"/>
    <x v="0"/>
  </r>
  <r>
    <x v="18"/>
    <s v="DFWJR"/>
    <n v="213295"/>
    <s v="DFWJR"/>
    <n v="2142"/>
    <x v="11"/>
    <s v="Fairfield by Marriott Inn &amp; Suites Fort Worth I-30 West Near NAS JRB"/>
    <x v="31"/>
    <x v="0"/>
  </r>
  <r>
    <x v="18"/>
    <s v="DFWNF"/>
    <n v="213291"/>
    <s v="DFWNF"/>
    <n v="2138"/>
    <x v="11"/>
    <s v="Fairfield by Marriott Inn &amp; Suites Fort Worth/Fossil Creek"/>
    <x v="31"/>
    <x v="0"/>
  </r>
  <r>
    <x v="18"/>
    <s v="DFWSY"/>
    <n v="213275"/>
    <s v="DFWSY"/>
    <n v="2129"/>
    <x v="11"/>
    <s v="SpringHill Suites by Marriott Fort Worth Historic Stockyards"/>
    <x v="31"/>
    <x v="0"/>
  </r>
  <r>
    <x v="18"/>
    <s v="DFWWL"/>
    <n v="213263"/>
    <s v="DFWWL"/>
    <n v="2123"/>
    <x v="11"/>
    <s v="Courtyard by Marriott Fort Worth I-30 West Near NAS JRB"/>
    <x v="31"/>
    <x v="0"/>
  </r>
  <r>
    <x v="18"/>
    <s v="DMOFI"/>
    <n v="213317"/>
    <s v="DMOFI"/>
    <n v="2153"/>
    <x v="11"/>
    <s v="Fairfield by Marriott Inn &amp; Suites Warrensburg"/>
    <x v="31"/>
    <x v="0"/>
  </r>
  <r>
    <x v="18"/>
    <s v="DTWRA"/>
    <n v="122067"/>
    <s v="DTWRA"/>
    <n v="2044"/>
    <x v="12"/>
    <s v="SpringHill Suites by Marriott Detroit Auburn Hills"/>
    <x v="31"/>
    <x v="0"/>
  </r>
  <r>
    <x v="18"/>
    <s v="DTWSD"/>
    <n v="122109"/>
    <s v="DTWSD"/>
    <n v="2065"/>
    <x v="12"/>
    <s v="SpringHill Suites by Marriott Detroit Southfield"/>
    <x v="31"/>
    <x v="0"/>
  </r>
  <r>
    <x v="18"/>
    <s v="ERICY"/>
    <n v="122185"/>
    <s v="ERICY"/>
    <n v="2103"/>
    <x v="12"/>
    <s v="Courtyard by Marriott Erie Ambassador Conference Center"/>
    <x v="31"/>
    <x v="0"/>
  </r>
  <r>
    <x v="18"/>
    <s v="EUGFI"/>
    <n v="213327"/>
    <s v="EUGFI"/>
    <n v="2160"/>
    <x v="11"/>
    <s v="Fairfield by Marriott Inn &amp; Suites Eugene East/Springfield"/>
    <x v="31"/>
    <x v="0"/>
  </r>
  <r>
    <x v="18"/>
    <s v="EWRWB"/>
    <n v="122039"/>
    <s v="EWRWB"/>
    <n v="2030"/>
    <x v="12"/>
    <s v="Fairfield by Marriott Inn &amp; Suites Woodbridge"/>
    <x v="31"/>
    <x v="0"/>
  </r>
  <r>
    <x v="18"/>
    <s v="FARFI"/>
    <n v="122209"/>
    <s v="FARFI"/>
    <n v="2137"/>
    <x v="12"/>
    <s v="Fairfield by Marriott Inn &amp; Suites Fargo"/>
    <x v="31"/>
    <x v="0"/>
  </r>
  <r>
    <x v="18"/>
    <s v="FATCC"/>
    <n v="213351"/>
    <s v="FATCC"/>
    <n v="2172"/>
    <x v="11"/>
    <s v="Courtyard by Marriott Fresno Clovis"/>
    <x v="31"/>
    <x v="0"/>
  </r>
  <r>
    <x v="18"/>
    <s v="FATCV"/>
    <n v="213333"/>
    <s v="FATCV"/>
    <n v="2163"/>
    <x v="11"/>
    <s v="Fairfield by Marriott Inn &amp; Suites Fresno Clovis"/>
    <x v="31"/>
    <x v="0"/>
  </r>
  <r>
    <x v="18"/>
    <s v="FATFN"/>
    <n v="213357"/>
    <s v="FATFN"/>
    <n v="2175"/>
    <x v="11"/>
    <s v="Fairfield by Marriott Inn &amp; Suites Fresno River Park"/>
    <x v="31"/>
    <x v="0"/>
  </r>
  <r>
    <x v="18"/>
    <s v="FATKB"/>
    <n v="213343"/>
    <s v="FATKB"/>
    <n v="2168"/>
    <x v="11"/>
    <s v="Fairfield by Marriott Inn &amp; Suites Selma Kingsburg"/>
    <x v="31"/>
    <x v="0"/>
  </r>
  <r>
    <x v="18"/>
    <s v="FATNO"/>
    <n v="213331"/>
    <s v="FATNO"/>
    <n v="2162"/>
    <x v="11"/>
    <s v="Fairfield by Marriott Inn &amp; Suites Fresno North/Shaw Avenue"/>
    <x v="31"/>
    <x v="0"/>
  </r>
  <r>
    <x v="18"/>
    <s v="FNTCY"/>
    <n v="122169"/>
    <s v="FNTCY"/>
    <n v="2095"/>
    <x v="12"/>
    <s v="Courtyard by Marriott Flint Grand Blanc"/>
    <x v="31"/>
    <x v="0"/>
  </r>
  <r>
    <x v="18"/>
    <s v="FSTFI"/>
    <n v="213261"/>
    <s v="FSTFI"/>
    <n v="2122"/>
    <x v="11"/>
    <s v="Fairfield by Marriott Inn &amp; Suites Fort Stockton"/>
    <x v="31"/>
    <x v="0"/>
  </r>
  <r>
    <x v="18"/>
    <s v="FWAFN"/>
    <n v="122199"/>
    <s v="FWAFN"/>
    <n v="2110"/>
    <x v="12"/>
    <s v="SpringHill Suites by Marriott Fort Wayne North"/>
    <x v="31"/>
    <x v="0"/>
  </r>
  <r>
    <x v="18"/>
    <s v="FWAFW"/>
    <n v="122055"/>
    <s v="FWAFW"/>
    <n v="2038"/>
    <x v="12"/>
    <s v="Fairfield by Marriott Inn &amp; Suites Warsaw"/>
    <x v="31"/>
    <x v="0"/>
  </r>
  <r>
    <x v="18"/>
    <s v="GEGFV"/>
    <n v="213355"/>
    <s v="GEGFV"/>
    <n v="2174"/>
    <x v="11"/>
    <s v="Fairfield by Marriott Inn &amp; Suites Spokane Valley"/>
    <x v="31"/>
    <x v="0"/>
  </r>
  <r>
    <x v="18"/>
    <s v="GEGPS"/>
    <n v="213337"/>
    <s v="GEGPS"/>
    <n v="2165"/>
    <x v="11"/>
    <s v="SpringHill Suites by Marriott Sandpoint"/>
    <x v="31"/>
    <x v="0"/>
  </r>
  <r>
    <x v="18"/>
    <s v="GNVLC"/>
    <n v="122049"/>
    <s v="GNVLC"/>
    <n v="2035"/>
    <x v="12"/>
    <s v="Fairfield by Marriott Inn &amp; Suites Lake City"/>
    <x v="31"/>
    <x v="0"/>
  </r>
  <r>
    <x v="18"/>
    <s v="GONCY"/>
    <n v="122133"/>
    <s v="GONCY"/>
    <n v="2077"/>
    <x v="12"/>
    <s v="Courtyard by Marriott Norwich"/>
    <x v="31"/>
    <x v="0"/>
  </r>
  <r>
    <x v="18"/>
    <s v="GRRSE"/>
    <n v="122021"/>
    <s v="GRRSE"/>
    <n v="2021"/>
    <x v="12"/>
    <s v="SpringHill Suites by Marriott Grand Rapids Airport Southeast"/>
    <x v="31"/>
    <x v="0"/>
  </r>
  <r>
    <x v="18"/>
    <s v="HARFC"/>
    <n v="122175"/>
    <s v="HARFC"/>
    <n v="2098"/>
    <x v="12"/>
    <s v="Fairfield by Marriott Inn &amp; Suites Carlisle"/>
    <x v="31"/>
    <x v="0"/>
  </r>
  <r>
    <x v="18"/>
    <s v="HARFM"/>
    <n v="122145"/>
    <s v="HARFM"/>
    <n v="2083"/>
    <x v="12"/>
    <s v="Fairfield by Marriott Inn &amp; Suites Harrisburg International Airport"/>
    <x v="31"/>
    <x v="0"/>
  </r>
  <r>
    <x v="18"/>
    <s v="HGRMB"/>
    <n v="122163"/>
    <s v="HGRMB"/>
    <n v="2092"/>
    <x v="12"/>
    <s v="Fairfield by Marriott Inn &amp; Suites Martinsburg"/>
    <x v="31"/>
    <x v="0"/>
  </r>
  <r>
    <x v="18"/>
    <s v="HKYFI"/>
    <n v="122019"/>
    <s v="HKYFI"/>
    <n v="2020"/>
    <x v="12"/>
    <s v="Fairfield by Marriott Inn &amp; Suites Boone"/>
    <x v="31"/>
    <x v="0"/>
  </r>
  <r>
    <x v="18"/>
    <s v="HOUCK"/>
    <n v="213247"/>
    <s v="HOUCK"/>
    <n v="2113"/>
    <x v="11"/>
    <s v="Courtyard by Marriott Houston Kemah"/>
    <x v="31"/>
    <x v="0"/>
  </r>
  <r>
    <x v="18"/>
    <s v="HOUCS"/>
    <n v="213297"/>
    <s v="HOUCS"/>
    <n v="2143"/>
    <x v="11"/>
    <s v="Courtyard by Marriott Houston NASA/Clear Lake"/>
    <x v="31"/>
    <x v="0"/>
  </r>
  <r>
    <x v="18"/>
    <s v="HOUFA"/>
    <n v="213251"/>
    <s v="HOUFA"/>
    <n v="2115"/>
    <x v="11"/>
    <s v="Fairfield by Marriott Inn &amp; Suites Houston North/Spring"/>
    <x v="31"/>
    <x v="0"/>
  </r>
  <r>
    <x v="18"/>
    <s v="HOUFH"/>
    <n v="213285"/>
    <s v="HOUFH"/>
    <n v="2134"/>
    <x v="11"/>
    <s v="Fairfield by Marriott Inn &amp; Suites Houston Hobby Airport"/>
    <x v="31"/>
    <x v="0"/>
  </r>
  <r>
    <x v="18"/>
    <s v="HOUHA"/>
    <n v="213277"/>
    <s v="HOUHA"/>
    <n v="2130"/>
    <x v="11"/>
    <s v="SpringHill Suites by Marriott Houston Hobby Airport"/>
    <x v="31"/>
    <x v="0"/>
  </r>
  <r>
    <x v="18"/>
    <s v="HOUHM"/>
    <n v="213309"/>
    <s v="HOUHM"/>
    <n v="2149"/>
    <x v="11"/>
    <s v="Fairfield by Marriott Inn &amp; Suites Houston Humble"/>
    <x v="31"/>
    <x v="0"/>
  </r>
  <r>
    <x v="18"/>
    <s v="HOUIS"/>
    <n v="213299"/>
    <s v="HOUIS"/>
    <n v="2144"/>
    <x v="11"/>
    <s v="SpringHill Suites by Marriott Houston I-45 North"/>
    <x v="31"/>
    <x v="0"/>
  </r>
  <r>
    <x v="18"/>
    <s v="INDSE"/>
    <n v="122179"/>
    <s v="INDSE"/>
    <n v="2100"/>
    <x v="12"/>
    <s v="Fairfield by Marriott Inn &amp; Suites Seymour"/>
    <x v="31"/>
    <x v="0"/>
  </r>
  <r>
    <x v="18"/>
    <s v="INTSH"/>
    <n v="122187"/>
    <s v="INTSH"/>
    <n v="2104"/>
    <x v="12"/>
    <s v="SpringHill Suites by Marriott Winston-Salem Hanes Mall"/>
    <x v="31"/>
    <x v="0"/>
  </r>
  <r>
    <x v="18"/>
    <s v="IPLFI"/>
    <n v="213347"/>
    <s v="IPLFI"/>
    <n v="2170"/>
    <x v="11"/>
    <s v="Fairfield by Marriott Inn &amp; Suites El Centro"/>
    <x v="31"/>
    <x v="0"/>
  </r>
  <r>
    <x v="18"/>
    <s v="IPTFI"/>
    <n v="122107"/>
    <s v="IPTFI"/>
    <n v="2064"/>
    <x v="12"/>
    <s v="Fairfield by Marriott Inn &amp; Suites Williamsport"/>
    <x v="31"/>
    <x v="0"/>
  </r>
  <r>
    <x v="18"/>
    <s v="IYKSH"/>
    <n v="213341"/>
    <s v="IYKSH"/>
    <n v="2167"/>
    <x v="11"/>
    <s v="SpringHill Suites by Marriott Ridgecrest"/>
    <x v="31"/>
    <x v="0"/>
  </r>
  <r>
    <x v="18"/>
    <s v="JAXCH"/>
    <n v="122031"/>
    <s v="JAXCH"/>
    <n v="2026"/>
    <x v="12"/>
    <s v="Courtyard by Marriott Jacksonville Butler Boulevard"/>
    <x v="31"/>
    <x v="0"/>
  </r>
  <r>
    <x v="18"/>
    <s v="JAXCS"/>
    <n v="122097"/>
    <s v="JAXCS"/>
    <n v="2059"/>
    <x v="12"/>
    <s v="Courtyard by Marriott St. Augustine I-95"/>
    <x v="31"/>
    <x v="0"/>
  </r>
  <r>
    <x v="18"/>
    <s v="JAXJB"/>
    <n v="122129"/>
    <s v="JAXJB"/>
    <n v="2075"/>
    <x v="12"/>
    <s v="Fairfield by Marriott Inn &amp; Suites Jacksonville Beach"/>
    <x v="31"/>
    <x v="0"/>
  </r>
  <r>
    <x v="18"/>
    <s v="JAXJK"/>
    <n v="122105"/>
    <s v="JAXJK"/>
    <n v="2063"/>
    <x v="12"/>
    <s v="SpringHill Suites by Marriott Jacksonville North I-95 Area"/>
    <x v="31"/>
    <x v="0"/>
  </r>
  <r>
    <x v="18"/>
    <s v="JAXOP"/>
    <n v="122071"/>
    <s v="JAXOP"/>
    <n v="2046"/>
    <x v="12"/>
    <s v="Fairfield by Marriott Inn &amp; Suites Jacksonville Orange Park"/>
    <x v="31"/>
    <x v="0"/>
  </r>
  <r>
    <x v="18"/>
    <s v="JAXSC"/>
    <n v="122053"/>
    <s v="JAXSC"/>
    <n v="2037"/>
    <x v="12"/>
    <s v="AC Hotel St. Augustine Downtown"/>
    <x v="31"/>
    <x v="0"/>
  </r>
  <r>
    <x v="18"/>
    <s v="JAXST"/>
    <n v="122171"/>
    <s v="JAXST"/>
    <n v="2096"/>
    <x v="12"/>
    <s v="Fairfield by Marriott Inn &amp; Suites St. Augustine I-95"/>
    <x v="31"/>
    <x v="0"/>
  </r>
  <r>
    <x v="18"/>
    <s v="JXNFI"/>
    <n v="122089"/>
    <s v="JXNFI"/>
    <n v="2055"/>
    <x v="12"/>
    <s v="Fairfield by Marriott Inn &amp; Suites Jackson"/>
    <x v="31"/>
    <x v="0"/>
  </r>
  <r>
    <x v="18"/>
    <s v="KWCSH"/>
    <n v="213365"/>
    <s v="KWCSH"/>
    <n v="2179"/>
    <x v="11"/>
    <s v="SpringHill Suites by Marriott Kennewick Tri-Cities"/>
    <x v="31"/>
    <x v="0"/>
  </r>
  <r>
    <x v="18"/>
    <s v="LANAC"/>
    <n v="122069"/>
    <s v="LANAC"/>
    <n v="2045"/>
    <x v="12"/>
    <s v="AC Hotel Lansing University Area"/>
    <x v="31"/>
    <x v="0"/>
  </r>
  <r>
    <x v="18"/>
    <s v="LANSH"/>
    <n v="122119"/>
    <s v="LANSH"/>
    <n v="2070"/>
    <x v="12"/>
    <s v="SpringHill Suites by Marriott Lansing"/>
    <x v="31"/>
    <x v="0"/>
  </r>
  <r>
    <x v="18"/>
    <s v="LASCY"/>
    <n v="213335"/>
    <s v="LASCY"/>
    <n v="2164"/>
    <x v="11"/>
    <s v="Courtyard by Marriott Las Vegas Stadium Area"/>
    <x v="31"/>
    <x v="0"/>
  </r>
  <r>
    <x v="18"/>
    <s v="LASFI"/>
    <n v="213323"/>
    <s v="LASFI"/>
    <n v="2158"/>
    <x v="11"/>
    <s v="Fairfield Inn Las Vegas Convention Center"/>
    <x v="31"/>
    <x v="0"/>
  </r>
  <r>
    <x v="18"/>
    <s v="LASFS"/>
    <n v="213339"/>
    <s v="LASFS"/>
    <n v="2166"/>
    <x v="11"/>
    <s v="Fairfield by Marriott Inn &amp; Suites Las Vegas Stadium Area"/>
    <x v="31"/>
    <x v="0"/>
  </r>
  <r>
    <x v="18"/>
    <s v="LAXBP"/>
    <n v="213363"/>
    <s v="LAXBP"/>
    <n v="2178"/>
    <x v="11"/>
    <s v="Courtyard by Marriott Los Angeles Baldwin Park"/>
    <x v="31"/>
    <x v="0"/>
  </r>
  <r>
    <x v="18"/>
    <s v="LAXFS"/>
    <n v="213345"/>
    <s v="LAXFS"/>
    <n v="2169"/>
    <x v="11"/>
    <s v="Fairfield by Marriott Inn &amp; Suites Los Angeles West Covina"/>
    <x v="31"/>
    <x v="0"/>
  </r>
  <r>
    <x v="18"/>
    <s v="LBEBV"/>
    <n v="122035"/>
    <s v="LBEBV"/>
    <n v="2028"/>
    <x v="12"/>
    <s v="Fairfield by Marriott Inn &amp; Suites Belle Vernon"/>
    <x v="31"/>
    <x v="0"/>
  </r>
  <r>
    <x v="18"/>
    <s v="LEBCY"/>
    <n v="122195"/>
    <s v="LEBCY"/>
    <n v="2108"/>
    <x v="12"/>
    <s v="Courtyard by Marriott Hanover Lebanon"/>
    <x v="31"/>
    <x v="0"/>
  </r>
  <r>
    <x v="18"/>
    <s v="LNSFL"/>
    <n v="122009"/>
    <s v="LNSFL"/>
    <n v="2015"/>
    <x v="12"/>
    <s v="Fairfield by Marriott Inn &amp; Suites Lancaster East at The Outlets"/>
    <x v="31"/>
    <x v="0"/>
  </r>
  <r>
    <x v="18"/>
    <s v="MAFCY"/>
    <n v="213283"/>
    <s v="MAFCY"/>
    <n v="2133"/>
    <x v="11"/>
    <s v="Courtyard by Marriott Midland"/>
    <x v="31"/>
    <x v="0"/>
  </r>
  <r>
    <x v="18"/>
    <s v="MBSMP"/>
    <n v="122083"/>
    <s v="MBSMP"/>
    <n v="2052"/>
    <x v="12"/>
    <s v="Fairfield by Marriott Inn &amp; Suites Mt. Pleasant"/>
    <x v="31"/>
    <x v="0"/>
  </r>
  <r>
    <x v="18"/>
    <s v="MCIAC"/>
    <n v="213249"/>
    <s v="MCIAC"/>
    <n v="2114"/>
    <x v="11"/>
    <s v="AC Hotel Kansas City Plaza"/>
    <x v="31"/>
    <x v="0"/>
  </r>
  <r>
    <x v="18"/>
    <s v="MCIBS"/>
    <n v="213319"/>
    <s v="MCIBS"/>
    <n v="2155"/>
    <x v="11"/>
    <s v="Courtyard by Marriott Kansas City East/Blue Springs"/>
    <x v="31"/>
    <x v="0"/>
  </r>
  <r>
    <x v="18"/>
    <s v="MCIFO"/>
    <n v="213265"/>
    <s v="MCIFO"/>
    <n v="2124"/>
    <x v="11"/>
    <s v="Fairfield by Marriott Inn &amp; Suites Kansas City Overland Park"/>
    <x v="31"/>
    <x v="0"/>
  </r>
  <r>
    <x v="18"/>
    <s v="MCOBN"/>
    <n v="122013"/>
    <s v="MCOBN"/>
    <n v="2017"/>
    <x v="12"/>
    <s v="Courtyard by Marriott Orlando Lake Buena Vista at Vista Centre"/>
    <x v="31"/>
    <x v="0"/>
  </r>
  <r>
    <x v="18"/>
    <s v="MEMME"/>
    <n v="122207"/>
    <s v="MEMME"/>
    <n v="2120"/>
    <x v="12"/>
    <s v="Fairfield by Marriott Inn &amp; Suites Memphis East/Galleria"/>
    <x v="31"/>
    <x v="0"/>
  </r>
  <r>
    <x v="18"/>
    <s v="MFEMA"/>
    <n v="213303"/>
    <s v="MFEMA"/>
    <n v="2146"/>
    <x v="11"/>
    <s v="SpringHill Suites by Marriott McAllen Convention Center"/>
    <x v="31"/>
    <x v="0"/>
  </r>
  <r>
    <x v="18"/>
    <s v="MHTFM"/>
    <n v="122139"/>
    <s v="MHTFM"/>
    <n v="2080"/>
    <x v="12"/>
    <s v="Fairfield Inn Manchester-Boston Regional Airport"/>
    <x v="31"/>
    <x v="0"/>
  </r>
  <r>
    <x v="18"/>
    <s v="MIAAW"/>
    <n v="122191"/>
    <s v="MIAAW"/>
    <n v="2106"/>
    <x v="12"/>
    <s v="AC Hotel Miami Wynwood"/>
    <x v="31"/>
    <x v="0"/>
  </r>
  <r>
    <x v="18"/>
    <s v="MIADM"/>
    <n v="122033"/>
    <s v="MIADM"/>
    <n v="2027"/>
    <x v="12"/>
    <s v="Courtyard by Marriott Miami at Dolphin Mall"/>
    <x v="31"/>
    <x v="0"/>
  </r>
  <r>
    <x v="18"/>
    <s v="MSNMV"/>
    <n v="122205"/>
    <s v="MSNMV"/>
    <n v="2118"/>
    <x v="12"/>
    <s v="Fairfield by Marriott Inn &amp; Suites Madison Verona"/>
    <x v="31"/>
    <x v="0"/>
  </r>
  <r>
    <x v="18"/>
    <s v="MSPFK"/>
    <n v="122211"/>
    <s v="MSPFK"/>
    <n v="2140"/>
    <x v="12"/>
    <s v="Fairfield by Marriott Inn &amp; Suites Minneapolis Shakopee"/>
    <x v="31"/>
    <x v="0"/>
  </r>
  <r>
    <x v="18"/>
    <s v="MSPFN"/>
    <n v="122201"/>
    <s v="MSPFN"/>
    <n v="2111"/>
    <x v="12"/>
    <s v="Fairfield by Marriott Inn &amp; Suites St. Paul Northeast"/>
    <x v="31"/>
    <x v="0"/>
  </r>
  <r>
    <x v="18"/>
    <s v="MSPSH"/>
    <n v="122213"/>
    <s v="MSPSH"/>
    <n v="2141"/>
    <x v="12"/>
    <s v="SpringHill Suites by Marriott Minneapolis-St. Paul Airport/Eagan"/>
    <x v="31"/>
    <x v="0"/>
  </r>
  <r>
    <x v="18"/>
    <s v="MYRFB"/>
    <n v="122011"/>
    <s v="MYRFB"/>
    <n v="2016"/>
    <x v="12"/>
    <s v="Fairfield Inn Myrtle Beach Broadway at the Beach"/>
    <x v="31"/>
    <x v="0"/>
  </r>
  <r>
    <x v="18"/>
    <s v="NYCJF"/>
    <n v="122029"/>
    <s v="NYCJF"/>
    <n v="2025"/>
    <x v="12"/>
    <s v="Courtyard by Marriott New York JFK Airport"/>
    <x v="31"/>
    <x v="0"/>
  </r>
  <r>
    <x v="18"/>
    <s v="NYCOF"/>
    <n v="122149"/>
    <s v="NYCOF"/>
    <n v="2085"/>
    <x v="12"/>
    <s v="Moxy NYC Downtown"/>
    <x v="31"/>
    <x v="0"/>
  </r>
  <r>
    <x v="18"/>
    <s v="OAJCY"/>
    <n v="122157"/>
    <s v="OAJCY"/>
    <n v="2089"/>
    <x v="12"/>
    <s v="Courtyard by Marriott Jacksonville"/>
    <x v="31"/>
    <x v="0"/>
  </r>
  <r>
    <x v="18"/>
    <s v="OAKCY"/>
    <n v="213361"/>
    <s v="OAKCY"/>
    <n v="2177"/>
    <x v="11"/>
    <s v="Courtyard by Marriott Richmond Berkeley"/>
    <x v="31"/>
    <x v="0"/>
  </r>
  <r>
    <x v="18"/>
    <s v="OAKFI"/>
    <n v="213325"/>
    <s v="OAKFI"/>
    <n v="2159"/>
    <x v="11"/>
    <s v="Fairfield by Marriott Inn &amp; Suites Oakland Hayward"/>
    <x v="31"/>
    <x v="0"/>
  </r>
  <r>
    <x v="18"/>
    <s v="OAKLM"/>
    <n v="213353"/>
    <s v="OAKLM"/>
    <n v="2173"/>
    <x v="11"/>
    <s v="Courtyard by Marriott Livermore"/>
    <x v="31"/>
    <x v="0"/>
  </r>
  <r>
    <x v="18"/>
    <s v="OKCFW"/>
    <n v="213301"/>
    <s v="OKCFW"/>
    <n v="2145"/>
    <x v="11"/>
    <s v="Fairfield by Marriott Inn &amp; Suites Shawnee"/>
    <x v="31"/>
    <x v="0"/>
  </r>
  <r>
    <x v="18"/>
    <s v="ORFCY"/>
    <n v="122045"/>
    <s v="ORFCY"/>
    <n v="2033"/>
    <x v="12"/>
    <s v="Courtyard by Marriott Chesapeake Greenbrier"/>
    <x v="31"/>
    <x v="0"/>
  </r>
  <r>
    <x v="18"/>
    <s v="ORFEC"/>
    <n v="122099"/>
    <s v="ORFEC"/>
    <n v="2060"/>
    <x v="12"/>
    <s v="Fairfield by Marriott Inn &amp; Suites Elizabeth City"/>
    <x v="31"/>
    <x v="0"/>
  </r>
  <r>
    <x v="18"/>
    <s v="PHLFG"/>
    <n v="122059"/>
    <s v="PHLFG"/>
    <n v="2040"/>
    <x v="12"/>
    <s v="Fairfield by Marriott Inn &amp; Suites Philadelphia Horsham"/>
    <x v="31"/>
    <x v="0"/>
  </r>
  <r>
    <x v="18"/>
    <s v="PHLGV"/>
    <n v="122091"/>
    <s v="PHLGV"/>
    <n v="2056"/>
    <x v="12"/>
    <s v="Courtyard by Marriott Philadelphia Great Valley/Malvern"/>
    <x v="31"/>
    <x v="0"/>
  </r>
  <r>
    <x v="18"/>
    <s v="PHLKP"/>
    <n v="122193"/>
    <s v="PHLKP"/>
    <n v="2107"/>
    <x v="12"/>
    <s v="SpringHill Suites by Marriott Philadelphia Valley Forge/King of Prussia"/>
    <x v="31"/>
    <x v="0"/>
  </r>
  <r>
    <x v="18"/>
    <s v="PHLLM"/>
    <n v="122151"/>
    <s v="PHLLM"/>
    <n v="2086"/>
    <x v="12"/>
    <s v="Courtyard by Marriott Philadelphia Bensalem"/>
    <x v="31"/>
    <x v="0"/>
  </r>
  <r>
    <x v="18"/>
    <s v="PHLLN"/>
    <n v="122073"/>
    <s v="PHLLN"/>
    <n v="2047"/>
    <x v="12"/>
    <s v="Courtyard by Marriott Philadelphia Langhorne"/>
    <x v="31"/>
    <x v="0"/>
  </r>
  <r>
    <x v="18"/>
    <s v="PHLVG"/>
    <n v="122023"/>
    <s v="PHLVG"/>
    <n v="2022"/>
    <x v="12"/>
    <s v="Courtyard by Marriott Philadelphia Valley Forge/Collegeville"/>
    <x v="31"/>
    <x v="0"/>
  </r>
  <r>
    <x v="18"/>
    <s v="PITNS"/>
    <n v="122135"/>
    <s v="PITNS"/>
    <n v="2078"/>
    <x v="12"/>
    <s v="SpringHill Suites by Marriott Pittsburgh North Shore"/>
    <x v="31"/>
    <x v="0"/>
  </r>
  <r>
    <x v="18"/>
    <s v="PITWC"/>
    <n v="122043"/>
    <s v="PITWC"/>
    <n v="2032"/>
    <x v="12"/>
    <s v="Courtyard by Marriott Pittsburgh Washington/Meadow Lands"/>
    <x v="31"/>
    <x v="0"/>
  </r>
  <r>
    <x v="18"/>
    <s v="PITXW"/>
    <n v="122017"/>
    <s v="PITXW"/>
    <n v="2019"/>
    <x v="12"/>
    <s v="Fairfield by Marriott Inn &amp; Suites Wheeling at The Highlands"/>
    <x v="31"/>
    <x v="0"/>
  </r>
  <r>
    <x v="18"/>
    <s v="PNSOR"/>
    <n v="122203"/>
    <s v="PNSOR"/>
    <n v="2112"/>
    <x v="12"/>
    <s v="SpringHill Suites by Marriott Orange Beach at The Wharf"/>
    <x v="31"/>
    <x v="0"/>
  </r>
  <r>
    <x v="18"/>
    <s v="POUCY"/>
    <n v="122161"/>
    <s v="POUCY"/>
    <n v="2091"/>
    <x v="12"/>
    <s v="Courtyard by Marriott Kingston"/>
    <x v="31"/>
    <x v="0"/>
  </r>
  <r>
    <x v="18"/>
    <s v="PVDRY"/>
    <n v="122103"/>
    <s v="PVDRY"/>
    <n v="2062"/>
    <x v="12"/>
    <s v="Courtyard by Marriott Boston Raynham"/>
    <x v="31"/>
    <x v="0"/>
  </r>
  <r>
    <x v="18"/>
    <s v="PYMFM"/>
    <n v="122127"/>
    <s v="PYMFM"/>
    <n v="2074"/>
    <x v="12"/>
    <s v="Fairfield by Marriott Inn &amp; Suites Raynham Middleborough/Plymouth"/>
    <x v="31"/>
    <x v="0"/>
  </r>
  <r>
    <x v="18"/>
    <s v="RAPDW"/>
    <n v="122217"/>
    <s v="RAPDW"/>
    <n v="2156"/>
    <x v="12"/>
    <s v="SpringHill Suites by Marriott Deadwood"/>
    <x v="31"/>
    <x v="0"/>
  </r>
  <r>
    <x v="18"/>
    <s v="RDGWY"/>
    <n v="122001"/>
    <s v="RDGWY"/>
    <n v="2011"/>
    <x v="12"/>
    <s v="Courtyard by Marriott Reading Wyomissing"/>
    <x v="31"/>
    <x v="0"/>
  </r>
  <r>
    <x v="18"/>
    <s v="RDUBE"/>
    <n v="122197"/>
    <s v="RDUBE"/>
    <n v="2109"/>
    <x v="12"/>
    <s v="Fairfield by Marriott Inn &amp; Suites Raleigh-Durham Airport/Brier Creek"/>
    <x v="31"/>
    <x v="0"/>
  </r>
  <r>
    <x v="18"/>
    <s v="RDUNT"/>
    <n v="122131"/>
    <s v="RDUNT"/>
    <n v="2076"/>
    <x v="12"/>
    <s v="Courtyard by Marriott Raleigh North/Triangle Town Center"/>
    <x v="31"/>
    <x v="0"/>
  </r>
  <r>
    <x v="18"/>
    <s v="RICSH"/>
    <n v="122087"/>
    <s v="RICSH"/>
    <n v="2054"/>
    <x v="12"/>
    <s v="SpringHill Suites by Marriott Richmond North/Glen Allen"/>
    <x v="31"/>
    <x v="0"/>
  </r>
  <r>
    <x v="18"/>
    <s v="RSWPG"/>
    <n v="122081"/>
    <s v="RSWPG"/>
    <n v="2051"/>
    <x v="12"/>
    <s v="SpringHill Suites by Marriott Punta Gorda Harborside"/>
    <x v="31"/>
    <x v="0"/>
  </r>
  <r>
    <x v="18"/>
    <s v="SATNL"/>
    <n v="213257"/>
    <s v="SATNL"/>
    <n v="2119"/>
    <x v="11"/>
    <s v="SpringHill Suites by Marriott San Antonio Medical Center/Northwest"/>
    <x v="31"/>
    <x v="0"/>
  </r>
  <r>
    <x v="18"/>
    <s v="SATSN"/>
    <n v="213311"/>
    <s v="SATSN"/>
    <n v="2150"/>
    <x v="11"/>
    <s v="SpringHill Suites by Marriott San Antonio Northwest at The RIM"/>
    <x v="31"/>
    <x v="0"/>
  </r>
  <r>
    <x v="18"/>
    <s v="SBNFI"/>
    <n v="122051"/>
    <s v="SBNFI"/>
    <n v="2036"/>
    <x v="12"/>
    <s v="Fairfield by Marriott Inn &amp; Suites South Bend Mishawaka"/>
    <x v="31"/>
    <x v="0"/>
  </r>
  <r>
    <x v="18"/>
    <s v="SBNNB"/>
    <n v="122027"/>
    <s v="SBNNB"/>
    <n v="2024"/>
    <x v="12"/>
    <s v="Fairfield by Marriott Inn &amp; Suites New Buffalo"/>
    <x v="31"/>
    <x v="0"/>
  </r>
  <r>
    <x v="18"/>
    <s v="SEADP"/>
    <n v="213359"/>
    <s v="SEADP"/>
    <n v="2176"/>
    <x v="11"/>
    <s v="Fairfield by Marriott Inn &amp; Suites Tacoma DuPont"/>
    <x v="31"/>
    <x v="0"/>
  </r>
  <r>
    <x v="18"/>
    <s v="SJCMS"/>
    <n v="213349"/>
    <s v="SJCMS"/>
    <n v="2171"/>
    <x v="11"/>
    <s v="SpringHill Suites by Marriott Milpitas Silicon Valley"/>
    <x v="31"/>
    <x v="0"/>
  </r>
  <r>
    <x v="18"/>
    <s v="SJCNO"/>
    <n v="213367"/>
    <s v="SJCNO"/>
    <n v="2180"/>
    <x v="11"/>
    <s v="Courtyard by Marriott San Jose North/Silicon Valley"/>
    <x v="31"/>
    <x v="0"/>
  </r>
  <r>
    <x v="18"/>
    <s v="SLCDP"/>
    <n v="213321"/>
    <s v="SLCDP"/>
    <n v="2157"/>
    <x v="11"/>
    <s v="SpringHill Suites by Marriott Salt Lake City Draper"/>
    <x v="31"/>
    <x v="0"/>
  </r>
  <r>
    <x v="18"/>
    <s v="SNASP"/>
    <n v="213329"/>
    <s v="SNASP"/>
    <n v="2161"/>
    <x v="11"/>
    <s v="SpringHill Suites by Marriott Anaheim Placentia/Fullerton"/>
    <x v="31"/>
    <x v="0"/>
  </r>
  <r>
    <x v="18"/>
    <s v="TPASL"/>
    <n v="122095"/>
    <s v="TPASL"/>
    <n v="2058"/>
    <x v="12"/>
    <s v="SpringHill Suites by Marriott Lakeland"/>
    <x v="31"/>
    <x v="0"/>
  </r>
  <r>
    <x v="18"/>
    <s v="TPLFI"/>
    <n v="213259"/>
    <s v="TPLFI"/>
    <n v="2121"/>
    <x v="11"/>
    <s v="Fairfield by Marriott Inn &amp; Suites Temple Belton"/>
    <x v="31"/>
    <x v="0"/>
  </r>
  <r>
    <x v="18"/>
    <s v="TRITN"/>
    <n v="122111"/>
    <s v="TRITN"/>
    <n v="2066"/>
    <x v="12"/>
    <s v="Fairfield by Marriott Inn &amp; Suites Johnson City"/>
    <x v="31"/>
    <x v="0"/>
  </r>
  <r>
    <x v="18"/>
    <s v="TYRSL"/>
    <n v="213313"/>
    <s v="TYRSL"/>
    <n v="2151"/>
    <x v="11"/>
    <s v="SpringHill Suites by Marriott Lindale Tyler"/>
    <x v="31"/>
    <x v="0"/>
  </r>
  <r>
    <x v="18"/>
    <s v="WASVY"/>
    <n v="122075"/>
    <s v="WASVY"/>
    <n v="2048"/>
    <x v="12"/>
    <s v="Courtyard by Marriott Bethesda Chevy Chase"/>
    <x v="31"/>
    <x v="0"/>
  </r>
  <r>
    <x v="18"/>
    <s v="YKFFI"/>
    <n v="122137"/>
    <s v="YKFFI"/>
    <n v="2079"/>
    <x v="12"/>
    <s v="Fairfield by Marriott Inn &amp; Suites Guelph"/>
    <x v="31"/>
    <x v="0"/>
  </r>
  <r>
    <x v="18"/>
    <s v="YNGFN"/>
    <n v="122015"/>
    <s v="YNGFN"/>
    <n v="2018"/>
    <x v="12"/>
    <s v="Fairfield Inn Warren Niles"/>
    <x v="31"/>
    <x v="0"/>
  </r>
  <r>
    <x v="19"/>
    <m/>
    <m/>
    <m/>
    <m/>
    <x v="3"/>
    <m/>
    <x v="3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6">
  <r>
    <x v="0"/>
    <s v="PITSS"/>
    <s v="100027"/>
    <s v="PITSS"/>
    <n v="57"/>
    <x v="0"/>
    <x v="0"/>
    <x v="0"/>
    <x v="0"/>
    <x v="0"/>
  </r>
  <r>
    <x v="0"/>
    <s v="CAESH"/>
    <n v="100029"/>
    <s v="CAESH"/>
    <n v="58"/>
    <x v="0"/>
    <x v="1"/>
    <x v="0"/>
    <x v="0"/>
    <x v="1"/>
  </r>
  <r>
    <x v="0"/>
    <s v="BWISL"/>
    <n v="100031"/>
    <s v="BWISL"/>
    <n v="59"/>
    <x v="0"/>
    <x v="2"/>
    <x v="0"/>
    <x v="0"/>
    <x v="2"/>
  </r>
  <r>
    <x v="1"/>
    <s v="MCOWS"/>
    <n v="100033"/>
    <s v="MCOWS"/>
    <n v="60"/>
    <x v="0"/>
    <x v="3"/>
    <x v="1"/>
    <x v="0"/>
    <x v="3"/>
  </r>
  <r>
    <x v="0"/>
    <s v="CHIFO"/>
    <n v="100035"/>
    <s v="CHIFO"/>
    <n v="61"/>
    <x v="0"/>
    <x v="4"/>
    <x v="0"/>
    <x v="0"/>
    <x v="4"/>
  </r>
  <r>
    <x v="2"/>
    <s v="ALBTY"/>
    <n v="100037"/>
    <s v="ALBTY"/>
    <n v="71"/>
    <x v="0"/>
    <x v="5"/>
    <x v="2"/>
    <x v="0"/>
    <x v="1"/>
  </r>
  <r>
    <x v="3"/>
    <s v="BISCN"/>
    <n v="100039"/>
    <s v="BISCN"/>
    <n v="72"/>
    <x v="0"/>
    <x v="6"/>
    <x v="3"/>
    <x v="0"/>
    <x v="5"/>
  </r>
  <r>
    <x v="2"/>
    <s v="MSPOX"/>
    <n v="100041"/>
    <s v="MSPOX"/>
    <n v="75"/>
    <x v="0"/>
    <x v="7"/>
    <x v="2"/>
    <x v="0"/>
    <x v="6"/>
  </r>
  <r>
    <x v="2"/>
    <s v="BZNAR"/>
    <n v="100043"/>
    <s v="BZNAR"/>
    <n v="79"/>
    <x v="0"/>
    <x v="8"/>
    <x v="2"/>
    <x v="0"/>
    <x v="7"/>
  </r>
  <r>
    <x v="3"/>
    <s v="YYZAP"/>
    <n v="100045"/>
    <s v="YYZAP"/>
    <n v="88"/>
    <x v="0"/>
    <x v="9"/>
    <x v="3"/>
    <x v="0"/>
    <x v="8"/>
  </r>
  <r>
    <x v="2"/>
    <s v="YYBFI"/>
    <n v="100047"/>
    <s v="YYBFI"/>
    <n v="89"/>
    <x v="0"/>
    <x v="10"/>
    <x v="2"/>
    <x v="0"/>
    <x v="9"/>
  </r>
  <r>
    <x v="3"/>
    <s v="YSBFI"/>
    <n v="100049"/>
    <s v="YSBFI"/>
    <n v="90"/>
    <x v="0"/>
    <x v="11"/>
    <x v="3"/>
    <x v="0"/>
    <x v="10"/>
  </r>
  <r>
    <x v="3"/>
    <s v="WASAX"/>
    <n v="100051"/>
    <s v="WASAX"/>
    <n v="92"/>
    <x v="0"/>
    <x v="12"/>
    <x v="3"/>
    <x v="0"/>
    <x v="11"/>
  </r>
  <r>
    <x v="2"/>
    <s v="TPAPC"/>
    <n v="100053"/>
    <s v="TPAPC"/>
    <n v="93"/>
    <x v="0"/>
    <x v="13"/>
    <x v="2"/>
    <x v="0"/>
    <x v="12"/>
  </r>
  <r>
    <x v="3"/>
    <s v="TIXFI"/>
    <n v="100055"/>
    <s v="TIXFI"/>
    <n v="94"/>
    <x v="0"/>
    <x v="14"/>
    <x v="3"/>
    <x v="0"/>
    <x v="13"/>
  </r>
  <r>
    <x v="2"/>
    <s v="RQSFO"/>
    <n v="100057"/>
    <s v="RQSFO"/>
    <n v="95"/>
    <x v="0"/>
    <x v="15"/>
    <x v="2"/>
    <x v="0"/>
    <x v="9"/>
  </r>
  <r>
    <x v="2"/>
    <s v="INDCU"/>
    <n v="100059"/>
    <s v="INDCU"/>
    <n v="97"/>
    <x v="0"/>
    <x v="16"/>
    <x v="2"/>
    <x v="0"/>
    <x v="14"/>
  </r>
  <r>
    <x v="3"/>
    <s v="IAGCY"/>
    <n v="100061"/>
    <s v="IAGCY"/>
    <n v="98"/>
    <x v="0"/>
    <x v="17"/>
    <x v="3"/>
    <x v="0"/>
    <x v="15"/>
  </r>
  <r>
    <x v="3"/>
    <s v="FLOCS"/>
    <n v="100063"/>
    <s v="FLOCS"/>
    <n v="99"/>
    <x v="0"/>
    <x v="18"/>
    <x v="3"/>
    <x v="0"/>
    <x v="16"/>
  </r>
  <r>
    <x v="3"/>
    <s v="CVGMT"/>
    <n v="100065"/>
    <s v="CVGMT"/>
    <n v="101"/>
    <x v="0"/>
    <x v="19"/>
    <x v="3"/>
    <x v="0"/>
    <x v="0"/>
  </r>
  <r>
    <x v="2"/>
    <s v="AHNSH"/>
    <n v="100067"/>
    <s v="AHNSH"/>
    <n v="102"/>
    <x v="0"/>
    <x v="20"/>
    <x v="2"/>
    <x v="0"/>
    <x v="17"/>
  </r>
  <r>
    <x v="2"/>
    <s v="AVLAR"/>
    <n v="100069"/>
    <s v="AVLAR"/>
    <n v="105"/>
    <x v="0"/>
    <x v="21"/>
    <x v="2"/>
    <x v="0"/>
    <x v="11"/>
  </r>
  <r>
    <x v="3"/>
    <s v="AZOCY"/>
    <n v="100071"/>
    <s v="AZOCY"/>
    <n v="106"/>
    <x v="0"/>
    <x v="22"/>
    <x v="3"/>
    <x v="0"/>
    <x v="18"/>
  </r>
  <r>
    <x v="2"/>
    <s v="BNAAF"/>
    <n v="100073"/>
    <s v="BNAAF"/>
    <n v="107"/>
    <x v="0"/>
    <x v="23"/>
    <x v="2"/>
    <x v="0"/>
    <x v="19"/>
  </r>
  <r>
    <x v="2"/>
    <s v="BNAOX"/>
    <n v="100075"/>
    <s v="BNAOX"/>
    <n v="108"/>
    <x v="0"/>
    <x v="24"/>
    <x v="2"/>
    <x v="0"/>
    <x v="8"/>
  </r>
  <r>
    <x v="2"/>
    <s v="BTVFB"/>
    <n v="100077"/>
    <s v="BTVFB"/>
    <n v="110"/>
    <x v="0"/>
    <x v="25"/>
    <x v="2"/>
    <x v="0"/>
    <x v="16"/>
  </r>
  <r>
    <x v="3"/>
    <s v="BWIFD"/>
    <n v="100079"/>
    <s v="BWIFD"/>
    <n v="111"/>
    <x v="0"/>
    <x v="26"/>
    <x v="3"/>
    <x v="0"/>
    <x v="20"/>
  </r>
  <r>
    <x v="3"/>
    <s v="CAKCY"/>
    <n v="100081"/>
    <s v="CAKCY"/>
    <n v="112"/>
    <x v="0"/>
    <x v="27"/>
    <x v="3"/>
    <x v="0"/>
    <x v="21"/>
  </r>
  <r>
    <x v="3"/>
    <s v="CHOFI"/>
    <n v="100083"/>
    <s v="CHOFI"/>
    <n v="113"/>
    <x v="0"/>
    <x v="28"/>
    <x v="3"/>
    <x v="0"/>
    <x v="22"/>
  </r>
  <r>
    <x v="3"/>
    <s v="CLESH"/>
    <n v="100085"/>
    <s v="CLESH"/>
    <n v="114"/>
    <x v="0"/>
    <x v="29"/>
    <x v="3"/>
    <x v="0"/>
    <x v="22"/>
  </r>
  <r>
    <x v="3"/>
    <s v="CLTFR"/>
    <n v="100087"/>
    <s v="CLTFR"/>
    <n v="115"/>
    <x v="0"/>
    <x v="30"/>
    <x v="3"/>
    <x v="0"/>
    <x v="23"/>
  </r>
  <r>
    <x v="4"/>
    <s v="BOSLT"/>
    <n v="100089"/>
    <s v="BOSLT"/>
    <n v="132"/>
    <x v="0"/>
    <x v="31"/>
    <x v="4"/>
    <x v="0"/>
    <x v="0"/>
  </r>
  <r>
    <x v="3"/>
    <s v="LEXLE"/>
    <n v="100091"/>
    <s v="LEXLE"/>
    <n v="133"/>
    <x v="0"/>
    <x v="32"/>
    <x v="3"/>
    <x v="0"/>
    <x v="20"/>
  </r>
  <r>
    <x v="4"/>
    <s v="AVLCB"/>
    <n v="100093"/>
    <s v="AVLCB"/>
    <n v="134"/>
    <x v="0"/>
    <x v="33"/>
    <x v="4"/>
    <x v="0"/>
    <x v="24"/>
  </r>
  <r>
    <x v="4"/>
    <s v="BWIBO"/>
    <n v="100095"/>
    <s v="BWIBO"/>
    <n v="135"/>
    <x v="0"/>
    <x v="34"/>
    <x v="4"/>
    <x v="0"/>
    <x v="25"/>
  </r>
  <r>
    <x v="3"/>
    <s v="SAVFN"/>
    <n v="100097"/>
    <s v="SAVFN"/>
    <n v="136"/>
    <x v="0"/>
    <x v="35"/>
    <x v="3"/>
    <x v="0"/>
    <x v="26"/>
  </r>
  <r>
    <x v="4"/>
    <s v="AIDFI"/>
    <n v="100099"/>
    <s v="AIDFI"/>
    <n v="137"/>
    <x v="0"/>
    <x v="36"/>
    <x v="4"/>
    <x v="0"/>
    <x v="27"/>
  </r>
  <r>
    <x v="4"/>
    <s v="AHNSE"/>
    <s v="100101"/>
    <s v="AHNSE"/>
    <n v="138"/>
    <x v="0"/>
    <x v="37"/>
    <x v="4"/>
    <x v="0"/>
    <x v="28"/>
  </r>
  <r>
    <x v="3"/>
    <s v="EWBFS"/>
    <n v="100103"/>
    <s v="EWBFS"/>
    <n v="139"/>
    <x v="0"/>
    <x v="38"/>
    <x v="3"/>
    <x v="0"/>
    <x v="29"/>
  </r>
  <r>
    <x v="4"/>
    <s v="DABPC"/>
    <n v="100105"/>
    <s v="DABPC"/>
    <n v="140"/>
    <x v="0"/>
    <x v="39"/>
    <x v="4"/>
    <x v="0"/>
    <x v="30"/>
  </r>
  <r>
    <x v="3"/>
    <s v="PITFM"/>
    <n v="100107"/>
    <s v="PITFM"/>
    <n v="141"/>
    <x v="0"/>
    <x v="40"/>
    <x v="3"/>
    <x v="0"/>
    <x v="31"/>
  </r>
  <r>
    <x v="4"/>
    <s v="CHAOW"/>
    <n v="100109"/>
    <s v="CHAOW"/>
    <n v="142"/>
    <x v="0"/>
    <x v="41"/>
    <x v="4"/>
    <x v="0"/>
    <x v="32"/>
  </r>
  <r>
    <x v="4"/>
    <s v="ABYAB"/>
    <n v="100111"/>
    <s v="ABYAB"/>
    <n v="143"/>
    <x v="0"/>
    <x v="42"/>
    <x v="4"/>
    <x v="0"/>
    <x v="12"/>
  </r>
  <r>
    <x v="4"/>
    <s v="BMGSH"/>
    <n v="100113"/>
    <s v="BMGSH"/>
    <n v="144"/>
    <x v="0"/>
    <x v="43"/>
    <x v="4"/>
    <x v="0"/>
    <x v="33"/>
  </r>
  <r>
    <x v="4"/>
    <s v="AHNGV"/>
    <n v="100115"/>
    <s v="AHNGV"/>
    <n v="145"/>
    <x v="0"/>
    <x v="44"/>
    <x v="4"/>
    <x v="0"/>
    <x v="34"/>
  </r>
  <r>
    <x v="4"/>
    <s v="CHSCS"/>
    <n v="100117"/>
    <s v="CHSCS"/>
    <n v="146"/>
    <x v="0"/>
    <x v="45"/>
    <x v="4"/>
    <x v="0"/>
    <x v="16"/>
  </r>
  <r>
    <x v="3"/>
    <s v="ORFOC"/>
    <n v="100119"/>
    <s v="ORFOC"/>
    <n v="147"/>
    <x v="0"/>
    <x v="46"/>
    <x v="3"/>
    <x v="0"/>
    <x v="35"/>
  </r>
  <r>
    <x v="4"/>
    <s v="CLECA"/>
    <n v="100121"/>
    <s v="CLECA"/>
    <n v="148"/>
    <x v="0"/>
    <x v="47"/>
    <x v="4"/>
    <x v="0"/>
    <x v="36"/>
  </r>
  <r>
    <x v="4"/>
    <s v="AOOFI"/>
    <n v="100123"/>
    <s v="AOOFI"/>
    <n v="149"/>
    <x v="0"/>
    <x v="48"/>
    <x v="4"/>
    <x v="0"/>
    <x v="20"/>
  </r>
  <r>
    <x v="3"/>
    <s v="IPTFL"/>
    <n v="100125"/>
    <s v="IPTFL"/>
    <n v="150"/>
    <x v="0"/>
    <x v="49"/>
    <x v="3"/>
    <x v="0"/>
    <x v="37"/>
  </r>
  <r>
    <x v="3"/>
    <s v="WASWB"/>
    <n v="100127"/>
    <s v="WASWB"/>
    <n v="151"/>
    <x v="0"/>
    <x v="50"/>
    <x v="3"/>
    <x v="0"/>
    <x v="38"/>
  </r>
  <r>
    <x v="3"/>
    <s v="EVVFJ"/>
    <n v="100129"/>
    <s v="EVVFJ"/>
    <n v="152"/>
    <x v="0"/>
    <x v="51"/>
    <x v="3"/>
    <x v="0"/>
    <x v="20"/>
  </r>
  <r>
    <x v="4"/>
    <s v="ALBFY"/>
    <n v="100131"/>
    <s v="ALBFY"/>
    <n v="153"/>
    <x v="0"/>
    <x v="52"/>
    <x v="4"/>
    <x v="0"/>
    <x v="39"/>
  </r>
  <r>
    <x v="4"/>
    <s v="BWIAF"/>
    <n v="100133"/>
    <s v="BWIAF"/>
    <n v="154"/>
    <x v="0"/>
    <x v="53"/>
    <x v="4"/>
    <x v="0"/>
    <x v="40"/>
  </r>
  <r>
    <x v="4"/>
    <s v="AGSNW"/>
    <n v="100135"/>
    <s v="AGSNW"/>
    <n v="155"/>
    <x v="0"/>
    <x v="54"/>
    <x v="4"/>
    <x v="0"/>
    <x v="9"/>
  </r>
  <r>
    <x v="4"/>
    <s v="BWICO"/>
    <n v="100137"/>
    <s v="BWICO"/>
    <n v="156"/>
    <x v="0"/>
    <x v="55"/>
    <x v="4"/>
    <x v="0"/>
    <x v="14"/>
  </r>
  <r>
    <x v="4"/>
    <s v="CLTFT"/>
    <n v="100139"/>
    <s v="CLTFT"/>
    <n v="157"/>
    <x v="0"/>
    <x v="56"/>
    <x v="4"/>
    <x v="0"/>
    <x v="41"/>
  </r>
  <r>
    <x v="4"/>
    <s v="ACYFA"/>
    <n v="100141"/>
    <s v="ACYFA"/>
    <n v="158"/>
    <x v="0"/>
    <x v="57"/>
    <x v="4"/>
    <x v="0"/>
    <x v="42"/>
  </r>
  <r>
    <x v="3"/>
    <s v="IADDL"/>
    <n v="100143"/>
    <s v="IADDL"/>
    <n v="159"/>
    <x v="0"/>
    <x v="58"/>
    <x v="3"/>
    <x v="0"/>
    <x v="33"/>
  </r>
  <r>
    <x v="4"/>
    <s v="ATLES"/>
    <n v="100145"/>
    <s v="ATLES"/>
    <n v="160"/>
    <x v="0"/>
    <x v="59"/>
    <x v="4"/>
    <x v="0"/>
    <x v="43"/>
  </r>
  <r>
    <x v="3"/>
    <s v="INTFI"/>
    <n v="100147"/>
    <s v="INTFI"/>
    <n v="161"/>
    <x v="0"/>
    <x v="60"/>
    <x v="3"/>
    <x v="0"/>
    <x v="3"/>
  </r>
  <r>
    <x v="4"/>
    <s v="CAEFD"/>
    <n v="100149"/>
    <s v="CAEFD"/>
    <n v="162"/>
    <x v="0"/>
    <x v="61"/>
    <x v="4"/>
    <x v="0"/>
    <x v="23"/>
  </r>
  <r>
    <x v="4"/>
    <s v="BGMFI"/>
    <n v="100151"/>
    <s v="BGMFI"/>
    <n v="163"/>
    <x v="0"/>
    <x v="62"/>
    <x v="4"/>
    <x v="0"/>
    <x v="43"/>
  </r>
  <r>
    <x v="3"/>
    <s v="TPAFR"/>
    <n v="100153"/>
    <s v="TPAFR"/>
    <n v="164"/>
    <x v="0"/>
    <x v="63"/>
    <x v="3"/>
    <x v="0"/>
    <x v="30"/>
  </r>
  <r>
    <x v="4"/>
    <s v="CLTFN"/>
    <n v="100155"/>
    <s v="CLTFN"/>
    <n v="165"/>
    <x v="0"/>
    <x v="64"/>
    <x v="4"/>
    <x v="0"/>
    <x v="19"/>
  </r>
  <r>
    <x v="3"/>
    <s v="LEXNW"/>
    <n v="100157"/>
    <s v="LEXNW"/>
    <n v="166"/>
    <x v="0"/>
    <x v="65"/>
    <x v="3"/>
    <x v="0"/>
    <x v="44"/>
  </r>
  <r>
    <x v="4"/>
    <s v="CLTBY"/>
    <n v="100159"/>
    <s v="CLTBY"/>
    <n v="167"/>
    <x v="0"/>
    <x v="66"/>
    <x v="4"/>
    <x v="0"/>
    <x v="45"/>
  </r>
  <r>
    <x v="4"/>
    <s v="ALBWS"/>
    <n v="100161"/>
    <s v="ALBWS"/>
    <n v="168"/>
    <x v="0"/>
    <x v="67"/>
    <x v="4"/>
    <x v="0"/>
    <x v="39"/>
  </r>
  <r>
    <x v="4"/>
    <s v="CVGFC"/>
    <n v="100163"/>
    <s v="CVGFC"/>
    <n v="169"/>
    <x v="0"/>
    <x v="68"/>
    <x v="4"/>
    <x v="0"/>
    <x v="9"/>
  </r>
  <r>
    <x v="4"/>
    <s v="BWISI"/>
    <n v="100165"/>
    <s v="BWISI"/>
    <n v="170"/>
    <x v="0"/>
    <x v="69"/>
    <x v="4"/>
    <x v="0"/>
    <x v="17"/>
  </r>
  <r>
    <x v="3"/>
    <s v="EWBPF"/>
    <n v="100167"/>
    <s v="EWBPF"/>
    <n v="171"/>
    <x v="0"/>
    <x v="70"/>
    <x v="3"/>
    <x v="0"/>
    <x v="30"/>
  </r>
  <r>
    <x v="4"/>
    <s v="BNAWO"/>
    <n v="100169"/>
    <s v="BNAWO"/>
    <n v="172"/>
    <x v="0"/>
    <x v="71"/>
    <x v="4"/>
    <x v="0"/>
    <x v="46"/>
  </r>
  <r>
    <x v="3"/>
    <s v="VKSCY"/>
    <n v="100171"/>
    <s v="VKSCY"/>
    <n v="173"/>
    <x v="0"/>
    <x v="72"/>
    <x v="3"/>
    <x v="0"/>
    <x v="29"/>
  </r>
  <r>
    <x v="4"/>
    <s v="BHMSG"/>
    <n v="100173"/>
    <s v="BHMSG"/>
    <n v="175"/>
    <x v="0"/>
    <x v="73"/>
    <x v="4"/>
    <x v="0"/>
    <x v="47"/>
  </r>
  <r>
    <x v="3"/>
    <s v="MSPNF"/>
    <n v="100175"/>
    <s v="MSPNF"/>
    <n v="177"/>
    <x v="0"/>
    <x v="74"/>
    <x v="3"/>
    <x v="0"/>
    <x v="48"/>
  </r>
  <r>
    <x v="4"/>
    <s v="BHMCO"/>
    <n v="100177"/>
    <s v="BHMCO"/>
    <n v="179"/>
    <x v="0"/>
    <x v="75"/>
    <x v="4"/>
    <x v="0"/>
    <x v="22"/>
  </r>
  <r>
    <x v="4"/>
    <s v="BNAFS"/>
    <n v="100179"/>
    <s v="BNAFS"/>
    <n v="181"/>
    <x v="0"/>
    <x v="76"/>
    <x v="4"/>
    <x v="0"/>
    <x v="44"/>
  </r>
  <r>
    <x v="4"/>
    <s v="CHIFH"/>
    <n v="100181"/>
    <s v="CHIFH"/>
    <n v="183"/>
    <x v="0"/>
    <x v="77"/>
    <x v="4"/>
    <x v="0"/>
    <x v="49"/>
  </r>
  <r>
    <x v="4"/>
    <s v="BHMGD"/>
    <n v="100183"/>
    <s v="BHMGD"/>
    <n v="185"/>
    <x v="0"/>
    <x v="78"/>
    <x v="4"/>
    <x v="0"/>
    <x v="11"/>
  </r>
  <r>
    <x v="4"/>
    <s v="DLHFD"/>
    <n v="100185"/>
    <s v="DLHFD"/>
    <n v="187"/>
    <x v="0"/>
    <x v="79"/>
    <x v="4"/>
    <x v="0"/>
    <x v="43"/>
  </r>
  <r>
    <x v="4"/>
    <s v="BZNFY"/>
    <n v="100187"/>
    <s v="BZNFY"/>
    <n v="190"/>
    <x v="0"/>
    <x v="80"/>
    <x v="4"/>
    <x v="0"/>
    <x v="18"/>
  </r>
  <r>
    <x v="4"/>
    <s v="ALOCL"/>
    <n v="100189"/>
    <s v="ALOCL"/>
    <n v="192"/>
    <x v="0"/>
    <x v="81"/>
    <x v="4"/>
    <x v="0"/>
    <x v="20"/>
  </r>
  <r>
    <x v="4"/>
    <s v="ATWCY"/>
    <n v="100191"/>
    <s v="ATWCY"/>
    <n v="193"/>
    <x v="0"/>
    <x v="82"/>
    <x v="4"/>
    <x v="0"/>
    <x v="50"/>
  </r>
  <r>
    <x v="3"/>
    <s v="OMAUF"/>
    <n v="100193"/>
    <s v="OMAUF"/>
    <n v="199"/>
    <x v="0"/>
    <x v="83"/>
    <x v="3"/>
    <x v="0"/>
    <x v="51"/>
  </r>
  <r>
    <x v="3"/>
    <s v="DSMSA"/>
    <n v="100195"/>
    <s v="DSMSA"/>
    <n v="203"/>
    <x v="0"/>
    <x v="84"/>
    <x v="3"/>
    <x v="0"/>
    <x v="13"/>
  </r>
  <r>
    <x v="5"/>
    <s v="YYTCY"/>
    <n v="100197"/>
    <s v="YYTCY"/>
    <n v="211"/>
    <x v="0"/>
    <x v="85"/>
    <x v="5"/>
    <x v="0"/>
    <x v="45"/>
  </r>
  <r>
    <x v="5"/>
    <s v="YYTFI"/>
    <n v="100199"/>
    <s v="YYTFI"/>
    <n v="212"/>
    <x v="0"/>
    <x v="86"/>
    <x v="5"/>
    <x v="0"/>
    <x v="52"/>
  </r>
  <r>
    <x v="5"/>
    <s v="YHZOX"/>
    <n v="100201"/>
    <s v="YHZOX"/>
    <n v="213"/>
    <x v="0"/>
    <x v="87"/>
    <x v="5"/>
    <x v="0"/>
    <x v="53"/>
  </r>
  <r>
    <x v="5"/>
    <s v="YHZCY"/>
    <n v="100203"/>
    <s v="YHZCY"/>
    <n v="214"/>
    <x v="0"/>
    <x v="88"/>
    <x v="5"/>
    <x v="0"/>
    <x v="6"/>
  </r>
  <r>
    <x v="4"/>
    <s v="DTWDR"/>
    <n v="100205"/>
    <s v="DTWDR"/>
    <n v="215"/>
    <x v="0"/>
    <x v="89"/>
    <x v="4"/>
    <x v="0"/>
    <x v="30"/>
  </r>
  <r>
    <x v="4"/>
    <s v="FAYSL"/>
    <n v="100207"/>
    <s v="FAYSL"/>
    <n v="216"/>
    <x v="0"/>
    <x v="90"/>
    <x v="4"/>
    <x v="0"/>
    <x v="38"/>
  </r>
  <r>
    <x v="4"/>
    <s v="HYAFI"/>
    <n v="100209"/>
    <s v="HYAFI"/>
    <n v="217"/>
    <x v="0"/>
    <x v="91"/>
    <x v="4"/>
    <x v="0"/>
    <x v="6"/>
  </r>
  <r>
    <x v="5"/>
    <s v="ORFNC"/>
    <n v="100211"/>
    <s v="ORFNC"/>
    <n v="218"/>
    <x v="0"/>
    <x v="92"/>
    <x v="5"/>
    <x v="0"/>
    <x v="1"/>
  </r>
  <r>
    <x v="4"/>
    <s v="HARFL"/>
    <n v="100213"/>
    <s v="HARFL"/>
    <n v="219"/>
    <x v="0"/>
    <x v="93"/>
    <x v="4"/>
    <x v="0"/>
    <x v="18"/>
  </r>
  <r>
    <x v="5"/>
    <s v="TPACW"/>
    <n v="100215"/>
    <s v="TPACW"/>
    <n v="220"/>
    <x v="0"/>
    <x v="94"/>
    <x v="5"/>
    <x v="0"/>
    <x v="43"/>
  </r>
  <r>
    <x v="4"/>
    <s v="FHKNY"/>
    <n v="100217"/>
    <s v="FHKNY"/>
    <n v="221"/>
    <x v="0"/>
    <x v="95"/>
    <x v="4"/>
    <x v="0"/>
    <x v="54"/>
  </r>
  <r>
    <x v="4"/>
    <s v="GFLFI"/>
    <n v="100219"/>
    <s v="GFLFI"/>
    <n v="222"/>
    <x v="0"/>
    <x v="96"/>
    <x v="4"/>
    <x v="0"/>
    <x v="55"/>
  </r>
  <r>
    <x v="5"/>
    <s v="YKFCY"/>
    <n v="100221"/>
    <s v="YKFCY"/>
    <n v="223"/>
    <x v="0"/>
    <x v="97"/>
    <x v="5"/>
    <x v="0"/>
    <x v="38"/>
  </r>
  <r>
    <x v="4"/>
    <s v="CAECS"/>
    <n v="100223"/>
    <s v="CAECS"/>
    <n v="224"/>
    <x v="0"/>
    <x v="98"/>
    <x v="4"/>
    <x v="0"/>
    <x v="19"/>
  </r>
  <r>
    <x v="5"/>
    <s v="TPAHF"/>
    <n v="100225"/>
    <s v="TPAHF"/>
    <n v="225"/>
    <x v="0"/>
    <x v="99"/>
    <x v="5"/>
    <x v="0"/>
    <x v="39"/>
  </r>
  <r>
    <x v="4"/>
    <s v="ISPCY"/>
    <n v="100227"/>
    <s v="ISPCY"/>
    <n v="226"/>
    <x v="0"/>
    <x v="100"/>
    <x v="4"/>
    <x v="0"/>
    <x v="56"/>
  </r>
  <r>
    <x v="4"/>
    <s v="FLLAW"/>
    <n v="100229"/>
    <s v="FLLAW"/>
    <n v="227"/>
    <x v="0"/>
    <x v="101"/>
    <x v="4"/>
    <x v="0"/>
    <x v="57"/>
  </r>
  <r>
    <x v="5"/>
    <s v="MTHFI"/>
    <n v="100231"/>
    <s v="MTHFI"/>
    <n v="228"/>
    <x v="0"/>
    <x v="102"/>
    <x v="5"/>
    <x v="0"/>
    <x v="58"/>
  </r>
  <r>
    <x v="5"/>
    <s v="SHDFI"/>
    <n v="100233"/>
    <s v="SHDFI"/>
    <n v="229"/>
    <x v="0"/>
    <x v="103"/>
    <x v="5"/>
    <x v="0"/>
    <x v="47"/>
  </r>
  <r>
    <x v="5"/>
    <s v="PBISH"/>
    <n v="100235"/>
    <s v="PBISH"/>
    <n v="230"/>
    <x v="0"/>
    <x v="104"/>
    <x v="5"/>
    <x v="0"/>
    <x v="59"/>
  </r>
  <r>
    <x v="4"/>
    <s v="HHHCY"/>
    <n v="100237"/>
    <s v="HHHCY"/>
    <n v="231"/>
    <x v="0"/>
    <x v="105"/>
    <x v="4"/>
    <x v="0"/>
    <x v="0"/>
  </r>
  <r>
    <x v="5"/>
    <s v="PVDLN"/>
    <n v="100239"/>
    <s v="PVDLN"/>
    <n v="232"/>
    <x v="0"/>
    <x v="106"/>
    <x v="5"/>
    <x v="0"/>
    <x v="60"/>
  </r>
  <r>
    <x v="5"/>
    <s v="SBYFI"/>
    <n v="100241"/>
    <s v="SBYFI"/>
    <n v="233"/>
    <x v="0"/>
    <x v="107"/>
    <x v="5"/>
    <x v="0"/>
    <x v="30"/>
  </r>
  <r>
    <x v="5"/>
    <s v="RSWFM"/>
    <n v="100243"/>
    <s v="RSWFM"/>
    <n v="234"/>
    <x v="0"/>
    <x v="108"/>
    <x v="5"/>
    <x v="0"/>
    <x v="31"/>
  </r>
  <r>
    <x v="5"/>
    <s v="YNGFS"/>
    <n v="100245"/>
    <s v="YNGFS"/>
    <n v="235"/>
    <x v="0"/>
    <x v="109"/>
    <x v="5"/>
    <x v="0"/>
    <x v="34"/>
  </r>
  <r>
    <x v="4"/>
    <s v="FLOSH"/>
    <n v="100247"/>
    <s v="FLOSH"/>
    <n v="236"/>
    <x v="0"/>
    <x v="110"/>
    <x v="4"/>
    <x v="0"/>
    <x v="26"/>
  </r>
  <r>
    <x v="5"/>
    <s v="LYHSH"/>
    <n v="100249"/>
    <s v="LYHSH"/>
    <n v="237"/>
    <x v="0"/>
    <x v="111"/>
    <x v="5"/>
    <x v="0"/>
    <x v="32"/>
  </r>
  <r>
    <x v="5"/>
    <s v="MGWMG"/>
    <n v="100251"/>
    <s v="MGWMG"/>
    <n v="238"/>
    <x v="0"/>
    <x v="112"/>
    <x v="5"/>
    <x v="0"/>
    <x v="26"/>
  </r>
  <r>
    <x v="5"/>
    <s v="YKFCK"/>
    <n v="100253"/>
    <s v="YKFCK"/>
    <n v="239"/>
    <x v="0"/>
    <x v="113"/>
    <x v="5"/>
    <x v="0"/>
    <x v="61"/>
  </r>
  <r>
    <x v="4"/>
    <s v="BWIMS"/>
    <n v="100255"/>
    <s v="BWIMS"/>
    <n v="240"/>
    <x v="0"/>
    <x v="114"/>
    <x v="4"/>
    <x v="0"/>
    <x v="62"/>
  </r>
  <r>
    <x v="4"/>
    <s v="HKYCY"/>
    <n v="100257"/>
    <s v="HKYCY"/>
    <n v="241"/>
    <x v="0"/>
    <x v="115"/>
    <x v="4"/>
    <x v="0"/>
    <x v="63"/>
  </r>
  <r>
    <x v="4"/>
    <s v="HVNFW"/>
    <n v="100259"/>
    <s v="HVNFW"/>
    <n v="242"/>
    <x v="0"/>
    <x v="116"/>
    <x v="4"/>
    <x v="0"/>
    <x v="62"/>
  </r>
  <r>
    <x v="5"/>
    <s v="MCOMS"/>
    <n v="100261"/>
    <s v="MCOMS"/>
    <n v="243"/>
    <x v="0"/>
    <x v="117"/>
    <x v="5"/>
    <x v="0"/>
    <x v="31"/>
  </r>
  <r>
    <x v="4"/>
    <s v="AVLCK"/>
    <n v="100263"/>
    <s v="AVLCK"/>
    <n v="244"/>
    <x v="0"/>
    <x v="118"/>
    <x v="4"/>
    <x v="0"/>
    <x v="47"/>
  </r>
  <r>
    <x v="5"/>
    <s v="RICFC"/>
    <n v="100265"/>
    <s v="RICFC"/>
    <n v="245"/>
    <x v="0"/>
    <x v="119"/>
    <x v="5"/>
    <x v="0"/>
    <x v="55"/>
  </r>
  <r>
    <x v="5"/>
    <s v="PWMPT"/>
    <n v="100267"/>
    <s v="PWMPT"/>
    <n v="246"/>
    <x v="0"/>
    <x v="120"/>
    <x v="5"/>
    <x v="0"/>
    <x v="62"/>
  </r>
  <r>
    <x v="5"/>
    <s v="TPATT"/>
    <n v="100269"/>
    <s v="TPATT"/>
    <n v="247"/>
    <x v="0"/>
    <x v="121"/>
    <x v="5"/>
    <x v="0"/>
    <x v="43"/>
  </r>
  <r>
    <x v="5"/>
    <s v="YYZSV"/>
    <n v="100271"/>
    <s v="YYZSV"/>
    <n v="248"/>
    <x v="0"/>
    <x v="122"/>
    <x v="5"/>
    <x v="0"/>
    <x v="64"/>
  </r>
  <r>
    <x v="4"/>
    <s v="AVLFA"/>
    <n v="100273"/>
    <s v="AVLFA"/>
    <n v="249"/>
    <x v="0"/>
    <x v="123"/>
    <x v="4"/>
    <x v="0"/>
    <x v="48"/>
  </r>
  <r>
    <x v="4"/>
    <s v="GRRCH"/>
    <n v="100275"/>
    <s v="GRRCH"/>
    <n v="250"/>
    <x v="0"/>
    <x v="124"/>
    <x v="4"/>
    <x v="0"/>
    <x v="63"/>
  </r>
  <r>
    <x v="5"/>
    <s v="RDUAA"/>
    <n v="100277"/>
    <s v="RDUAA"/>
    <n v="251"/>
    <x v="0"/>
    <x v="125"/>
    <x v="5"/>
    <x v="0"/>
    <x v="65"/>
  </r>
  <r>
    <x v="5"/>
    <s v="TPACR"/>
    <n v="100279"/>
    <s v="TPACR"/>
    <n v="252"/>
    <x v="0"/>
    <x v="126"/>
    <x v="5"/>
    <x v="0"/>
    <x v="66"/>
  </r>
  <r>
    <x v="6"/>
    <s v="HHHBS"/>
    <n v="100281"/>
    <s v="HHHBS"/>
    <n v="253"/>
    <x v="0"/>
    <x v="127"/>
    <x v="6"/>
    <x v="0"/>
    <x v="29"/>
  </r>
  <r>
    <x v="5"/>
    <s v="ROCCD"/>
    <n v="100283"/>
    <s v="ROCCD"/>
    <n v="254"/>
    <x v="0"/>
    <x v="128"/>
    <x v="5"/>
    <x v="0"/>
    <x v="3"/>
  </r>
  <r>
    <x v="4"/>
    <s v="HARCA"/>
    <n v="100285"/>
    <s v="HARCA"/>
    <n v="255"/>
    <x v="0"/>
    <x v="129"/>
    <x v="4"/>
    <x v="0"/>
    <x v="22"/>
  </r>
  <r>
    <x v="4"/>
    <s v="CMHOX"/>
    <n v="100287"/>
    <s v="CMHOX"/>
    <n v="256"/>
    <x v="0"/>
    <x v="130"/>
    <x v="4"/>
    <x v="0"/>
    <x v="62"/>
  </r>
  <r>
    <x v="5"/>
    <s v="PITMR"/>
    <n v="100289"/>
    <s v="PITMR"/>
    <n v="257"/>
    <x v="0"/>
    <x v="131"/>
    <x v="5"/>
    <x v="0"/>
    <x v="67"/>
  </r>
  <r>
    <x v="4"/>
    <s v="ERISH"/>
    <n v="100291"/>
    <s v="ERISH"/>
    <n v="258"/>
    <x v="0"/>
    <x v="132"/>
    <x v="4"/>
    <x v="0"/>
    <x v="14"/>
  </r>
  <r>
    <x v="4"/>
    <s v="CVGEG"/>
    <n v="100293"/>
    <s v="CVGEG"/>
    <n v="259"/>
    <x v="0"/>
    <x v="133"/>
    <x v="4"/>
    <x v="0"/>
    <x v="39"/>
  </r>
  <r>
    <x v="5"/>
    <s v="PBIFD"/>
    <n v="100295"/>
    <s v="PBIFD"/>
    <n v="260"/>
    <x v="0"/>
    <x v="134"/>
    <x v="5"/>
    <x v="0"/>
    <x v="26"/>
  </r>
  <r>
    <x v="4"/>
    <s v="CVGNP"/>
    <n v="100297"/>
    <s v="CVGNP"/>
    <n v="261"/>
    <x v="0"/>
    <x v="135"/>
    <x v="4"/>
    <x v="0"/>
    <x v="6"/>
  </r>
  <r>
    <x v="5"/>
    <s v="RDUAH"/>
    <s v="100299"/>
    <s v="RDUAH"/>
    <n v="262"/>
    <x v="0"/>
    <x v="136"/>
    <x v="5"/>
    <x v="0"/>
    <x v="68"/>
  </r>
  <r>
    <x v="5"/>
    <s v="LCIPL"/>
    <n v="100301"/>
    <s v="LCIPL"/>
    <n v="263"/>
    <x v="0"/>
    <x v="137"/>
    <x v="5"/>
    <x v="0"/>
    <x v="27"/>
  </r>
  <r>
    <x v="4"/>
    <s v="HARSH"/>
    <n v="100303"/>
    <s v="HARSH"/>
    <n v="264"/>
    <x v="0"/>
    <x v="138"/>
    <x v="4"/>
    <x v="0"/>
    <x v="48"/>
  </r>
  <r>
    <x v="5"/>
    <s v="PITSC"/>
    <n v="100305"/>
    <s v="PITSC"/>
    <n v="265"/>
    <x v="0"/>
    <x v="139"/>
    <x v="5"/>
    <x v="0"/>
    <x v="69"/>
  </r>
  <r>
    <x v="5"/>
    <s v="WASSP"/>
    <n v="100307"/>
    <s v="WASSP"/>
    <n v="266"/>
    <x v="0"/>
    <x v="140"/>
    <x v="5"/>
    <x v="0"/>
    <x v="70"/>
  </r>
  <r>
    <x v="4"/>
    <s v="FLLMM"/>
    <n v="100309"/>
    <s v="FLLMM"/>
    <n v="267"/>
    <x v="0"/>
    <x v="141"/>
    <x v="4"/>
    <x v="0"/>
    <x v="71"/>
  </r>
  <r>
    <x v="5"/>
    <s v="MLBFI"/>
    <n v="100311"/>
    <s v="MLBFI"/>
    <n v="268"/>
    <x v="0"/>
    <x v="142"/>
    <x v="5"/>
    <x v="0"/>
    <x v="23"/>
  </r>
  <r>
    <x v="5"/>
    <s v="SWFFG"/>
    <n v="100313"/>
    <s v="SWFFG"/>
    <n v="269"/>
    <x v="0"/>
    <x v="143"/>
    <x v="5"/>
    <x v="0"/>
    <x v="13"/>
  </r>
  <r>
    <x v="4"/>
    <s v="CLTSD"/>
    <n v="100315"/>
    <s v="CLTSD"/>
    <n v="270"/>
    <x v="0"/>
    <x v="144"/>
    <x v="4"/>
    <x v="0"/>
    <x v="72"/>
  </r>
  <r>
    <x v="4"/>
    <s v="CHARM"/>
    <n v="100317"/>
    <s v="CHARM"/>
    <n v="271"/>
    <x v="0"/>
    <x v="145"/>
    <x v="4"/>
    <x v="0"/>
    <x v="10"/>
  </r>
  <r>
    <x v="4"/>
    <s v="CLTHC"/>
    <n v="100319"/>
    <s v="CLTHC"/>
    <n v="272"/>
    <x v="0"/>
    <x v="146"/>
    <x v="4"/>
    <x v="0"/>
    <x v="26"/>
  </r>
  <r>
    <x v="4"/>
    <s v="FLLCO"/>
    <n v="100321"/>
    <s v="FLLCO"/>
    <n v="273"/>
    <x v="0"/>
    <x v="147"/>
    <x v="4"/>
    <x v="0"/>
    <x v="73"/>
  </r>
  <r>
    <x v="5"/>
    <s v="RSWNP"/>
    <n v="100323"/>
    <s v="RSWNP"/>
    <n v="274"/>
    <x v="0"/>
    <x v="148"/>
    <x v="5"/>
    <x v="0"/>
    <x v="16"/>
  </r>
  <r>
    <x v="4"/>
    <s v="FLLCP"/>
    <n v="100325"/>
    <s v="FLLCP"/>
    <n v="275"/>
    <x v="0"/>
    <x v="149"/>
    <x v="4"/>
    <x v="0"/>
    <x v="74"/>
  </r>
  <r>
    <x v="4"/>
    <s v="CAEOB"/>
    <n v="100327"/>
    <s v="CAEOB"/>
    <n v="276"/>
    <x v="0"/>
    <x v="150"/>
    <x v="4"/>
    <x v="0"/>
    <x v="75"/>
  </r>
  <r>
    <x v="4"/>
    <s v="CLTFV"/>
    <n v="100329"/>
    <s v="CLTFV"/>
    <n v="277"/>
    <x v="0"/>
    <x v="151"/>
    <x v="4"/>
    <x v="0"/>
    <x v="49"/>
  </r>
  <r>
    <x v="5"/>
    <s v="PVDFK"/>
    <n v="100331"/>
    <s v="PVDFK"/>
    <n v="278"/>
    <x v="0"/>
    <x v="152"/>
    <x v="5"/>
    <x v="0"/>
    <x v="47"/>
  </r>
  <r>
    <x v="5"/>
    <s v="MLBFP"/>
    <n v="100333"/>
    <s v="MLBFP"/>
    <n v="279"/>
    <x v="0"/>
    <x v="153"/>
    <x v="5"/>
    <x v="0"/>
    <x v="30"/>
  </r>
  <r>
    <x v="5"/>
    <s v="ORFNW"/>
    <n v="100335"/>
    <s v="ORFNW"/>
    <n v="280"/>
    <x v="0"/>
    <x v="154"/>
    <x v="5"/>
    <x v="0"/>
    <x v="51"/>
  </r>
  <r>
    <x v="5"/>
    <s v="MBSCB"/>
    <n v="100337"/>
    <s v="MBSCB"/>
    <n v="281"/>
    <x v="0"/>
    <x v="155"/>
    <x v="5"/>
    <x v="0"/>
    <x v="47"/>
  </r>
  <r>
    <x v="4"/>
    <s v="FLLLD"/>
    <n v="100339"/>
    <s v="FLLLD"/>
    <n v="282"/>
    <x v="0"/>
    <x v="156"/>
    <x v="4"/>
    <x v="0"/>
    <x v="30"/>
  </r>
  <r>
    <x v="4"/>
    <s v="ILGBW"/>
    <n v="100341"/>
    <s v="ILGBW"/>
    <n v="283"/>
    <x v="0"/>
    <x v="157"/>
    <x v="4"/>
    <x v="0"/>
    <x v="39"/>
  </r>
  <r>
    <x v="4"/>
    <s v="CLTHP"/>
    <n v="100343"/>
    <s v="CLTHP"/>
    <n v="284"/>
    <x v="0"/>
    <x v="158"/>
    <x v="4"/>
    <x v="0"/>
    <x v="3"/>
  </r>
  <r>
    <x v="4"/>
    <s v="INDST"/>
    <n v="100345"/>
    <s v="INDST"/>
    <n v="285"/>
    <x v="0"/>
    <x v="159"/>
    <x v="4"/>
    <x v="0"/>
    <x v="9"/>
  </r>
  <r>
    <x v="5"/>
    <s v="RDUSX"/>
    <n v="100347"/>
    <s v="RDUSX"/>
    <n v="286"/>
    <x v="0"/>
    <x v="160"/>
    <x v="5"/>
    <x v="0"/>
    <x v="49"/>
  </r>
  <r>
    <x v="4"/>
    <s v="FLLFN"/>
    <n v="100349"/>
    <s v="FLLFN"/>
    <n v="287"/>
    <x v="0"/>
    <x v="161"/>
    <x v="4"/>
    <x v="0"/>
    <x v="22"/>
  </r>
  <r>
    <x v="4"/>
    <s v="INDCV"/>
    <n v="100351"/>
    <s v="INDCV"/>
    <n v="288"/>
    <x v="0"/>
    <x v="162"/>
    <x v="4"/>
    <x v="0"/>
    <x v="50"/>
  </r>
  <r>
    <x v="4"/>
    <s v="FLLDB"/>
    <s v="100353"/>
    <s v="FLLDB"/>
    <n v="289"/>
    <x v="0"/>
    <x v="163"/>
    <x v="4"/>
    <x v="0"/>
    <x v="8"/>
  </r>
  <r>
    <x v="4"/>
    <s v="HARFH"/>
    <n v="100355"/>
    <s v="HARFH"/>
    <n v="290"/>
    <x v="0"/>
    <x v="164"/>
    <x v="4"/>
    <x v="0"/>
    <x v="37"/>
  </r>
  <r>
    <x v="4"/>
    <s v="CMHAC"/>
    <n v="100357"/>
    <s v="CMHAC"/>
    <n v="291"/>
    <x v="0"/>
    <x v="165"/>
    <x v="4"/>
    <x v="0"/>
    <x v="76"/>
  </r>
  <r>
    <x v="4"/>
    <s v="INDIF"/>
    <n v="100359"/>
    <s v="INDIF"/>
    <n v="292"/>
    <x v="0"/>
    <x v="166"/>
    <x v="4"/>
    <x v="0"/>
    <x v="17"/>
  </r>
  <r>
    <x v="5"/>
    <s v="TTNCY"/>
    <n v="100361"/>
    <s v="TTNCY"/>
    <n v="293"/>
    <x v="0"/>
    <x v="167"/>
    <x v="5"/>
    <x v="0"/>
    <x v="56"/>
  </r>
  <r>
    <x v="4"/>
    <s v="CHSFN"/>
    <n v="100363"/>
    <s v="CHSFN"/>
    <n v="294"/>
    <x v="0"/>
    <x v="168"/>
    <x v="4"/>
    <x v="0"/>
    <x v="20"/>
  </r>
  <r>
    <x v="4"/>
    <s v="FLLCS"/>
    <n v="100365"/>
    <s v="FLLCS"/>
    <n v="295"/>
    <x v="0"/>
    <x v="169"/>
    <x v="4"/>
    <x v="0"/>
    <x v="77"/>
  </r>
  <r>
    <x v="4"/>
    <s v="AZOSP"/>
    <n v="100367"/>
    <s v="AZOSP"/>
    <n v="296"/>
    <x v="0"/>
    <x v="170"/>
    <x v="4"/>
    <x v="0"/>
    <x v="78"/>
  </r>
  <r>
    <x v="5"/>
    <s v="RSWSE"/>
    <n v="100369"/>
    <s v="RSWSE"/>
    <n v="297"/>
    <x v="0"/>
    <x v="171"/>
    <x v="5"/>
    <x v="0"/>
    <x v="47"/>
  </r>
  <r>
    <x v="4"/>
    <s v="CAKAM"/>
    <n v="100371"/>
    <s v="CAKAM"/>
    <n v="298"/>
    <x v="0"/>
    <x v="172"/>
    <x v="4"/>
    <x v="0"/>
    <x v="67"/>
  </r>
  <r>
    <x v="4"/>
    <s v="FLLAD"/>
    <n v="100373"/>
    <s v="FLLAD"/>
    <n v="299"/>
    <x v="0"/>
    <x v="173"/>
    <x v="4"/>
    <x v="0"/>
    <x v="2"/>
  </r>
  <r>
    <x v="5"/>
    <s v="MGMSM"/>
    <n v="100377"/>
    <s v="MGMSM"/>
    <n v="301"/>
    <x v="0"/>
    <x v="174"/>
    <x v="5"/>
    <x v="0"/>
    <x v="40"/>
  </r>
  <r>
    <x v="5"/>
    <s v="STCAL"/>
    <n v="100379"/>
    <s v="STCAL"/>
    <n v="302"/>
    <x v="0"/>
    <x v="175"/>
    <x v="5"/>
    <x v="0"/>
    <x v="48"/>
  </r>
  <r>
    <x v="5"/>
    <s v="STCCY"/>
    <n v="100381"/>
    <s v="STCCY"/>
    <n v="303"/>
    <x v="0"/>
    <x v="176"/>
    <x v="5"/>
    <x v="0"/>
    <x v="79"/>
  </r>
  <r>
    <x v="5"/>
    <s v="RSTFI"/>
    <n v="100383"/>
    <s v="RSTFI"/>
    <n v="305"/>
    <x v="0"/>
    <x v="177"/>
    <x v="5"/>
    <x v="0"/>
    <x v="11"/>
  </r>
  <r>
    <x v="5"/>
    <s v="DSMWF"/>
    <n v="100385"/>
    <s v="DSMWF"/>
    <n v="307"/>
    <x v="0"/>
    <x v="178"/>
    <x v="5"/>
    <x v="0"/>
    <x v="16"/>
  </r>
  <r>
    <x v="5"/>
    <s v="LSECY"/>
    <n v="100387"/>
    <s v="LSECY"/>
    <n v="309"/>
    <x v="0"/>
    <x v="179"/>
    <x v="5"/>
    <x v="0"/>
    <x v="39"/>
  </r>
  <r>
    <x v="5"/>
    <s v="MSPWC"/>
    <n v="100389"/>
    <s v="MSPWC"/>
    <n v="310"/>
    <x v="0"/>
    <x v="180"/>
    <x v="5"/>
    <x v="0"/>
    <x v="22"/>
  </r>
  <r>
    <x v="5"/>
    <s v="MLIBC"/>
    <n v="100391"/>
    <s v="MLIBC"/>
    <n v="311"/>
    <x v="0"/>
    <x v="181"/>
    <x v="5"/>
    <x v="0"/>
    <x v="80"/>
  </r>
  <r>
    <x v="5"/>
    <s v="MEMSF"/>
    <n v="100395"/>
    <s v="MEMSF"/>
    <n v="314"/>
    <x v="0"/>
    <x v="182"/>
    <x v="5"/>
    <x v="0"/>
    <x v="49"/>
  </r>
  <r>
    <x v="5"/>
    <s v="MSPFB"/>
    <n v="100397"/>
    <s v="MSPFB"/>
    <n v="315"/>
    <x v="0"/>
    <x v="183"/>
    <x v="5"/>
    <x v="0"/>
    <x v="43"/>
  </r>
  <r>
    <x v="5"/>
    <s v="MSPRV"/>
    <n v="100401"/>
    <s v="MSPRV"/>
    <n v="319"/>
    <x v="0"/>
    <x v="184"/>
    <x v="5"/>
    <x v="0"/>
    <x v="81"/>
  </r>
  <r>
    <x v="5"/>
    <s v="PAHCY"/>
    <n v="100403"/>
    <s v="PAHCY"/>
    <n v="320"/>
    <x v="0"/>
    <x v="185"/>
    <x v="5"/>
    <x v="0"/>
    <x v="13"/>
  </r>
  <r>
    <x v="5"/>
    <s v="MEMGT"/>
    <n v="100405"/>
    <s v="MEMGT"/>
    <n v="321"/>
    <x v="0"/>
    <x v="186"/>
    <x v="5"/>
    <x v="0"/>
    <x v="78"/>
  </r>
  <r>
    <x v="5"/>
    <s v="DSMSH"/>
    <n v="100407"/>
    <s v="DSMSH"/>
    <n v="323"/>
    <x v="0"/>
    <x v="187"/>
    <x v="5"/>
    <x v="0"/>
    <x v="50"/>
  </r>
  <r>
    <x v="5"/>
    <s v="MKEFW"/>
    <n v="100409"/>
    <s v="MKEFW"/>
    <n v="324"/>
    <x v="0"/>
    <x v="188"/>
    <x v="5"/>
    <x v="0"/>
    <x v="77"/>
  </r>
  <r>
    <x v="5"/>
    <s v="PFNFI"/>
    <n v="100411"/>
    <s v="PFNFI"/>
    <n v="326"/>
    <x v="0"/>
    <x v="189"/>
    <x v="5"/>
    <x v="0"/>
    <x v="31"/>
  </r>
  <r>
    <x v="5"/>
    <s v="MKEKN"/>
    <n v="100415"/>
    <s v="MKEKN"/>
    <n v="328"/>
    <x v="0"/>
    <x v="190"/>
    <x v="5"/>
    <x v="0"/>
    <x v="30"/>
  </r>
  <r>
    <x v="5"/>
    <s v="GTRCY"/>
    <n v="100417"/>
    <s v="GTRCY"/>
    <n v="329"/>
    <x v="0"/>
    <x v="191"/>
    <x v="5"/>
    <x v="0"/>
    <x v="77"/>
  </r>
  <r>
    <x v="5"/>
    <s v="MOBCY"/>
    <n v="100419"/>
    <s v="MOBCY"/>
    <n v="330"/>
    <x v="0"/>
    <x v="192"/>
    <x v="5"/>
    <x v="0"/>
    <x v="39"/>
  </r>
  <r>
    <x v="5"/>
    <s v="GTRFI"/>
    <n v="100421"/>
    <s v="GTRFI"/>
    <n v="332"/>
    <x v="0"/>
    <x v="193"/>
    <x v="5"/>
    <x v="0"/>
    <x v="27"/>
  </r>
  <r>
    <x v="5"/>
    <s v="OWBCY"/>
    <n v="100423"/>
    <s v="OWBCY"/>
    <n v="335"/>
    <x v="0"/>
    <x v="194"/>
    <x v="5"/>
    <x v="0"/>
    <x v="31"/>
  </r>
  <r>
    <x v="5"/>
    <s v="SBMFI"/>
    <n v="100427"/>
    <s v="SBMFI"/>
    <n v="338"/>
    <x v="0"/>
    <x v="195"/>
    <x v="5"/>
    <x v="0"/>
    <x v="30"/>
  </r>
  <r>
    <x v="5"/>
    <s v="SCRFI"/>
    <n v="100429"/>
    <s v="SCRFI"/>
    <n v="339"/>
    <x v="0"/>
    <x v="196"/>
    <x v="5"/>
    <x v="0"/>
    <x v="10"/>
  </r>
  <r>
    <x v="5"/>
    <s v="YGKCY"/>
    <n v="100431"/>
    <s v="YGKCY"/>
    <n v="340"/>
    <x v="0"/>
    <x v="197"/>
    <x v="5"/>
    <x v="0"/>
    <x v="71"/>
  </r>
  <r>
    <x v="5"/>
    <s v="SDFLE"/>
    <n v="100433"/>
    <s v="SDFLE"/>
    <n v="341"/>
    <x v="0"/>
    <x v="198"/>
    <x v="5"/>
    <x v="0"/>
    <x v="27"/>
  </r>
  <r>
    <x v="5"/>
    <s v="YQMFI"/>
    <n v="100435"/>
    <s v="YQMFI"/>
    <n v="342"/>
    <x v="0"/>
    <x v="199"/>
    <x v="5"/>
    <x v="0"/>
    <x v="43"/>
  </r>
  <r>
    <x v="2"/>
    <s v="AUSBU"/>
    <n v="200009"/>
    <s v="AUSBU"/>
    <n v="73"/>
    <x v="1"/>
    <x v="200"/>
    <x v="2"/>
    <x v="0"/>
    <x v="9"/>
  </r>
  <r>
    <x v="3"/>
    <s v="MCIFG"/>
    <n v="200011"/>
    <s v="MCIFG"/>
    <n v="74"/>
    <x v="1"/>
    <x v="201"/>
    <x v="3"/>
    <x v="0"/>
    <x v="29"/>
  </r>
  <r>
    <x v="2"/>
    <s v="JACSH"/>
    <n v="200013"/>
    <s v="JACSH"/>
    <n v="76"/>
    <x v="1"/>
    <x v="202"/>
    <x v="2"/>
    <x v="0"/>
    <x v="60"/>
  </r>
  <r>
    <x v="2"/>
    <s v="DENLF"/>
    <n v="200015"/>
    <s v="DENLF"/>
    <n v="77"/>
    <x v="1"/>
    <x v="203"/>
    <x v="2"/>
    <x v="0"/>
    <x v="30"/>
  </r>
  <r>
    <x v="3"/>
    <s v="CYSFI"/>
    <n v="200017"/>
    <s v="CYSFI"/>
    <n v="78"/>
    <x v="1"/>
    <x v="204"/>
    <x v="3"/>
    <x v="0"/>
    <x v="82"/>
  </r>
  <r>
    <x v="3"/>
    <s v="YVEFI"/>
    <n v="200019"/>
    <s v="YVEFI"/>
    <n v="80"/>
    <x v="1"/>
    <x v="205"/>
    <x v="3"/>
    <x v="0"/>
    <x v="50"/>
  </r>
  <r>
    <x v="2"/>
    <s v="PDXNH"/>
    <n v="200021"/>
    <s v="PDXNH"/>
    <n v="81"/>
    <x v="1"/>
    <x v="206"/>
    <x v="2"/>
    <x v="0"/>
    <x v="83"/>
  </r>
  <r>
    <x v="3"/>
    <s v="YSNFI"/>
    <n v="200023"/>
    <s v="YSNFI"/>
    <n v="82"/>
    <x v="1"/>
    <x v="207"/>
    <x v="3"/>
    <x v="0"/>
    <x v="26"/>
  </r>
  <r>
    <x v="3"/>
    <s v="YXSCY"/>
    <n v="200025"/>
    <s v="YXSCY"/>
    <n v="83"/>
    <x v="1"/>
    <x v="208"/>
    <x v="3"/>
    <x v="0"/>
    <x v="84"/>
  </r>
  <r>
    <x v="3"/>
    <s v="YRVFI"/>
    <n v="200027"/>
    <s v="YRVFI"/>
    <n v="84"/>
    <x v="1"/>
    <x v="209"/>
    <x v="3"/>
    <x v="0"/>
    <x v="12"/>
  </r>
  <r>
    <x v="3"/>
    <s v="EATML"/>
    <n v="200029"/>
    <s v="EATML"/>
    <n v="85"/>
    <x v="1"/>
    <x v="210"/>
    <x v="3"/>
    <x v="0"/>
    <x v="20"/>
  </r>
  <r>
    <x v="3"/>
    <s v="BOIFW"/>
    <n v="200031"/>
    <s v="BOIFW"/>
    <n v="87"/>
    <x v="1"/>
    <x v="211"/>
    <x v="3"/>
    <x v="0"/>
    <x v="32"/>
  </r>
  <r>
    <x v="2"/>
    <s v="YQLFI"/>
    <n v="200033"/>
    <s v="YQLFI"/>
    <n v="91"/>
    <x v="1"/>
    <x v="212"/>
    <x v="2"/>
    <x v="0"/>
    <x v="10"/>
  </r>
  <r>
    <x v="3"/>
    <s v="LITSH"/>
    <n v="200035"/>
    <s v="LITSH"/>
    <n v="96"/>
    <x v="1"/>
    <x v="213"/>
    <x v="3"/>
    <x v="0"/>
    <x v="39"/>
  </r>
  <r>
    <x v="3"/>
    <s v="DALSK"/>
    <n v="200037"/>
    <s v="DALSK"/>
    <n v="100"/>
    <x v="1"/>
    <x v="214"/>
    <x v="3"/>
    <x v="0"/>
    <x v="6"/>
  </r>
  <r>
    <x v="2"/>
    <s v="AUSCP"/>
    <n v="200039"/>
    <s v="AUSCP"/>
    <n v="103"/>
    <x v="1"/>
    <x v="215"/>
    <x v="2"/>
    <x v="0"/>
    <x v="27"/>
  </r>
  <r>
    <x v="2"/>
    <s v="AUSNL"/>
    <n v="200041"/>
    <s v="AUSNL"/>
    <n v="104"/>
    <x v="1"/>
    <x v="216"/>
    <x v="2"/>
    <x v="0"/>
    <x v="38"/>
  </r>
  <r>
    <x v="2"/>
    <s v="BOICY"/>
    <n v="200043"/>
    <s v="BOICY"/>
    <n v="109"/>
    <x v="1"/>
    <x v="217"/>
    <x v="2"/>
    <x v="0"/>
    <x v="85"/>
  </r>
  <r>
    <x v="3"/>
    <s v="OMASB"/>
    <n v="200045"/>
    <s v="OMASB"/>
    <n v="174"/>
    <x v="1"/>
    <x v="218"/>
    <x v="3"/>
    <x v="0"/>
    <x v="60"/>
  </r>
  <r>
    <x v="3"/>
    <s v="LBFFI"/>
    <n v="200047"/>
    <s v="LBFFI"/>
    <n v="176"/>
    <x v="1"/>
    <x v="219"/>
    <x v="3"/>
    <x v="0"/>
    <x v="43"/>
  </r>
  <r>
    <x v="3"/>
    <s v="OKCAC"/>
    <n v="200049"/>
    <s v="OKCAC"/>
    <n v="178"/>
    <x v="1"/>
    <x v="220"/>
    <x v="3"/>
    <x v="0"/>
    <x v="65"/>
  </r>
  <r>
    <x v="3"/>
    <s v="HOTFA"/>
    <n v="200051"/>
    <s v="HOTFA"/>
    <n v="180"/>
    <x v="1"/>
    <x v="221"/>
    <x v="3"/>
    <x v="0"/>
    <x v="23"/>
  </r>
  <r>
    <x v="4"/>
    <s v="CGIFC"/>
    <n v="200053"/>
    <s v="CGIFC"/>
    <n v="182"/>
    <x v="1"/>
    <x v="222"/>
    <x v="4"/>
    <x v="0"/>
    <x v="79"/>
  </r>
  <r>
    <x v="3"/>
    <s v="MFRFK"/>
    <n v="200055"/>
    <s v="MFRFK"/>
    <n v="184"/>
    <x v="1"/>
    <x v="223"/>
    <x v="3"/>
    <x v="0"/>
    <x v="9"/>
  </r>
  <r>
    <x v="4"/>
    <s v="CNMFI"/>
    <n v="200057"/>
    <s v="CNMFI"/>
    <n v="186"/>
    <x v="1"/>
    <x v="224"/>
    <x v="4"/>
    <x v="0"/>
    <x v="11"/>
  </r>
  <r>
    <x v="4"/>
    <s v="AUSSM"/>
    <n v="200059"/>
    <s v="AUSSM"/>
    <n v="188"/>
    <x v="1"/>
    <x v="225"/>
    <x v="4"/>
    <x v="0"/>
    <x v="50"/>
  </r>
  <r>
    <x v="4"/>
    <s v="DENFW"/>
    <n v="200061"/>
    <s v="DENFW"/>
    <n v="189"/>
    <x v="1"/>
    <x v="226"/>
    <x v="4"/>
    <x v="0"/>
    <x v="71"/>
  </r>
  <r>
    <x v="4"/>
    <s v="CRPFC"/>
    <n v="200063"/>
    <s v="CRPFC"/>
    <n v="191"/>
    <x v="1"/>
    <x v="227"/>
    <x v="4"/>
    <x v="0"/>
    <x v="86"/>
  </r>
  <r>
    <x v="3"/>
    <s v="LITCR"/>
    <n v="200065"/>
    <s v="LITCR"/>
    <n v="194"/>
    <x v="1"/>
    <x v="228"/>
    <x v="3"/>
    <x v="0"/>
    <x v="30"/>
  </r>
  <r>
    <x v="3"/>
    <s v="SJTFI"/>
    <n v="200067"/>
    <s v="SJTFI"/>
    <n v="195"/>
    <x v="1"/>
    <x v="229"/>
    <x v="3"/>
    <x v="0"/>
    <x v="87"/>
  </r>
  <r>
    <x v="4"/>
    <s v="CHISN"/>
    <n v="200069"/>
    <s v="CHISN"/>
    <n v="196"/>
    <x v="1"/>
    <x v="230"/>
    <x v="4"/>
    <x v="0"/>
    <x v="88"/>
  </r>
  <r>
    <x v="4"/>
    <s v="AUSCY"/>
    <n v="200071"/>
    <s v="AUSCY"/>
    <n v="197"/>
    <x v="1"/>
    <x v="231"/>
    <x v="4"/>
    <x v="0"/>
    <x v="89"/>
  </r>
  <r>
    <x v="4"/>
    <s v="CYSSH"/>
    <n v="200073"/>
    <s v="CYSSH"/>
    <n v="198"/>
    <x v="1"/>
    <x v="232"/>
    <x v="4"/>
    <x v="0"/>
    <x v="9"/>
  </r>
  <r>
    <x v="3"/>
    <s v="PHXMZ"/>
    <n v="200075"/>
    <s v="PHXMZ"/>
    <n v="200"/>
    <x v="1"/>
    <x v="233"/>
    <x v="3"/>
    <x v="0"/>
    <x v="17"/>
  </r>
  <r>
    <x v="4"/>
    <s v="COSSM"/>
    <n v="200077"/>
    <s v="COSSM"/>
    <n v="201"/>
    <x v="1"/>
    <x v="234"/>
    <x v="4"/>
    <x v="0"/>
    <x v="27"/>
  </r>
  <r>
    <x v="4"/>
    <s v="DENFL"/>
    <n v="200079"/>
    <s v="DENFL"/>
    <n v="202"/>
    <x v="1"/>
    <x v="235"/>
    <x v="4"/>
    <x v="0"/>
    <x v="65"/>
  </r>
  <r>
    <x v="4"/>
    <s v="AUSWL"/>
    <n v="200081"/>
    <s v="AUSWL"/>
    <n v="204"/>
    <x v="1"/>
    <x v="236"/>
    <x v="4"/>
    <x v="0"/>
    <x v="86"/>
  </r>
  <r>
    <x v="4"/>
    <s v="COSSN"/>
    <n v="200083"/>
    <s v="COSSN"/>
    <n v="205"/>
    <x v="1"/>
    <x v="237"/>
    <x v="4"/>
    <x v="0"/>
    <x v="19"/>
  </r>
  <r>
    <x v="4"/>
    <s v="BFFFI"/>
    <n v="200085"/>
    <s v="BFFFI"/>
    <n v="206"/>
    <x v="1"/>
    <x v="238"/>
    <x v="4"/>
    <x v="0"/>
    <x v="27"/>
  </r>
  <r>
    <x v="3"/>
    <s v="MAFLD"/>
    <n v="200087"/>
    <s v="MAFLD"/>
    <n v="207"/>
    <x v="1"/>
    <x v="239"/>
    <x v="3"/>
    <x v="0"/>
    <x v="37"/>
  </r>
  <r>
    <x v="4"/>
    <s v="BOIDT"/>
    <n v="200089"/>
    <s v="BOIDT"/>
    <n v="208"/>
    <x v="1"/>
    <x v="240"/>
    <x v="4"/>
    <x v="0"/>
    <x v="90"/>
  </r>
  <r>
    <x v="4"/>
    <s v="CHIFD"/>
    <n v="200091"/>
    <s v="CHIFD"/>
    <n v="209"/>
    <x v="1"/>
    <x v="241"/>
    <x v="4"/>
    <x v="0"/>
    <x v="91"/>
  </r>
  <r>
    <x v="4"/>
    <s v="AMADT"/>
    <n v="200093"/>
    <s v="AMADT"/>
    <n v="210"/>
    <x v="1"/>
    <x v="242"/>
    <x v="4"/>
    <x v="0"/>
    <x v="37"/>
  </r>
  <r>
    <x v="5"/>
    <s v="MSYSD"/>
    <n v="200097"/>
    <s v="MSYSD"/>
    <n v="306"/>
    <x v="1"/>
    <x v="243"/>
    <x v="5"/>
    <x v="0"/>
    <x v="86"/>
  </r>
  <r>
    <x v="5"/>
    <s v="MHKCM"/>
    <n v="200101"/>
    <s v="MHKCM"/>
    <n v="313"/>
    <x v="1"/>
    <x v="244"/>
    <x v="5"/>
    <x v="0"/>
    <x v="66"/>
  </r>
  <r>
    <x v="5"/>
    <s v="SHVSH"/>
    <n v="200103"/>
    <s v="SHVSH"/>
    <n v="316"/>
    <x v="1"/>
    <x v="245"/>
    <x v="5"/>
    <x v="0"/>
    <x v="76"/>
  </r>
  <r>
    <x v="5"/>
    <s v="PNCST"/>
    <n v="200105"/>
    <s v="PNCST"/>
    <n v="318"/>
    <x v="1"/>
    <x v="246"/>
    <x v="5"/>
    <x v="0"/>
    <x v="92"/>
  </r>
  <r>
    <x v="5"/>
    <s v="LNKSE"/>
    <n v="200107"/>
    <s v="LNKSE"/>
    <n v="322"/>
    <x v="1"/>
    <x v="247"/>
    <x v="5"/>
    <x v="0"/>
    <x v="86"/>
  </r>
  <r>
    <x v="5"/>
    <s v="LITCO"/>
    <n v="200115"/>
    <s v="LITCO"/>
    <n v="334"/>
    <x v="1"/>
    <x v="248"/>
    <x v="5"/>
    <x v="0"/>
    <x v="31"/>
  </r>
  <r>
    <x v="5"/>
    <s v="LITAR"/>
    <n v="200117"/>
    <s v="LITAR"/>
    <n v="336"/>
    <x v="1"/>
    <x v="249"/>
    <x v="5"/>
    <x v="0"/>
    <x v="44"/>
  </r>
  <r>
    <x v="7"/>
    <s v="AVLBS"/>
    <n v="100467"/>
    <s v="AVLBS"/>
    <n v="359"/>
    <x v="0"/>
    <x v="250"/>
    <x v="7"/>
    <x v="0"/>
    <x v="9"/>
  </r>
  <r>
    <x v="7"/>
    <s v="AVLFF"/>
    <n v="100529"/>
    <s v="AVLFF"/>
    <n v="390"/>
    <x v="0"/>
    <x v="251"/>
    <x v="7"/>
    <x v="0"/>
    <x v="80"/>
  </r>
  <r>
    <x v="7"/>
    <s v="AVLHV"/>
    <n v="100597"/>
    <s v="AVLHV"/>
    <n v="424"/>
    <x v="0"/>
    <x v="252"/>
    <x v="7"/>
    <x v="0"/>
    <x v="20"/>
  </r>
  <r>
    <x v="7"/>
    <s v="CAKSH"/>
    <n v="100505"/>
    <s v="CAKSH"/>
    <n v="378"/>
    <x v="0"/>
    <x v="253"/>
    <x v="7"/>
    <x v="0"/>
    <x v="79"/>
  </r>
  <r>
    <x v="7"/>
    <s v="CHOFC"/>
    <n v="100569"/>
    <s v="CHOFC"/>
    <n v="410"/>
    <x v="0"/>
    <x v="254"/>
    <x v="7"/>
    <x v="0"/>
    <x v="14"/>
  </r>
  <r>
    <x v="7"/>
    <s v="CLEMD"/>
    <n v="100497"/>
    <s v="CLEMD"/>
    <n v="374"/>
    <x v="0"/>
    <x v="255"/>
    <x v="7"/>
    <x v="0"/>
    <x v="93"/>
  </r>
  <r>
    <x v="7"/>
    <s v="CLTCG"/>
    <n v="100459"/>
    <s v="CLTCG"/>
    <n v="355"/>
    <x v="0"/>
    <x v="256"/>
    <x v="7"/>
    <x v="0"/>
    <x v="94"/>
  </r>
  <r>
    <x v="7"/>
    <s v="CLTLN"/>
    <n v="100519"/>
    <s v="CLTLN"/>
    <n v="385"/>
    <x v="0"/>
    <x v="257"/>
    <x v="7"/>
    <x v="0"/>
    <x v="18"/>
  </r>
  <r>
    <x v="7"/>
    <s v="CLTMR"/>
    <n v="100559"/>
    <s v="CLTMR"/>
    <n v="405"/>
    <x v="0"/>
    <x v="258"/>
    <x v="7"/>
    <x v="0"/>
    <x v="13"/>
  </r>
  <r>
    <x v="7"/>
    <s v="CLTPV"/>
    <n v="100473"/>
    <s v="CLTPV"/>
    <n v="362"/>
    <x v="0"/>
    <x v="259"/>
    <x v="7"/>
    <x v="0"/>
    <x v="79"/>
  </r>
  <r>
    <x v="7"/>
    <s v="CLTUT"/>
    <n v="100609"/>
    <s v="CLTUT"/>
    <n v="430"/>
    <x v="0"/>
    <x v="260"/>
    <x v="7"/>
    <x v="0"/>
    <x v="89"/>
  </r>
  <r>
    <x v="7"/>
    <s v="CMHFG"/>
    <n v="100489"/>
    <s v="CMHFG"/>
    <n v="370"/>
    <x v="0"/>
    <x v="261"/>
    <x v="7"/>
    <x v="0"/>
    <x v="26"/>
  </r>
  <r>
    <x v="7"/>
    <s v="CMHOS"/>
    <n v="100451"/>
    <s v="CMHOS"/>
    <n v="351"/>
    <x v="0"/>
    <x v="262"/>
    <x v="7"/>
    <x v="0"/>
    <x v="74"/>
  </r>
  <r>
    <x v="7"/>
    <s v="CSGAO"/>
    <n v="100643"/>
    <s v="CSGAO"/>
    <n v="447"/>
    <x v="0"/>
    <x v="263"/>
    <x v="7"/>
    <x v="0"/>
    <x v="95"/>
  </r>
  <r>
    <x v="7"/>
    <s v="CSGCA"/>
    <n v="100661"/>
    <s v="CSGCA"/>
    <n v="458"/>
    <x v="0"/>
    <x v="264"/>
    <x v="7"/>
    <x v="0"/>
    <x v="29"/>
  </r>
  <r>
    <x v="7"/>
    <s v="CVGCA"/>
    <n v="100465"/>
    <s v="CVGCA"/>
    <n v="358"/>
    <x v="0"/>
    <x v="265"/>
    <x v="7"/>
    <x v="0"/>
    <x v="22"/>
  </r>
  <r>
    <x v="7"/>
    <s v="CVGCM"/>
    <n v="100565"/>
    <s v="CVGCM"/>
    <n v="408"/>
    <x v="0"/>
    <x v="266"/>
    <x v="7"/>
    <x v="0"/>
    <x v="50"/>
  </r>
  <r>
    <x v="7"/>
    <s v="CVGCT"/>
    <n v="100463"/>
    <s v="CVGCT"/>
    <n v="357"/>
    <x v="0"/>
    <x v="267"/>
    <x v="7"/>
    <x v="0"/>
    <x v="3"/>
  </r>
  <r>
    <x v="7"/>
    <s v="DAYCS"/>
    <n v="100453"/>
    <s v="DAYCS"/>
    <n v="352"/>
    <x v="0"/>
    <x v="268"/>
    <x v="7"/>
    <x v="0"/>
    <x v="22"/>
  </r>
  <r>
    <x v="7"/>
    <s v="DAYFN"/>
    <n v="100637"/>
    <s v="DAYFN"/>
    <n v="444"/>
    <x v="0"/>
    <x v="269"/>
    <x v="7"/>
    <x v="0"/>
    <x v="47"/>
  </r>
  <r>
    <x v="7"/>
    <s v="DAYSN"/>
    <n v="100457"/>
    <s v="DAYSN"/>
    <n v="354"/>
    <x v="0"/>
    <x v="270"/>
    <x v="7"/>
    <x v="0"/>
    <x v="11"/>
  </r>
  <r>
    <x v="7"/>
    <s v="FLLLC"/>
    <n v="100563"/>
    <s v="FLLLC"/>
    <n v="407"/>
    <x v="0"/>
    <x v="271"/>
    <x v="7"/>
    <x v="0"/>
    <x v="4"/>
  </r>
  <r>
    <x v="7"/>
    <s v="FLOFS"/>
    <n v="100553"/>
    <s v="FLOFS"/>
    <n v="402"/>
    <x v="0"/>
    <x v="272"/>
    <x v="7"/>
    <x v="0"/>
    <x v="45"/>
  </r>
  <r>
    <x v="7"/>
    <s v="FSMCY"/>
    <n v="200139"/>
    <s v="FSMCY"/>
    <n v="480"/>
    <x v="1"/>
    <x v="273"/>
    <x v="7"/>
    <x v="0"/>
    <x v="96"/>
  </r>
  <r>
    <x v="7"/>
    <s v="FYVFA"/>
    <n v="200121"/>
    <s v="FYVFA"/>
    <n v="456"/>
    <x v="1"/>
    <x v="274"/>
    <x v="7"/>
    <x v="0"/>
    <x v="49"/>
  </r>
  <r>
    <x v="7"/>
    <s v="GNVFO"/>
    <n v="100603"/>
    <s v="GNVFO"/>
    <n v="427"/>
    <x v="0"/>
    <x v="275"/>
    <x v="7"/>
    <x v="0"/>
    <x v="13"/>
  </r>
  <r>
    <x v="7"/>
    <s v="GRRAR"/>
    <n v="100619"/>
    <s v="GRRAR"/>
    <n v="435"/>
    <x v="0"/>
    <x v="276"/>
    <x v="7"/>
    <x v="0"/>
    <x v="94"/>
  </r>
  <r>
    <x v="7"/>
    <s v="GRRFW"/>
    <n v="100579"/>
    <s v="GRRFW"/>
    <n v="415"/>
    <x v="0"/>
    <x v="277"/>
    <x v="7"/>
    <x v="0"/>
    <x v="62"/>
  </r>
  <r>
    <x v="7"/>
    <s v="GRRSH"/>
    <n v="100587"/>
    <s v="GRRSH"/>
    <n v="419"/>
    <x v="0"/>
    <x v="278"/>
    <x v="7"/>
    <x v="0"/>
    <x v="93"/>
  </r>
  <r>
    <x v="7"/>
    <s v="GSOAB"/>
    <n v="100631"/>
    <s v="GSOAB"/>
    <n v="441"/>
    <x v="0"/>
    <x v="279"/>
    <x v="7"/>
    <x v="0"/>
    <x v="12"/>
  </r>
  <r>
    <x v="7"/>
    <s v="GSOAP"/>
    <n v="100639"/>
    <s v="GSOAP"/>
    <n v="445"/>
    <x v="0"/>
    <x v="280"/>
    <x v="7"/>
    <x v="0"/>
    <x v="39"/>
  </r>
  <r>
    <x v="7"/>
    <s v="GSPFD"/>
    <n v="100531"/>
    <s v="GSPFD"/>
    <n v="391"/>
    <x v="0"/>
    <x v="281"/>
    <x v="7"/>
    <x v="0"/>
    <x v="11"/>
  </r>
  <r>
    <x v="7"/>
    <s v="GSPFF"/>
    <n v="100499"/>
    <s v="GSPFF"/>
    <n v="375"/>
    <x v="0"/>
    <x v="282"/>
    <x v="7"/>
    <x v="0"/>
    <x v="16"/>
  </r>
  <r>
    <x v="7"/>
    <s v="GSPPH"/>
    <n v="100483"/>
    <s v="GSPPH"/>
    <n v="367"/>
    <x v="0"/>
    <x v="283"/>
    <x v="7"/>
    <x v="0"/>
    <x v="74"/>
  </r>
  <r>
    <x v="7"/>
    <s v="HARFF"/>
    <n v="100543"/>
    <s v="HARFF"/>
    <n v="397"/>
    <x v="0"/>
    <x v="284"/>
    <x v="7"/>
    <x v="0"/>
    <x v="49"/>
  </r>
  <r>
    <x v="7"/>
    <s v="HKYSB"/>
    <n v="100437"/>
    <s v="HKYSB"/>
    <n v="344"/>
    <x v="0"/>
    <x v="285"/>
    <x v="7"/>
    <x v="0"/>
    <x v="49"/>
  </r>
  <r>
    <x v="7"/>
    <s v="IADDH"/>
    <n v="100605"/>
    <s v="IADDH"/>
    <n v="428"/>
    <x v="0"/>
    <x v="286"/>
    <x v="7"/>
    <x v="0"/>
    <x v="30"/>
  </r>
  <r>
    <x v="7"/>
    <s v="IADFR"/>
    <n v="100523"/>
    <s v="IADFR"/>
    <n v="387"/>
    <x v="0"/>
    <x v="287"/>
    <x v="7"/>
    <x v="0"/>
    <x v="63"/>
  </r>
  <r>
    <x v="7"/>
    <s v="IADHE"/>
    <n v="100449"/>
    <s v="IADHE"/>
    <n v="350"/>
    <x v="0"/>
    <x v="288"/>
    <x v="7"/>
    <x v="0"/>
    <x v="97"/>
  </r>
  <r>
    <x v="7"/>
    <s v="ILGNC"/>
    <n v="100617"/>
    <s v="ILGNC"/>
    <n v="434"/>
    <x v="0"/>
    <x v="289"/>
    <x v="7"/>
    <x v="0"/>
    <x v="98"/>
  </r>
  <r>
    <x v="7"/>
    <s v="ILMWC"/>
    <n v="100501"/>
    <s v="ILMWC"/>
    <n v="376"/>
    <x v="0"/>
    <x v="290"/>
    <x v="7"/>
    <x v="0"/>
    <x v="99"/>
  </r>
  <r>
    <x v="7"/>
    <s v="INDES"/>
    <n v="100583"/>
    <s v="INDES"/>
    <n v="417"/>
    <x v="0"/>
    <x v="291"/>
    <x v="7"/>
    <x v="0"/>
    <x v="100"/>
  </r>
  <r>
    <x v="7"/>
    <s v="INDFF"/>
    <n v="100611"/>
    <s v="INDFF"/>
    <n v="431"/>
    <x v="0"/>
    <x v="292"/>
    <x v="7"/>
    <x v="0"/>
    <x v="10"/>
  </r>
  <r>
    <x v="7"/>
    <s v="INDFK"/>
    <n v="100613"/>
    <s v="INDFK"/>
    <n v="432"/>
    <x v="0"/>
    <x v="293"/>
    <x v="7"/>
    <x v="0"/>
    <x v="24"/>
  </r>
  <r>
    <x v="7"/>
    <s v="INDFN"/>
    <n v="100601"/>
    <s v="INDFN"/>
    <n v="426"/>
    <x v="0"/>
    <x v="294"/>
    <x v="7"/>
    <x v="0"/>
    <x v="39"/>
  </r>
  <r>
    <x v="7"/>
    <s v="INDML"/>
    <n v="100443"/>
    <s v="INDML"/>
    <n v="347"/>
    <x v="0"/>
    <x v="295"/>
    <x v="7"/>
    <x v="0"/>
    <x v="40"/>
  </r>
  <r>
    <x v="7"/>
    <s v="INDNB"/>
    <n v="100615"/>
    <s v="INDNB"/>
    <n v="433"/>
    <x v="0"/>
    <x v="296"/>
    <x v="7"/>
    <x v="0"/>
    <x v="101"/>
  </r>
  <r>
    <x v="7"/>
    <s v="INDNW"/>
    <n v="100561"/>
    <s v="INDNW"/>
    <n v="406"/>
    <x v="0"/>
    <x v="297"/>
    <x v="7"/>
    <x v="0"/>
    <x v="18"/>
  </r>
  <r>
    <x v="7"/>
    <s v="INDPF"/>
    <n v="100627"/>
    <s v="INDPF"/>
    <n v="439"/>
    <x v="0"/>
    <x v="298"/>
    <x v="7"/>
    <x v="0"/>
    <x v="31"/>
  </r>
  <r>
    <x v="7"/>
    <s v="INDSP"/>
    <n v="100567"/>
    <s v="INDSP"/>
    <n v="409"/>
    <x v="0"/>
    <x v="299"/>
    <x v="7"/>
    <x v="0"/>
    <x v="45"/>
  </r>
  <r>
    <x v="7"/>
    <s v="ISPCP"/>
    <n v="100503"/>
    <s v="ISPCP"/>
    <n v="377"/>
    <x v="0"/>
    <x v="300"/>
    <x v="7"/>
    <x v="0"/>
    <x v="22"/>
  </r>
  <r>
    <x v="7"/>
    <s v="MSNCY"/>
    <n v="100659"/>
    <s v="MSNCY"/>
    <n v="457"/>
    <x v="0"/>
    <x v="301"/>
    <x v="7"/>
    <x v="0"/>
    <x v="66"/>
  </r>
  <r>
    <x v="7"/>
    <s v="MSNME"/>
    <n v="100651"/>
    <s v="MSNME"/>
    <n v="451"/>
    <x v="0"/>
    <x v="302"/>
    <x v="7"/>
    <x v="0"/>
    <x v="94"/>
  </r>
  <r>
    <x v="7"/>
    <s v="PHXSG"/>
    <n v="200143"/>
    <s v="PHXSG"/>
    <n v="482"/>
    <x v="1"/>
    <x v="303"/>
    <x v="7"/>
    <x v="0"/>
    <x v="86"/>
  </r>
  <r>
    <x v="7"/>
    <s v="PITRK"/>
    <n v="100469"/>
    <s v="PITRK"/>
    <n v="360"/>
    <x v="0"/>
    <x v="304"/>
    <x v="7"/>
    <x v="0"/>
    <x v="34"/>
  </r>
  <r>
    <x v="7"/>
    <s v="PITUT"/>
    <n v="100641"/>
    <s v="PITUT"/>
    <n v="446"/>
    <x v="0"/>
    <x v="305"/>
    <x v="7"/>
    <x v="0"/>
    <x v="93"/>
  </r>
  <r>
    <x v="7"/>
    <s v="PNSGS"/>
    <n v="100687"/>
    <s v="PNSGS"/>
    <n v="479"/>
    <x v="0"/>
    <x v="306"/>
    <x v="7"/>
    <x v="0"/>
    <x v="18"/>
  </r>
  <r>
    <x v="7"/>
    <s v="PSCCP"/>
    <n v="200157"/>
    <s v="PSCCP"/>
    <n v="491"/>
    <x v="1"/>
    <x v="307"/>
    <x v="7"/>
    <x v="0"/>
    <x v="17"/>
  </r>
  <r>
    <x v="7"/>
    <s v="PSCCY"/>
    <n v="200159"/>
    <s v="PSCCY"/>
    <n v="492"/>
    <x v="1"/>
    <x v="308"/>
    <x v="7"/>
    <x v="0"/>
    <x v="22"/>
  </r>
  <r>
    <x v="7"/>
    <s v="PVDDT"/>
    <n v="100547"/>
    <s v="PVDDT"/>
    <n v="399"/>
    <x v="0"/>
    <x v="309"/>
    <x v="7"/>
    <x v="0"/>
    <x v="102"/>
  </r>
  <r>
    <x v="7"/>
    <s v="PVDFM"/>
    <n v="100607"/>
    <s v="PVDFM"/>
    <n v="429"/>
    <x v="0"/>
    <x v="310"/>
    <x v="7"/>
    <x v="0"/>
    <x v="30"/>
  </r>
  <r>
    <x v="7"/>
    <s v="PVDSH"/>
    <n v="100575"/>
    <s v="PVDSH"/>
    <n v="413"/>
    <x v="0"/>
    <x v="311"/>
    <x v="7"/>
    <x v="0"/>
    <x v="30"/>
  </r>
  <r>
    <x v="7"/>
    <s v="RDUAD"/>
    <n v="100549"/>
    <s v="RDUAD"/>
    <n v="400"/>
    <x v="0"/>
    <x v="312"/>
    <x v="7"/>
    <x v="0"/>
    <x v="59"/>
  </r>
  <r>
    <x v="7"/>
    <s v="RDUSS"/>
    <n v="100573"/>
    <s v="RDUSS"/>
    <n v="412"/>
    <x v="0"/>
    <x v="313"/>
    <x v="7"/>
    <x v="0"/>
    <x v="19"/>
  </r>
  <r>
    <x v="7"/>
    <s v="RICCH"/>
    <n v="100461"/>
    <s v="RICCH"/>
    <n v="356"/>
    <x v="0"/>
    <x v="314"/>
    <x v="7"/>
    <x v="0"/>
    <x v="0"/>
  </r>
  <r>
    <x v="7"/>
    <s v="RICOX"/>
    <n v="100629"/>
    <s v="RICOX"/>
    <n v="440"/>
    <x v="0"/>
    <x v="315"/>
    <x v="7"/>
    <x v="0"/>
    <x v="47"/>
  </r>
  <r>
    <x v="7"/>
    <s v="RKHCY"/>
    <n v="100527"/>
    <s v="RKHCY"/>
    <n v="389"/>
    <x v="0"/>
    <x v="316"/>
    <x v="7"/>
    <x v="0"/>
    <x v="18"/>
  </r>
  <r>
    <x v="7"/>
    <s v="ROAFI"/>
    <n v="100447"/>
    <s v="ROAFI"/>
    <n v="349"/>
    <x v="0"/>
    <x v="317"/>
    <x v="7"/>
    <x v="0"/>
    <x v="12"/>
  </r>
  <r>
    <x v="7"/>
    <s v="RSWFI"/>
    <n v="100635"/>
    <s v="RSWFI"/>
    <n v="443"/>
    <x v="0"/>
    <x v="318"/>
    <x v="7"/>
    <x v="0"/>
    <x v="47"/>
  </r>
  <r>
    <x v="7"/>
    <s v="SATSS"/>
    <n v="200129"/>
    <s v="SATSS"/>
    <n v="464"/>
    <x v="1"/>
    <x v="319"/>
    <x v="7"/>
    <x v="0"/>
    <x v="62"/>
  </r>
  <r>
    <x v="7"/>
    <s v="SBNFG"/>
    <n v="100455"/>
    <s v="SBNFG"/>
    <n v="353"/>
    <x v="0"/>
    <x v="320"/>
    <x v="7"/>
    <x v="0"/>
    <x v="9"/>
  </r>
  <r>
    <x v="7"/>
    <s v="SCECO"/>
    <n v="100507"/>
    <s v="SCECO"/>
    <n v="379"/>
    <x v="0"/>
    <x v="321"/>
    <x v="7"/>
    <x v="0"/>
    <x v="23"/>
  </r>
  <r>
    <x v="7"/>
    <s v="SCESH"/>
    <n v="100491"/>
    <s v="SCESH"/>
    <n v="371"/>
    <x v="0"/>
    <x v="322"/>
    <x v="7"/>
    <x v="0"/>
    <x v="98"/>
  </r>
  <r>
    <x v="7"/>
    <s v="SCHCY"/>
    <n v="100481"/>
    <s v="SCHCY"/>
    <n v="366"/>
    <x v="0"/>
    <x v="323"/>
    <x v="7"/>
    <x v="0"/>
    <x v="99"/>
  </r>
  <r>
    <x v="7"/>
    <s v="SDFFM"/>
    <n v="100595"/>
    <s v="SDFFM"/>
    <n v="423"/>
    <x v="0"/>
    <x v="324"/>
    <x v="7"/>
    <x v="0"/>
    <x v="27"/>
  </r>
  <r>
    <x v="7"/>
    <s v="SDFVF"/>
    <n v="100493"/>
    <s v="SDFVF"/>
    <n v="372"/>
    <x v="0"/>
    <x v="325"/>
    <x v="7"/>
    <x v="0"/>
    <x v="20"/>
  </r>
  <r>
    <x v="7"/>
    <s v="SHRFI"/>
    <n v="200151"/>
    <s v="SHRFI"/>
    <n v="488"/>
    <x v="1"/>
    <x v="326"/>
    <x v="7"/>
    <x v="0"/>
    <x v="98"/>
  </r>
  <r>
    <x v="7"/>
    <s v="SLCAC"/>
    <n v="200153"/>
    <s v="SLCAC"/>
    <n v="489"/>
    <x v="1"/>
    <x v="327"/>
    <x v="7"/>
    <x v="0"/>
    <x v="47"/>
  </r>
  <r>
    <x v="7"/>
    <s v="SLCCD"/>
    <n v="200149"/>
    <s v="SLCCD"/>
    <n v="487"/>
    <x v="1"/>
    <x v="328"/>
    <x v="7"/>
    <x v="0"/>
    <x v="64"/>
  </r>
  <r>
    <x v="7"/>
    <s v="SLCCW"/>
    <n v="200163"/>
    <s v="SLCCW"/>
    <n v="494"/>
    <x v="1"/>
    <x v="329"/>
    <x v="7"/>
    <x v="0"/>
    <x v="103"/>
  </r>
  <r>
    <x v="7"/>
    <s v="SLCFM"/>
    <n v="200145"/>
    <s v="SLCFM"/>
    <n v="484"/>
    <x v="1"/>
    <x v="330"/>
    <x v="7"/>
    <x v="0"/>
    <x v="86"/>
  </r>
  <r>
    <x v="7"/>
    <s v="SLCPS"/>
    <n v="200155"/>
    <s v="SLCPS"/>
    <n v="490"/>
    <x v="1"/>
    <x v="331"/>
    <x v="7"/>
    <x v="0"/>
    <x v="43"/>
  </r>
  <r>
    <x v="7"/>
    <s v="SLCSV"/>
    <n v="200147"/>
    <s v="SLCSV"/>
    <n v="486"/>
    <x v="1"/>
    <x v="332"/>
    <x v="7"/>
    <x v="0"/>
    <x v="83"/>
  </r>
  <r>
    <x v="7"/>
    <s v="SRQBT"/>
    <n v="100511"/>
    <s v="SRQBT"/>
    <n v="381"/>
    <x v="0"/>
    <x v="333"/>
    <x v="7"/>
    <x v="0"/>
    <x v="1"/>
  </r>
  <r>
    <x v="7"/>
    <s v="SRQFI"/>
    <n v="100539"/>
    <s v="SRQFI"/>
    <n v="395"/>
    <x v="0"/>
    <x v="334"/>
    <x v="7"/>
    <x v="0"/>
    <x v="12"/>
  </r>
  <r>
    <x v="7"/>
    <s v="TBNFR"/>
    <n v="200133"/>
    <s v="TBNFR"/>
    <n v="466"/>
    <x v="1"/>
    <x v="335"/>
    <x v="7"/>
    <x v="0"/>
    <x v="86"/>
  </r>
  <r>
    <x v="7"/>
    <s v="TCLSH"/>
    <n v="100649"/>
    <s v="TCLSH"/>
    <n v="450"/>
    <x v="0"/>
    <x v="336"/>
    <x v="7"/>
    <x v="0"/>
    <x v="13"/>
  </r>
  <r>
    <x v="7"/>
    <s v="TOLFC"/>
    <n v="100517"/>
    <s v="TOLFC"/>
    <n v="384"/>
    <x v="0"/>
    <x v="337"/>
    <x v="7"/>
    <x v="0"/>
    <x v="45"/>
  </r>
  <r>
    <x v="7"/>
    <s v="TPACE"/>
    <n v="100475"/>
    <s v="TPACE"/>
    <n v="363"/>
    <x v="0"/>
    <x v="338"/>
    <x v="7"/>
    <x v="0"/>
    <x v="81"/>
  </r>
  <r>
    <x v="7"/>
    <s v="TPALK"/>
    <n v="100515"/>
    <s v="TPALK"/>
    <n v="383"/>
    <x v="0"/>
    <x v="339"/>
    <x v="7"/>
    <x v="0"/>
    <x v="39"/>
  </r>
  <r>
    <x v="7"/>
    <s v="TPASD"/>
    <n v="100551"/>
    <s v="TPASD"/>
    <n v="401"/>
    <x v="0"/>
    <x v="340"/>
    <x v="7"/>
    <x v="0"/>
    <x v="71"/>
  </r>
  <r>
    <x v="7"/>
    <s v="TPASH"/>
    <n v="100535"/>
    <s v="TPASH"/>
    <n v="393"/>
    <x v="0"/>
    <x v="341"/>
    <x v="7"/>
    <x v="0"/>
    <x v="103"/>
  </r>
  <r>
    <x v="7"/>
    <s v="VPSDF"/>
    <n v="100673"/>
    <s v="VPSDF"/>
    <n v="471"/>
    <x v="0"/>
    <x v="342"/>
    <x v="7"/>
    <x v="0"/>
    <x v="47"/>
  </r>
  <r>
    <x v="7"/>
    <s v="VPSFC"/>
    <n v="100671"/>
    <s v="VPSFC"/>
    <n v="470"/>
    <x v="0"/>
    <x v="343"/>
    <x v="7"/>
    <x v="0"/>
    <x v="18"/>
  </r>
  <r>
    <x v="7"/>
    <s v="VPSFI"/>
    <n v="100679"/>
    <s v="VPSFI"/>
    <n v="474"/>
    <x v="0"/>
    <x v="344"/>
    <x v="7"/>
    <x v="0"/>
    <x v="9"/>
  </r>
  <r>
    <x v="7"/>
    <s v="WASGE"/>
    <n v="100593"/>
    <s v="WASGE"/>
    <n v="422"/>
    <x v="0"/>
    <x v="345"/>
    <x v="7"/>
    <x v="0"/>
    <x v="12"/>
  </r>
  <r>
    <x v="7"/>
    <s v="WASSW"/>
    <n v="100599"/>
    <s v="WASSW"/>
    <n v="425"/>
    <x v="0"/>
    <x v="346"/>
    <x v="7"/>
    <x v="0"/>
    <x v="67"/>
  </r>
  <r>
    <x v="7"/>
    <s v="YHMBU"/>
    <n v="100621"/>
    <s v="YHMBU"/>
    <n v="436"/>
    <x v="0"/>
    <x v="347"/>
    <x v="7"/>
    <x v="0"/>
    <x v="104"/>
  </r>
  <r>
    <x v="7"/>
    <s v="YHMCY"/>
    <n v="100525"/>
    <s v="YHMCY"/>
    <n v="388"/>
    <x v="0"/>
    <x v="348"/>
    <x v="7"/>
    <x v="0"/>
    <x v="74"/>
  </r>
  <r>
    <x v="8"/>
    <s v="JAXIL"/>
    <n v="100737"/>
    <s v="JAXIL"/>
    <n v="1171"/>
    <x v="0"/>
    <x v="349"/>
    <x v="8"/>
    <x v="0"/>
    <x v="46"/>
  </r>
  <r>
    <x v="8"/>
    <s v="ATLZL"/>
    <n v="100725"/>
    <s v="ATL8"/>
    <n v="1170"/>
    <x v="0"/>
    <x v="350"/>
    <x v="8"/>
    <x v="0"/>
    <x v="98"/>
  </r>
  <r>
    <x v="8"/>
    <s v="JAXCY"/>
    <n v="100737"/>
    <s v="JAXIL"/>
    <n v="582"/>
    <x v="0"/>
    <x v="351"/>
    <x v="8"/>
    <x v="0"/>
    <x v="40"/>
  </r>
  <r>
    <x v="8"/>
    <s v="ATLYL"/>
    <n v="100725"/>
    <s v="ATL8"/>
    <n v="576"/>
    <x v="0"/>
    <x v="352"/>
    <x v="8"/>
    <x v="0"/>
    <x v="18"/>
  </r>
  <r>
    <x v="8"/>
    <s v="MYRSO"/>
    <n v="200219"/>
    <s v="MYRSO"/>
    <n v="1172"/>
    <x v="1"/>
    <x v="353"/>
    <x v="8"/>
    <x v="0"/>
    <x v="0"/>
  </r>
  <r>
    <x v="8"/>
    <s v="MYRCO"/>
    <n v="200219"/>
    <s v="MYRSO"/>
    <n v="525"/>
    <x v="1"/>
    <x v="354"/>
    <x v="8"/>
    <x v="0"/>
    <x v="0"/>
  </r>
  <r>
    <x v="9"/>
    <s v="SDFFD"/>
    <n v="200553"/>
    <s v="SDFSD"/>
    <n v="813"/>
    <x v="1"/>
    <x v="355"/>
    <x v="9"/>
    <x v="0"/>
    <x v="63"/>
  </r>
  <r>
    <x v="9"/>
    <s v="SDFSD"/>
    <n v="200553"/>
    <s v="SDFSD"/>
    <n v="1174"/>
    <x v="1"/>
    <x v="356"/>
    <x v="9"/>
    <x v="0"/>
    <x v="105"/>
  </r>
  <r>
    <x v="10"/>
    <s v="NYCMW"/>
    <n v="110181"/>
    <s v="NYCSH"/>
    <n v="1011"/>
    <x v="2"/>
    <x v="357"/>
    <x v="10"/>
    <x v="0"/>
    <x v="106"/>
  </r>
  <r>
    <x v="10"/>
    <s v="NYCSH"/>
    <n v="110181"/>
    <s v="NYCSH"/>
    <n v="1173"/>
    <x v="2"/>
    <x v="357"/>
    <x v="10"/>
    <x v="0"/>
    <x v="107"/>
  </r>
  <r>
    <x v="8"/>
    <s v="HSVDF"/>
    <n v="100425"/>
    <s v="HSVDF"/>
    <n v="337"/>
    <x v="0"/>
    <x v="358"/>
    <x v="8"/>
    <x v="0"/>
    <x v="48"/>
  </r>
  <r>
    <x v="8"/>
    <s v="CHIOX"/>
    <s v="200113"/>
    <s v="CHIOX"/>
    <n v="333"/>
    <x v="1"/>
    <x v="359"/>
    <x v="8"/>
    <x v="0"/>
    <x v="108"/>
  </r>
  <r>
    <x v="8"/>
    <s v="DFWCA"/>
    <n v="200111"/>
    <s v="DFWCA"/>
    <n v="331"/>
    <x v="1"/>
    <x v="360"/>
    <x v="8"/>
    <x v="0"/>
    <x v="37"/>
  </r>
  <r>
    <x v="8"/>
    <s v="FSDNW"/>
    <n v="100413"/>
    <s v="FSDNW"/>
    <n v="327"/>
    <x v="0"/>
    <x v="361"/>
    <x v="8"/>
    <x v="0"/>
    <x v="43"/>
  </r>
  <r>
    <x v="8"/>
    <s v="ICTFE"/>
    <n v="200109"/>
    <s v="ICTFE"/>
    <n v="325"/>
    <x v="1"/>
    <x v="362"/>
    <x v="8"/>
    <x v="0"/>
    <x v="80"/>
  </r>
  <r>
    <x v="8"/>
    <s v="GPTSH"/>
    <n v="100399"/>
    <s v="GPTSH"/>
    <n v="317"/>
    <x v="0"/>
    <x v="363"/>
    <x v="8"/>
    <x v="0"/>
    <x v="50"/>
  </r>
  <r>
    <x v="8"/>
    <s v="BHMTV"/>
    <n v="100393"/>
    <s v="BHMTV"/>
    <n v="312"/>
    <x v="0"/>
    <x v="364"/>
    <x v="8"/>
    <x v="0"/>
    <x v="20"/>
  </r>
  <r>
    <x v="8"/>
    <s v="FOESH"/>
    <n v="200099"/>
    <s v="FOESH"/>
    <n v="308"/>
    <x v="1"/>
    <x v="365"/>
    <x v="8"/>
    <x v="0"/>
    <x v="27"/>
  </r>
  <r>
    <x v="8"/>
    <s v="LAWFI"/>
    <n v="200095"/>
    <s v="LAWFI"/>
    <n v="304"/>
    <x v="1"/>
    <x v="366"/>
    <x v="8"/>
    <x v="0"/>
    <x v="20"/>
  </r>
  <r>
    <x v="8"/>
    <s v="GTRSV"/>
    <n v="100375"/>
    <s v="GTRSV"/>
    <n v="300"/>
    <x v="0"/>
    <x v="367"/>
    <x v="8"/>
    <x v="0"/>
    <x v="19"/>
  </r>
  <r>
    <x v="8"/>
    <s v="MHTDT"/>
    <n v="100441"/>
    <s v="MHTDT"/>
    <n v="346"/>
    <x v="0"/>
    <x v="368"/>
    <x v="8"/>
    <x v="0"/>
    <x v="47"/>
  </r>
  <r>
    <x v="8"/>
    <s v="ITHFC"/>
    <n v="100479"/>
    <s v="ITHFC"/>
    <n v="365"/>
    <x v="0"/>
    <x v="369"/>
    <x v="8"/>
    <x v="0"/>
    <x v="10"/>
  </r>
  <r>
    <x v="8"/>
    <s v="MCOFA"/>
    <n v="100485"/>
    <s v="MCOFA"/>
    <n v="368"/>
    <x v="0"/>
    <x v="370"/>
    <x v="8"/>
    <x v="0"/>
    <x v="109"/>
  </r>
  <r>
    <x v="8"/>
    <s v="JAXJS"/>
    <n v="100487"/>
    <s v="JAXJS"/>
    <n v="369"/>
    <x v="0"/>
    <x v="371"/>
    <x v="8"/>
    <x v="0"/>
    <x v="22"/>
  </r>
  <r>
    <x v="8"/>
    <s v="LANFW"/>
    <n v="100509"/>
    <s v="LANFW"/>
    <n v="380"/>
    <x v="0"/>
    <x v="372"/>
    <x v="8"/>
    <x v="0"/>
    <x v="92"/>
  </r>
  <r>
    <x v="8"/>
    <s v="PHFCN"/>
    <n v="100521"/>
    <s v="PHFCN"/>
    <n v="386"/>
    <x v="0"/>
    <x v="373"/>
    <x v="8"/>
    <x v="0"/>
    <x v="22"/>
  </r>
  <r>
    <x v="8"/>
    <s v="LANDT"/>
    <n v="100533"/>
    <s v="LANDT"/>
    <n v="392"/>
    <x v="0"/>
    <x v="374"/>
    <x v="8"/>
    <x v="0"/>
    <x v="62"/>
  </r>
  <r>
    <x v="8"/>
    <s v="MWDFI"/>
    <n v="100541"/>
    <s v="MWDFI"/>
    <n v="396"/>
    <x v="0"/>
    <x v="375"/>
    <x v="8"/>
    <x v="0"/>
    <x v="110"/>
  </r>
  <r>
    <x v="8"/>
    <s v="JAXCO"/>
    <n v="100545"/>
    <s v="JAXCO"/>
    <n v="398"/>
    <x v="0"/>
    <x v="376"/>
    <x v="8"/>
    <x v="0"/>
    <x v="62"/>
  </r>
  <r>
    <x v="8"/>
    <s v="PBIAP"/>
    <n v="100555"/>
    <s v="PBIAP"/>
    <n v="403"/>
    <x v="0"/>
    <x v="377"/>
    <x v="8"/>
    <x v="0"/>
    <x v="38"/>
  </r>
  <r>
    <x v="8"/>
    <s v="PHFHC"/>
    <n v="100557"/>
    <s v="PHFHC"/>
    <n v="404"/>
    <x v="0"/>
    <x v="378"/>
    <x v="8"/>
    <x v="0"/>
    <x v="99"/>
  </r>
  <r>
    <x v="8"/>
    <s v="MCOWF"/>
    <n v="100577"/>
    <s v="MCOWF"/>
    <n v="414"/>
    <x v="0"/>
    <x v="379"/>
    <x v="8"/>
    <x v="0"/>
    <x v="53"/>
  </r>
  <r>
    <x v="8"/>
    <s v="PGVCY"/>
    <n v="100585"/>
    <s v="PGVCY"/>
    <n v="418"/>
    <x v="0"/>
    <x v="380"/>
    <x v="8"/>
    <x v="0"/>
    <x v="0"/>
  </r>
  <r>
    <x v="8"/>
    <s v="OGSFI"/>
    <n v="100591"/>
    <s v="OGSFI"/>
    <n v="421"/>
    <x v="0"/>
    <x v="381"/>
    <x v="8"/>
    <x v="0"/>
    <x v="48"/>
  </r>
  <r>
    <x v="8"/>
    <s v="ORFDT"/>
    <n v="100625"/>
    <s v="ORFDT"/>
    <n v="438"/>
    <x v="0"/>
    <x v="382"/>
    <x v="8"/>
    <x v="0"/>
    <x v="63"/>
  </r>
  <r>
    <x v="8"/>
    <s v="MOBSA"/>
    <s v="100645"/>
    <s v="MOBSA"/>
    <n v="448"/>
    <x v="0"/>
    <x v="383"/>
    <x v="8"/>
    <x v="0"/>
    <x v="67"/>
  </r>
  <r>
    <x v="8"/>
    <s v="MEMSH"/>
    <n v="100647"/>
    <s v="MEMSH"/>
    <n v="449"/>
    <x v="0"/>
    <x v="384"/>
    <x v="8"/>
    <x v="0"/>
    <x v="11"/>
  </r>
  <r>
    <x v="8"/>
    <s v="MVNFI"/>
    <n v="200119"/>
    <s v="MVNFI"/>
    <n v="452"/>
    <x v="1"/>
    <x v="385"/>
    <x v="8"/>
    <x v="0"/>
    <x v="111"/>
  </r>
  <r>
    <x v="8"/>
    <s v="MSPDC"/>
    <n v="100653"/>
    <s v="MSPDC"/>
    <n v="453"/>
    <x v="0"/>
    <x v="386"/>
    <x v="8"/>
    <x v="0"/>
    <x v="112"/>
  </r>
  <r>
    <x v="8"/>
    <s v="MDWMU"/>
    <n v="100657"/>
    <s v="MDWMU"/>
    <n v="455"/>
    <x v="0"/>
    <x v="387"/>
    <x v="8"/>
    <x v="0"/>
    <x v="17"/>
  </r>
  <r>
    <x v="8"/>
    <s v="MLUFS"/>
    <n v="200123"/>
    <s v="MLUFS"/>
    <n v="459"/>
    <x v="1"/>
    <x v="388"/>
    <x v="8"/>
    <x v="0"/>
    <x v="43"/>
  </r>
  <r>
    <x v="8"/>
    <s v="OKCEL"/>
    <n v="200125"/>
    <s v="OKCEL"/>
    <n v="460"/>
    <x v="1"/>
    <x v="389"/>
    <x v="8"/>
    <x v="0"/>
    <x v="43"/>
  </r>
  <r>
    <x v="8"/>
    <s v="OWBFI"/>
    <n v="100665"/>
    <s v="OWBFI"/>
    <n v="462"/>
    <x v="0"/>
    <x v="390"/>
    <x v="8"/>
    <x v="0"/>
    <x v="50"/>
  </r>
  <r>
    <x v="8"/>
    <s v="LITBN"/>
    <n v="200127"/>
    <s v="LITBN"/>
    <n v="463"/>
    <x v="1"/>
    <x v="391"/>
    <x v="8"/>
    <x v="0"/>
    <x v="81"/>
  </r>
  <r>
    <x v="8"/>
    <s v="MLUFE"/>
    <n v="200131"/>
    <s v="MLUFE"/>
    <n v="465"/>
    <x v="1"/>
    <x v="392"/>
    <x v="8"/>
    <x v="0"/>
    <x v="34"/>
  </r>
  <r>
    <x v="8"/>
    <s v="LFTCS"/>
    <n v="200135"/>
    <s v="LFTCS"/>
    <n v="469"/>
    <x v="1"/>
    <x v="393"/>
    <x v="8"/>
    <x v="0"/>
    <x v="49"/>
  </r>
  <r>
    <x v="8"/>
    <s v="BNAOP"/>
    <n v="100677"/>
    <s v="BNAOP"/>
    <n v="473"/>
    <x v="0"/>
    <x v="394"/>
    <x v="8"/>
    <x v="0"/>
    <x v="31"/>
  </r>
  <r>
    <x v="8"/>
    <s v="BNACO"/>
    <n v="100681"/>
    <s v="BNACO"/>
    <n v="475"/>
    <x v="0"/>
    <x v="395"/>
    <x v="8"/>
    <x v="0"/>
    <x v="49"/>
  </r>
  <r>
    <x v="8"/>
    <s v="BNASM"/>
    <n v="100683"/>
    <s v="BNASM"/>
    <n v="476"/>
    <x v="0"/>
    <x v="396"/>
    <x v="8"/>
    <x v="0"/>
    <x v="39"/>
  </r>
  <r>
    <x v="8"/>
    <s v="MSPMS"/>
    <n v="100685"/>
    <s v="MSPMS"/>
    <n v="477"/>
    <x v="0"/>
    <x v="397"/>
    <x v="8"/>
    <x v="0"/>
    <x v="80"/>
  </r>
  <r>
    <x v="8"/>
    <s v="LNKCY"/>
    <n v="200137"/>
    <s v="LNKCY"/>
    <n v="478"/>
    <x v="1"/>
    <x v="398"/>
    <x v="8"/>
    <x v="0"/>
    <x v="113"/>
  </r>
  <r>
    <x v="8"/>
    <s v="OMASW"/>
    <n v="200141"/>
    <s v="OMASW"/>
    <n v="481"/>
    <x v="1"/>
    <x v="399"/>
    <x v="8"/>
    <x v="0"/>
    <x v="27"/>
  </r>
  <r>
    <x v="8"/>
    <s v="MSOFI"/>
    <s v="100689"/>
    <s v="MSOFI"/>
    <n v="483"/>
    <x v="0"/>
    <x v="400"/>
    <x v="8"/>
    <x v="0"/>
    <x v="47"/>
  </r>
  <r>
    <x v="8"/>
    <s v="BNAWE"/>
    <n v="100691"/>
    <s v="BNAWE"/>
    <n v="485"/>
    <x v="0"/>
    <x v="401"/>
    <x v="8"/>
    <x v="0"/>
    <x v="114"/>
  </r>
  <r>
    <x v="8"/>
    <s v="PHXFT"/>
    <n v="200161"/>
    <s v="PHXFT"/>
    <n v="493"/>
    <x v="1"/>
    <x v="402"/>
    <x v="8"/>
    <x v="0"/>
    <x v="62"/>
  </r>
  <r>
    <x v="8"/>
    <s v="PHXMP"/>
    <n v="200167"/>
    <s v="PHXMP"/>
    <n v="496"/>
    <x v="1"/>
    <x v="403"/>
    <x v="8"/>
    <x v="0"/>
    <x v="77"/>
  </r>
  <r>
    <x v="8"/>
    <s v="FNTFG"/>
    <n v="100939"/>
    <s v="FNTFG"/>
    <n v="683"/>
    <x v="0"/>
    <x v="404"/>
    <x v="8"/>
    <x v="0"/>
    <x v="50"/>
  </r>
  <r>
    <x v="8"/>
    <s v="INTCD"/>
    <n v="100937"/>
    <s v="INTCD"/>
    <n v="682"/>
    <x v="0"/>
    <x v="405"/>
    <x v="8"/>
    <x v="0"/>
    <x v="3"/>
  </r>
  <r>
    <x v="8"/>
    <s v="LBESS"/>
    <n v="100935"/>
    <s v="LBESS"/>
    <n v="681"/>
    <x v="0"/>
    <x v="38"/>
    <x v="8"/>
    <x v="0"/>
    <x v="48"/>
  </r>
  <r>
    <x v="8"/>
    <s v="ATLCB"/>
    <n v="100933"/>
    <s v="ATLCB"/>
    <n v="680"/>
    <x v="0"/>
    <x v="406"/>
    <x v="8"/>
    <x v="0"/>
    <x v="115"/>
  </r>
  <r>
    <x v="8"/>
    <s v="ATLGR"/>
    <n v="100931"/>
    <s v="ATLGR"/>
    <n v="679"/>
    <x v="0"/>
    <x v="407"/>
    <x v="8"/>
    <x v="0"/>
    <x v="18"/>
  </r>
  <r>
    <x v="8"/>
    <s v="JAXAE"/>
    <n v="100929"/>
    <s v="JAXAE"/>
    <n v="678"/>
    <x v="0"/>
    <x v="408"/>
    <x v="8"/>
    <x v="0"/>
    <x v="38"/>
  </r>
  <r>
    <x v="8"/>
    <s v="ATLDC"/>
    <n v="100927"/>
    <s v="ATLDC"/>
    <n v="677"/>
    <x v="0"/>
    <x v="409"/>
    <x v="8"/>
    <x v="0"/>
    <x v="116"/>
  </r>
  <r>
    <x v="8"/>
    <s v="DAYJV"/>
    <n v="100925"/>
    <s v="DAYJV"/>
    <n v="676"/>
    <x v="0"/>
    <x v="410"/>
    <x v="8"/>
    <x v="0"/>
    <x v="111"/>
  </r>
  <r>
    <x v="8"/>
    <s v="BOSNF"/>
    <n v="100923"/>
    <s v="BOSNF"/>
    <n v="675"/>
    <x v="0"/>
    <x v="411"/>
    <x v="8"/>
    <x v="0"/>
    <x v="115"/>
  </r>
  <r>
    <x v="8"/>
    <s v="CMHCP"/>
    <n v="100921"/>
    <s v="CMHCP"/>
    <n v="674"/>
    <x v="0"/>
    <x v="412"/>
    <x v="8"/>
    <x v="0"/>
    <x v="6"/>
  </r>
  <r>
    <x v="8"/>
    <s v="BQKFI"/>
    <n v="100919"/>
    <s v="BQKFI"/>
    <n v="673"/>
    <x v="0"/>
    <x v="413"/>
    <x v="8"/>
    <x v="0"/>
    <x v="48"/>
  </r>
  <r>
    <x v="8"/>
    <s v="BOSFT"/>
    <n v="100917"/>
    <s v="BOSFT"/>
    <n v="672"/>
    <x v="0"/>
    <x v="414"/>
    <x v="8"/>
    <x v="0"/>
    <x v="42"/>
  </r>
  <r>
    <x v="8"/>
    <s v="AUGFI"/>
    <n v="100915"/>
    <s v="AUGFI"/>
    <n v="671"/>
    <x v="0"/>
    <x v="415"/>
    <x v="8"/>
    <x v="0"/>
    <x v="10"/>
  </r>
  <r>
    <x v="8"/>
    <s v="CLTFM"/>
    <n v="100913"/>
    <s v="CLTFM"/>
    <n v="670"/>
    <x v="0"/>
    <x v="416"/>
    <x v="8"/>
    <x v="0"/>
    <x v="49"/>
  </r>
  <r>
    <x v="8"/>
    <s v="CHICH"/>
    <n v="100911"/>
    <s v="CHICH"/>
    <n v="669"/>
    <x v="0"/>
    <x v="417"/>
    <x v="8"/>
    <x v="0"/>
    <x v="27"/>
  </r>
  <r>
    <x v="8"/>
    <s v="BNAMY"/>
    <n v="100909"/>
    <s v="BNAMY"/>
    <n v="668"/>
    <x v="0"/>
    <x v="418"/>
    <x v="8"/>
    <x v="0"/>
    <x v="16"/>
  </r>
  <r>
    <x v="8"/>
    <s v="BNAFM"/>
    <n v="100907"/>
    <s v="BNAFM"/>
    <n v="667"/>
    <x v="0"/>
    <x v="419"/>
    <x v="8"/>
    <x v="0"/>
    <x v="48"/>
  </r>
  <r>
    <x v="8"/>
    <s v="BNAAB"/>
    <n v="100905"/>
    <s v="BNAAB"/>
    <n v="666"/>
    <x v="0"/>
    <x v="420"/>
    <x v="8"/>
    <x v="0"/>
    <x v="52"/>
  </r>
  <r>
    <x v="8"/>
    <s v="ATWFA"/>
    <n v="100903"/>
    <s v="ATWFA"/>
    <n v="665"/>
    <x v="0"/>
    <x v="421"/>
    <x v="8"/>
    <x v="0"/>
    <x v="43"/>
  </r>
  <r>
    <x v="8"/>
    <s v="GNVSC"/>
    <n v="100901"/>
    <s v="GNVSC"/>
    <n v="664"/>
    <x v="0"/>
    <x v="422"/>
    <x v="8"/>
    <x v="0"/>
    <x v="16"/>
  </r>
  <r>
    <x v="8"/>
    <s v="ATLPR"/>
    <n v="100899"/>
    <s v="ATLPR"/>
    <n v="663"/>
    <x v="0"/>
    <x v="423"/>
    <x v="8"/>
    <x v="0"/>
    <x v="10"/>
  </r>
  <r>
    <x v="8"/>
    <s v="JAXBH"/>
    <n v="100897"/>
    <s v="JAXBH"/>
    <n v="662"/>
    <x v="0"/>
    <x v="424"/>
    <x v="8"/>
    <x v="0"/>
    <x v="22"/>
  </r>
  <r>
    <x v="8"/>
    <s v="GNVAC"/>
    <n v="100895"/>
    <s v="GNVAC"/>
    <n v="661"/>
    <x v="0"/>
    <x v="425"/>
    <x v="8"/>
    <x v="0"/>
    <x v="25"/>
  </r>
  <r>
    <x v="8"/>
    <s v="BDLCS"/>
    <n v="100893"/>
    <s v="BDLCS"/>
    <n v="660"/>
    <x v="0"/>
    <x v="426"/>
    <x v="8"/>
    <x v="0"/>
    <x v="6"/>
  </r>
  <r>
    <x v="8"/>
    <s v="AIYML"/>
    <n v="100891"/>
    <s v="AIYML"/>
    <n v="659"/>
    <x v="0"/>
    <x v="427"/>
    <x v="8"/>
    <x v="0"/>
    <x v="31"/>
  </r>
  <r>
    <x v="8"/>
    <s v="JAXFW"/>
    <n v="100889"/>
    <s v="JAXFW"/>
    <n v="658"/>
    <x v="0"/>
    <x v="428"/>
    <x v="8"/>
    <x v="0"/>
    <x v="5"/>
  </r>
  <r>
    <x v="8"/>
    <s v="LANCY"/>
    <n v="100887"/>
    <s v="LANCY"/>
    <n v="657"/>
    <x v="0"/>
    <x v="429"/>
    <x v="8"/>
    <x v="0"/>
    <x v="71"/>
  </r>
  <r>
    <x v="8"/>
    <s v="BWIMR"/>
    <n v="100885"/>
    <s v="BWIMR"/>
    <n v="656"/>
    <x v="0"/>
    <x v="430"/>
    <x v="8"/>
    <x v="0"/>
    <x v="22"/>
  </r>
  <r>
    <x v="8"/>
    <s v="DAYSH"/>
    <n v="100883"/>
    <s v="DAYSH"/>
    <n v="655"/>
    <x v="0"/>
    <x v="431"/>
    <x v="8"/>
    <x v="0"/>
    <x v="20"/>
  </r>
  <r>
    <x v="8"/>
    <s v="ATLFI"/>
    <n v="100881"/>
    <s v="ATLFI"/>
    <n v="654"/>
    <x v="0"/>
    <x v="432"/>
    <x v="8"/>
    <x v="0"/>
    <x v="86"/>
  </r>
  <r>
    <x v="8"/>
    <s v="MBSCY"/>
    <n v="100879"/>
    <s v="MBSCY"/>
    <n v="653"/>
    <x v="0"/>
    <x v="433"/>
    <x v="8"/>
    <x v="0"/>
    <x v="52"/>
  </r>
  <r>
    <x v="8"/>
    <s v="GNVSW"/>
    <n v="100877"/>
    <s v="GNVSW"/>
    <n v="652"/>
    <x v="0"/>
    <x v="434"/>
    <x v="8"/>
    <x v="0"/>
    <x v="44"/>
  </r>
  <r>
    <x v="8"/>
    <s v="CVGFW"/>
    <n v="100875"/>
    <s v="CVGFW"/>
    <n v="651"/>
    <x v="0"/>
    <x v="435"/>
    <x v="8"/>
    <x v="0"/>
    <x v="37"/>
  </r>
  <r>
    <x v="8"/>
    <s v="CHASH"/>
    <n v="100873"/>
    <s v="CHASH"/>
    <n v="650"/>
    <x v="0"/>
    <x v="436"/>
    <x v="8"/>
    <x v="0"/>
    <x v="62"/>
  </r>
  <r>
    <x v="8"/>
    <s v="LGASH"/>
    <n v="100871"/>
    <s v="LGASH"/>
    <n v="649"/>
    <x v="0"/>
    <x v="437"/>
    <x v="8"/>
    <x v="0"/>
    <x v="36"/>
  </r>
  <r>
    <x v="8"/>
    <s v="BTVWL"/>
    <n v="100869"/>
    <s v="BTVWL"/>
    <n v="648"/>
    <x v="0"/>
    <x v="438"/>
    <x v="8"/>
    <x v="0"/>
    <x v="18"/>
  </r>
  <r>
    <x v="8"/>
    <s v="BWIAS"/>
    <n v="100867"/>
    <s v="BWIAS"/>
    <n v="647"/>
    <x v="0"/>
    <x v="439"/>
    <x v="8"/>
    <x v="0"/>
    <x v="13"/>
  </r>
  <r>
    <x v="8"/>
    <s v="BEHFI"/>
    <n v="100865"/>
    <s v="BEHFI"/>
    <n v="646"/>
    <x v="0"/>
    <x v="440"/>
    <x v="8"/>
    <x v="0"/>
    <x v="12"/>
  </r>
  <r>
    <x v="8"/>
    <s v="BOSSR"/>
    <n v="100863"/>
    <s v="BOSSR"/>
    <n v="645"/>
    <x v="0"/>
    <x v="441"/>
    <x v="8"/>
    <x v="0"/>
    <x v="8"/>
  </r>
  <r>
    <x v="8"/>
    <s v="DTWSW"/>
    <n v="100861"/>
    <s v="DTWSW"/>
    <n v="644"/>
    <x v="0"/>
    <x v="442"/>
    <x v="8"/>
    <x v="0"/>
    <x v="17"/>
  </r>
  <r>
    <x v="8"/>
    <s v="GNVCL"/>
    <n v="100859"/>
    <s v="GNVCL"/>
    <n v="643"/>
    <x v="0"/>
    <x v="443"/>
    <x v="8"/>
    <x v="0"/>
    <x v="74"/>
  </r>
  <r>
    <x v="8"/>
    <s v="IADCA"/>
    <n v="100857"/>
    <s v="IADCA"/>
    <n v="642"/>
    <x v="0"/>
    <x v="444"/>
    <x v="8"/>
    <x v="0"/>
    <x v="103"/>
  </r>
  <r>
    <x v="8"/>
    <s v="CMHSD"/>
    <n v="100855"/>
    <s v="CMHSD"/>
    <n v="641"/>
    <x v="0"/>
    <x v="445"/>
    <x v="8"/>
    <x v="0"/>
    <x v="117"/>
  </r>
  <r>
    <x v="8"/>
    <s v="ILGCY"/>
    <n v="100853"/>
    <s v="ILGCY"/>
    <n v="640"/>
    <x v="0"/>
    <x v="446"/>
    <x v="8"/>
    <x v="0"/>
    <x v="3"/>
  </r>
  <r>
    <x v="8"/>
    <s v="GSPCL"/>
    <n v="100851"/>
    <s v="GSPCL"/>
    <n v="639"/>
    <x v="0"/>
    <x v="447"/>
    <x v="8"/>
    <x v="0"/>
    <x v="77"/>
  </r>
  <r>
    <x v="8"/>
    <s v="LGAFI"/>
    <n v="100849"/>
    <s v="LGAFI"/>
    <n v="638"/>
    <x v="0"/>
    <x v="448"/>
    <x v="8"/>
    <x v="0"/>
    <x v="86"/>
  </r>
  <r>
    <x v="8"/>
    <s v="CVGHA"/>
    <n v="100847"/>
    <s v="CVGHA"/>
    <n v="637"/>
    <x v="0"/>
    <x v="348"/>
    <x v="8"/>
    <x v="0"/>
    <x v="22"/>
  </r>
  <r>
    <x v="8"/>
    <s v="GSOCY"/>
    <n v="100845"/>
    <s v="GSOCY"/>
    <n v="636"/>
    <x v="0"/>
    <x v="449"/>
    <x v="8"/>
    <x v="0"/>
    <x v="37"/>
  </r>
  <r>
    <x v="8"/>
    <s v="ATLFR"/>
    <n v="100843"/>
    <s v="ATLFR"/>
    <n v="635"/>
    <x v="0"/>
    <x v="450"/>
    <x v="8"/>
    <x v="0"/>
    <x v="26"/>
  </r>
  <r>
    <x v="8"/>
    <s v="FWAFF"/>
    <n v="100841"/>
    <s v="FWAFF"/>
    <n v="634"/>
    <x v="0"/>
    <x v="451"/>
    <x v="8"/>
    <x v="0"/>
    <x v="23"/>
  </r>
  <r>
    <x v="8"/>
    <s v="PGVGV"/>
    <n v="100839"/>
    <s v="PGVGV"/>
    <n v="633"/>
    <x v="0"/>
    <x v="452"/>
    <x v="8"/>
    <x v="0"/>
    <x v="87"/>
  </r>
  <r>
    <x v="8"/>
    <s v="LGAQA"/>
    <n v="100837"/>
    <s v="LGAQA"/>
    <n v="632"/>
    <x v="0"/>
    <x v="453"/>
    <x v="8"/>
    <x v="0"/>
    <x v="12"/>
  </r>
  <r>
    <x v="8"/>
    <s v="BOSAB"/>
    <n v="100835"/>
    <s v="BOSAB"/>
    <n v="631"/>
    <x v="0"/>
    <x v="454"/>
    <x v="8"/>
    <x v="0"/>
    <x v="118"/>
  </r>
  <r>
    <x v="8"/>
    <s v="ATLCH"/>
    <n v="100833"/>
    <s v="ATLCH"/>
    <n v="630"/>
    <x v="0"/>
    <x v="455"/>
    <x v="8"/>
    <x v="0"/>
    <x v="47"/>
  </r>
  <r>
    <x v="8"/>
    <s v="EWRWO"/>
    <n v="100831"/>
    <s v="EWRWO"/>
    <n v="629"/>
    <x v="0"/>
    <x v="456"/>
    <x v="8"/>
    <x v="0"/>
    <x v="51"/>
  </r>
  <r>
    <x v="8"/>
    <s v="CMHFC"/>
    <n v="100827"/>
    <s v="CMHFC"/>
    <n v="627"/>
    <x v="0"/>
    <x v="457"/>
    <x v="8"/>
    <x v="0"/>
    <x v="43"/>
  </r>
  <r>
    <x v="8"/>
    <s v="CMHCH"/>
    <n v="100825"/>
    <s v="CMHCH"/>
    <n v="626"/>
    <x v="0"/>
    <x v="458"/>
    <x v="8"/>
    <x v="0"/>
    <x v="10"/>
  </r>
  <r>
    <x v="8"/>
    <s v="BDRCY"/>
    <n v="100823"/>
    <s v="BDRCY"/>
    <n v="625"/>
    <x v="0"/>
    <x v="459"/>
    <x v="8"/>
    <x v="0"/>
    <x v="58"/>
  </r>
  <r>
    <x v="8"/>
    <s v="GRRFN"/>
    <n v="100821"/>
    <s v="GRRFN"/>
    <n v="624"/>
    <x v="0"/>
    <x v="460"/>
    <x v="8"/>
    <x v="0"/>
    <x v="47"/>
  </r>
  <r>
    <x v="8"/>
    <s v="CLTCD"/>
    <n v="100819"/>
    <s v="CLTCD"/>
    <n v="623"/>
    <x v="0"/>
    <x v="461"/>
    <x v="8"/>
    <x v="0"/>
    <x v="41"/>
  </r>
  <r>
    <x v="8"/>
    <s v="CHSOX"/>
    <n v="100817"/>
    <s v="CHSOX"/>
    <n v="622"/>
    <x v="0"/>
    <x v="462"/>
    <x v="8"/>
    <x v="0"/>
    <x v="51"/>
  </r>
  <r>
    <x v="8"/>
    <s v="AVLFM"/>
    <n v="100815"/>
    <s v="AVLFM"/>
    <n v="621"/>
    <x v="0"/>
    <x v="463"/>
    <x v="8"/>
    <x v="0"/>
    <x v="27"/>
  </r>
  <r>
    <x v="8"/>
    <s v="GTLFG"/>
    <n v="100813"/>
    <s v="GTLFG"/>
    <n v="620"/>
    <x v="0"/>
    <x v="464"/>
    <x v="8"/>
    <x v="0"/>
    <x v="67"/>
  </r>
  <r>
    <x v="8"/>
    <s v="ATLKB"/>
    <n v="100811"/>
    <s v="ATLKB"/>
    <n v="619"/>
    <x v="0"/>
    <x v="465"/>
    <x v="8"/>
    <x v="0"/>
    <x v="9"/>
  </r>
  <r>
    <x v="8"/>
    <s v="ISPJJ"/>
    <n v="100809"/>
    <s v="ISPJJ"/>
    <n v="618"/>
    <x v="0"/>
    <x v="466"/>
    <x v="8"/>
    <x v="0"/>
    <x v="77"/>
  </r>
  <r>
    <x v="8"/>
    <s v="BDLHC"/>
    <n v="100807"/>
    <s v="BDLHC"/>
    <n v="617"/>
    <x v="0"/>
    <x v="467"/>
    <x v="8"/>
    <x v="0"/>
    <x v="117"/>
  </r>
  <r>
    <x v="8"/>
    <s v="ARBFY"/>
    <n v="100805"/>
    <s v="ARBFY"/>
    <n v="616"/>
    <x v="0"/>
    <x v="468"/>
    <x v="8"/>
    <x v="0"/>
    <x v="47"/>
  </r>
  <r>
    <x v="8"/>
    <s v="AVLAC"/>
    <n v="100803"/>
    <s v="AVLAC"/>
    <n v="615"/>
    <x v="0"/>
    <x v="469"/>
    <x v="8"/>
    <x v="0"/>
    <x v="1"/>
  </r>
  <r>
    <x v="8"/>
    <s v="ILMSH"/>
    <n v="100801"/>
    <s v="ILMSH"/>
    <n v="614"/>
    <x v="0"/>
    <x v="470"/>
    <x v="8"/>
    <x v="0"/>
    <x v="22"/>
  </r>
  <r>
    <x v="8"/>
    <s v="ATLXB"/>
    <n v="100799"/>
    <s v="ATLXB"/>
    <n v="613"/>
    <x v="0"/>
    <x v="471"/>
    <x v="8"/>
    <x v="0"/>
    <x v="12"/>
  </r>
  <r>
    <x v="8"/>
    <s v="HKYBN"/>
    <n v="100797"/>
    <s v="HKYBN"/>
    <n v="612"/>
    <x v="0"/>
    <x v="472"/>
    <x v="8"/>
    <x v="0"/>
    <x v="47"/>
  </r>
  <r>
    <x v="8"/>
    <s v="CMHYV"/>
    <n v="100795"/>
    <s v="CMHYV"/>
    <n v="611"/>
    <x v="0"/>
    <x v="473"/>
    <x v="8"/>
    <x v="0"/>
    <x v="20"/>
  </r>
  <r>
    <x v="8"/>
    <s v="CLTBT"/>
    <n v="100793"/>
    <s v="CLTBT"/>
    <n v="610"/>
    <x v="0"/>
    <x v="474"/>
    <x v="8"/>
    <x v="0"/>
    <x v="118"/>
  </r>
  <r>
    <x v="8"/>
    <s v="LANSL"/>
    <n v="100791"/>
    <s v="LANSL"/>
    <n v="609"/>
    <x v="0"/>
    <x v="475"/>
    <x v="8"/>
    <x v="0"/>
    <x v="86"/>
  </r>
  <r>
    <x v="8"/>
    <s v="CLEFS"/>
    <n v="100789"/>
    <s v="CLEFS"/>
    <n v="608"/>
    <x v="0"/>
    <x v="476"/>
    <x v="8"/>
    <x v="0"/>
    <x v="17"/>
  </r>
  <r>
    <x v="6"/>
    <s v="CMHWT"/>
    <n v="100787"/>
    <s v="CMHWT"/>
    <n v="607"/>
    <x v="0"/>
    <x v="477"/>
    <x v="6"/>
    <x v="0"/>
    <x v="76"/>
  </r>
  <r>
    <x v="8"/>
    <s v="BOSDT"/>
    <n v="100785"/>
    <s v="BOSDT"/>
    <n v="606"/>
    <x v="0"/>
    <x v="478"/>
    <x v="8"/>
    <x v="0"/>
    <x v="10"/>
  </r>
  <r>
    <x v="8"/>
    <s v="ALBCO"/>
    <n v="100783"/>
    <s v="ALBCO"/>
    <n v="605"/>
    <x v="0"/>
    <x v="479"/>
    <x v="8"/>
    <x v="0"/>
    <x v="119"/>
  </r>
  <r>
    <x v="8"/>
    <s v="CVGDT"/>
    <n v="100781"/>
    <s v="CVGDT"/>
    <n v="604"/>
    <x v="0"/>
    <x v="480"/>
    <x v="8"/>
    <x v="0"/>
    <x v="42"/>
  </r>
  <r>
    <x v="8"/>
    <s v="ATLFB"/>
    <n v="100779"/>
    <s v="ATLFB"/>
    <n v="603"/>
    <x v="0"/>
    <x v="481"/>
    <x v="8"/>
    <x v="0"/>
    <x v="0"/>
  </r>
  <r>
    <x v="8"/>
    <s v="LANCO"/>
    <n v="100777"/>
    <s v="LANCO"/>
    <n v="602"/>
    <x v="0"/>
    <x v="482"/>
    <x v="8"/>
    <x v="0"/>
    <x v="40"/>
  </r>
  <r>
    <x v="8"/>
    <s v="ATLFH"/>
    <n v="100775"/>
    <s v="ATLFH"/>
    <n v="601"/>
    <x v="0"/>
    <x v="483"/>
    <x v="8"/>
    <x v="0"/>
    <x v="120"/>
  </r>
  <r>
    <x v="8"/>
    <s v="ATLWF"/>
    <n v="100773"/>
    <s v="ATLWF"/>
    <n v="600"/>
    <x v="0"/>
    <x v="484"/>
    <x v="8"/>
    <x v="0"/>
    <x v="43"/>
  </r>
  <r>
    <x v="8"/>
    <s v="DTWFY"/>
    <n v="100771"/>
    <s v="DTWFY"/>
    <n v="599"/>
    <x v="0"/>
    <x v="485"/>
    <x v="8"/>
    <x v="0"/>
    <x v="47"/>
  </r>
  <r>
    <x v="8"/>
    <s v="HTSHN"/>
    <n v="100769"/>
    <s v="HTSHN"/>
    <n v="598"/>
    <x v="0"/>
    <x v="486"/>
    <x v="8"/>
    <x v="0"/>
    <x v="32"/>
  </r>
  <r>
    <x v="8"/>
    <s v="CLTSB"/>
    <n v="100767"/>
    <s v="CLTSB"/>
    <n v="597"/>
    <x v="0"/>
    <x v="487"/>
    <x v="8"/>
    <x v="0"/>
    <x v="49"/>
  </r>
  <r>
    <x v="8"/>
    <s v="CLTFH"/>
    <n v="100765"/>
    <s v="CLTFH"/>
    <n v="596"/>
    <x v="0"/>
    <x v="488"/>
    <x v="8"/>
    <x v="0"/>
    <x v="11"/>
  </r>
  <r>
    <x v="8"/>
    <s v="FWADT"/>
    <n v="100763"/>
    <s v="FWADT"/>
    <n v="595"/>
    <x v="0"/>
    <x v="489"/>
    <x v="8"/>
    <x v="0"/>
    <x v="121"/>
  </r>
  <r>
    <x v="8"/>
    <s v="CVGSB"/>
    <n v="100761"/>
    <s v="CVGSB"/>
    <n v="594"/>
    <x v="0"/>
    <x v="490"/>
    <x v="8"/>
    <x v="0"/>
    <x v="47"/>
  </r>
  <r>
    <x v="8"/>
    <s v="INDMU"/>
    <n v="100759"/>
    <s v="INDMU"/>
    <n v="593"/>
    <x v="0"/>
    <x v="491"/>
    <x v="8"/>
    <x v="0"/>
    <x v="76"/>
  </r>
  <r>
    <x v="8"/>
    <s v="ATLSE"/>
    <n v="100757"/>
    <s v="ATLSE"/>
    <n v="592"/>
    <x v="0"/>
    <x v="492"/>
    <x v="8"/>
    <x v="0"/>
    <x v="76"/>
  </r>
  <r>
    <x v="8"/>
    <s v="ATLFS"/>
    <n v="100755"/>
    <s v="ATLFS"/>
    <n v="591"/>
    <x v="0"/>
    <x v="493"/>
    <x v="8"/>
    <x v="0"/>
    <x v="39"/>
  </r>
  <r>
    <x v="8"/>
    <s v="ATLBM"/>
    <n v="100753"/>
    <s v="ATLBM"/>
    <n v="590"/>
    <x v="0"/>
    <x v="494"/>
    <x v="8"/>
    <x v="0"/>
    <x v="77"/>
  </r>
  <r>
    <x v="8"/>
    <s v="FAYSE"/>
    <n v="100751"/>
    <s v="FAYSE"/>
    <n v="589"/>
    <x v="0"/>
    <x v="495"/>
    <x v="8"/>
    <x v="0"/>
    <x v="119"/>
  </r>
  <r>
    <x v="8"/>
    <s v="ATLXM"/>
    <n v="100749"/>
    <s v="ATLXM"/>
    <n v="588"/>
    <x v="0"/>
    <x v="496"/>
    <x v="8"/>
    <x v="0"/>
    <x v="13"/>
  </r>
  <r>
    <x v="8"/>
    <s v="BOSNE"/>
    <n v="100745"/>
    <s v="BOSNE"/>
    <n v="586"/>
    <x v="0"/>
    <x v="497"/>
    <x v="8"/>
    <x v="0"/>
    <x v="122"/>
  </r>
  <r>
    <x v="8"/>
    <s v="HARGT"/>
    <n v="100743"/>
    <s v="HARGT"/>
    <n v="585"/>
    <x v="0"/>
    <x v="498"/>
    <x v="8"/>
    <x v="0"/>
    <x v="54"/>
  </r>
  <r>
    <x v="8"/>
    <s v="ABECV"/>
    <n v="100741"/>
    <s v="ABECV"/>
    <n v="584"/>
    <x v="0"/>
    <x v="499"/>
    <x v="8"/>
    <x v="0"/>
    <x v="1"/>
  </r>
  <r>
    <x v="8"/>
    <s v="CAECY"/>
    <n v="100739"/>
    <s v="CAECY"/>
    <n v="583"/>
    <x v="0"/>
    <x v="500"/>
    <x v="8"/>
    <x v="0"/>
    <x v="47"/>
  </r>
  <r>
    <x v="8"/>
    <s v="GTLCY"/>
    <n v="100735"/>
    <s v="GTLCY"/>
    <n v="581"/>
    <x v="0"/>
    <x v="501"/>
    <x v="8"/>
    <x v="0"/>
    <x v="94"/>
  </r>
  <r>
    <x v="8"/>
    <s v="CAKAS"/>
    <n v="100733"/>
    <s v="CAKAS"/>
    <n v="580"/>
    <x v="0"/>
    <x v="502"/>
    <x v="8"/>
    <x v="0"/>
    <x v="43"/>
  </r>
  <r>
    <x v="8"/>
    <s v="HARCY"/>
    <n v="100731"/>
    <s v="HARCY"/>
    <n v="579"/>
    <x v="0"/>
    <x v="503"/>
    <x v="8"/>
    <x v="0"/>
    <x v="71"/>
  </r>
  <r>
    <x v="8"/>
    <s v="LEXCE"/>
    <n v="100729"/>
    <s v="LEXCE"/>
    <n v="578"/>
    <x v="0"/>
    <x v="504"/>
    <x v="8"/>
    <x v="0"/>
    <x v="18"/>
  </r>
  <r>
    <x v="8"/>
    <s v="EWRBK"/>
    <n v="100727"/>
    <s v="EWRBK"/>
    <n v="577"/>
    <x v="0"/>
    <x v="505"/>
    <x v="8"/>
    <x v="0"/>
    <x v="25"/>
  </r>
  <r>
    <x v="8"/>
    <s v="DSMAD"/>
    <n v="100723"/>
    <s v="DSMAD"/>
    <n v="575"/>
    <x v="0"/>
    <x v="506"/>
    <x v="8"/>
    <x v="0"/>
    <x v="31"/>
  </r>
  <r>
    <x v="8"/>
    <s v="CWAFI"/>
    <n v="100721"/>
    <s v="CWAFI"/>
    <n v="574"/>
    <x v="0"/>
    <x v="507"/>
    <x v="8"/>
    <x v="0"/>
    <x v="12"/>
  </r>
  <r>
    <x v="8"/>
    <s v="BNAFV"/>
    <n v="100719"/>
    <s v="BNAFV"/>
    <n v="573"/>
    <x v="0"/>
    <x v="508"/>
    <x v="8"/>
    <x v="0"/>
    <x v="18"/>
  </r>
  <r>
    <x v="8"/>
    <s v="DTLFI"/>
    <n v="100717"/>
    <s v="DTLFI"/>
    <n v="572"/>
    <x v="0"/>
    <x v="509"/>
    <x v="8"/>
    <x v="0"/>
    <x v="123"/>
  </r>
  <r>
    <x v="8"/>
    <s v="FARCF"/>
    <n v="100715"/>
    <s v="FARCF"/>
    <n v="571"/>
    <x v="0"/>
    <x v="510"/>
    <x v="8"/>
    <x v="0"/>
    <x v="77"/>
  </r>
  <r>
    <x v="8"/>
    <s v="BHMBB"/>
    <n v="100713"/>
    <s v="BHMBB"/>
    <n v="570"/>
    <x v="0"/>
    <x v="511"/>
    <x v="8"/>
    <x v="0"/>
    <x v="93"/>
  </r>
  <r>
    <x v="8"/>
    <s v="JANCJ"/>
    <n v="100711"/>
    <s v="JANCJ"/>
    <n v="569"/>
    <x v="0"/>
    <x v="512"/>
    <x v="8"/>
    <x v="0"/>
    <x v="6"/>
  </r>
  <r>
    <x v="8"/>
    <s v="CWACY"/>
    <n v="100709"/>
    <s v="CWACY"/>
    <n v="568"/>
    <x v="0"/>
    <x v="513"/>
    <x v="8"/>
    <x v="0"/>
    <x v="12"/>
  </r>
  <r>
    <x v="8"/>
    <s v="BILFL"/>
    <n v="100707"/>
    <s v="BILFL"/>
    <n v="567"/>
    <x v="0"/>
    <x v="514"/>
    <x v="8"/>
    <x v="0"/>
    <x v="39"/>
  </r>
  <r>
    <x v="8"/>
    <s v="BNAFN"/>
    <n v="100705"/>
    <s v="BNAFN"/>
    <n v="566"/>
    <x v="0"/>
    <x v="515"/>
    <x v="8"/>
    <x v="0"/>
    <x v="3"/>
  </r>
  <r>
    <x v="8"/>
    <s v="BILCY"/>
    <n v="100703"/>
    <s v="BILCY"/>
    <n v="565"/>
    <x v="0"/>
    <x v="516"/>
    <x v="8"/>
    <x v="0"/>
    <x v="4"/>
  </r>
  <r>
    <x v="8"/>
    <s v="LBEFI"/>
    <n v="100701"/>
    <s v="LBEFI"/>
    <n v="564"/>
    <x v="0"/>
    <x v="517"/>
    <x v="8"/>
    <x v="0"/>
    <x v="92"/>
  </r>
  <r>
    <x v="8"/>
    <s v="ALWCY"/>
    <n v="200295"/>
    <s v="ALWCY"/>
    <n v="563"/>
    <x v="1"/>
    <x v="518"/>
    <x v="8"/>
    <x v="0"/>
    <x v="22"/>
  </r>
  <r>
    <x v="8"/>
    <s v="SCKSF"/>
    <n v="200293"/>
    <s v="SCKSF"/>
    <n v="562"/>
    <x v="1"/>
    <x v="519"/>
    <x v="8"/>
    <x v="0"/>
    <x v="75"/>
  </r>
  <r>
    <x v="8"/>
    <s v="SANBO"/>
    <n v="200291"/>
    <s v="SANBO"/>
    <n v="561"/>
    <x v="1"/>
    <x v="520"/>
    <x v="8"/>
    <x v="0"/>
    <x v="124"/>
  </r>
  <r>
    <x v="8"/>
    <s v="SACGM"/>
    <n v="200289"/>
    <s v="SACGM"/>
    <n v="560"/>
    <x v="1"/>
    <x v="521"/>
    <x v="8"/>
    <x v="0"/>
    <x v="6"/>
  </r>
  <r>
    <x v="8"/>
    <s v="VISFI"/>
    <n v="200287"/>
    <s v="VISFI"/>
    <n v="559"/>
    <x v="1"/>
    <x v="522"/>
    <x v="8"/>
    <x v="0"/>
    <x v="100"/>
  </r>
  <r>
    <x v="8"/>
    <s v="SACRV"/>
    <n v="200285"/>
    <s v="SACRV"/>
    <n v="558"/>
    <x v="1"/>
    <x v="523"/>
    <x v="8"/>
    <x v="0"/>
    <x v="18"/>
  </r>
  <r>
    <x v="8"/>
    <s v="CDCCY"/>
    <n v="200283"/>
    <s v="CDCCY"/>
    <n v="557"/>
    <x v="1"/>
    <x v="524"/>
    <x v="8"/>
    <x v="0"/>
    <x v="24"/>
  </r>
  <r>
    <x v="8"/>
    <s v="BOIFI"/>
    <n v="200281"/>
    <s v="BOIFI"/>
    <n v="556"/>
    <x v="1"/>
    <x v="525"/>
    <x v="8"/>
    <x v="0"/>
    <x v="125"/>
  </r>
  <r>
    <x v="8"/>
    <s v="PHXSL"/>
    <n v="200279"/>
    <s v="PHXSL"/>
    <n v="555"/>
    <x v="1"/>
    <x v="526"/>
    <x v="8"/>
    <x v="0"/>
    <x v="94"/>
  </r>
  <r>
    <x v="8"/>
    <s v="CDCSH"/>
    <n v="200277"/>
    <s v="CDCSH"/>
    <n v="554"/>
    <x v="1"/>
    <x v="527"/>
    <x v="8"/>
    <x v="0"/>
    <x v="98"/>
  </r>
  <r>
    <x v="8"/>
    <s v="AFOFI"/>
    <n v="200275"/>
    <s v="AFOFI"/>
    <n v="553"/>
    <x v="1"/>
    <x v="528"/>
    <x v="8"/>
    <x v="0"/>
    <x v="92"/>
  </r>
  <r>
    <x v="8"/>
    <s v="BOINP"/>
    <n v="200273"/>
    <s v="BOINP"/>
    <n v="552"/>
    <x v="1"/>
    <x v="529"/>
    <x v="8"/>
    <x v="0"/>
    <x v="86"/>
  </r>
  <r>
    <x v="8"/>
    <s v="FSMFI"/>
    <n v="200271"/>
    <s v="FSMFI"/>
    <n v="551"/>
    <x v="1"/>
    <x v="530"/>
    <x v="8"/>
    <x v="0"/>
    <x v="49"/>
  </r>
  <r>
    <x v="8"/>
    <s v="LFTFS"/>
    <n v="200269"/>
    <s v="LFTFS"/>
    <n v="550"/>
    <x v="1"/>
    <x v="531"/>
    <x v="8"/>
    <x v="0"/>
    <x v="10"/>
  </r>
  <r>
    <x v="8"/>
    <s v="BTRCD"/>
    <n v="200267"/>
    <s v="BTRCD"/>
    <n v="549"/>
    <x v="1"/>
    <x v="532"/>
    <x v="8"/>
    <x v="0"/>
    <x v="104"/>
  </r>
  <r>
    <x v="8"/>
    <s v="SATSA"/>
    <n v="200265"/>
    <s v="SATSA"/>
    <n v="548"/>
    <x v="1"/>
    <x v="533"/>
    <x v="8"/>
    <x v="0"/>
    <x v="62"/>
  </r>
  <r>
    <x v="8"/>
    <s v="AEXCY"/>
    <n v="200263"/>
    <s v="AEXCY"/>
    <n v="547"/>
    <x v="1"/>
    <x v="534"/>
    <x v="8"/>
    <x v="0"/>
    <x v="13"/>
  </r>
  <r>
    <x v="8"/>
    <s v="MAFOD"/>
    <n v="200261"/>
    <s v="MAFOD"/>
    <n v="546"/>
    <x v="1"/>
    <x v="535"/>
    <x v="8"/>
    <x v="0"/>
    <x v="126"/>
  </r>
  <r>
    <x v="8"/>
    <s v="ACTHF"/>
    <n v="200259"/>
    <s v="ACTHF"/>
    <n v="545"/>
    <x v="1"/>
    <x v="536"/>
    <x v="8"/>
    <x v="0"/>
    <x v="127"/>
  </r>
  <r>
    <x v="8"/>
    <s v="AUSSN"/>
    <n v="200257"/>
    <s v="AUSSN"/>
    <n v="544"/>
    <x v="1"/>
    <x v="537"/>
    <x v="8"/>
    <x v="0"/>
    <x v="17"/>
  </r>
  <r>
    <x v="8"/>
    <s v="OKCSW"/>
    <n v="200255"/>
    <s v="OKCSW"/>
    <n v="543"/>
    <x v="1"/>
    <x v="538"/>
    <x v="8"/>
    <x v="0"/>
    <x v="11"/>
  </r>
  <r>
    <x v="8"/>
    <s v="LITFI"/>
    <n v="200253"/>
    <s v="LITFI"/>
    <n v="542"/>
    <x v="1"/>
    <x v="539"/>
    <x v="8"/>
    <x v="0"/>
    <x v="27"/>
  </r>
  <r>
    <x v="8"/>
    <s v="BROSP"/>
    <n v="200251"/>
    <s v="BROSP"/>
    <n v="541"/>
    <x v="1"/>
    <x v="540"/>
    <x v="8"/>
    <x v="0"/>
    <x v="128"/>
  </r>
  <r>
    <x v="8"/>
    <s v="ADMSH"/>
    <n v="200249"/>
    <s v="ADMSH"/>
    <n v="540"/>
    <x v="1"/>
    <x v="541"/>
    <x v="8"/>
    <x v="0"/>
    <x v="48"/>
  </r>
  <r>
    <x v="8"/>
    <s v="FYVBN"/>
    <n v="200247"/>
    <s v="FYVBN"/>
    <n v="539"/>
    <x v="1"/>
    <x v="542"/>
    <x v="8"/>
    <x v="0"/>
    <x v="18"/>
  </r>
  <r>
    <x v="8"/>
    <s v="CLLHU"/>
    <n v="200245"/>
    <s v="CLLHU"/>
    <n v="538"/>
    <x v="1"/>
    <x v="543"/>
    <x v="8"/>
    <x v="0"/>
    <x v="129"/>
  </r>
  <r>
    <x v="8"/>
    <s v="MEMCG"/>
    <n v="200243"/>
    <s v="MEMCG"/>
    <n v="537"/>
    <x v="1"/>
    <x v="544"/>
    <x v="8"/>
    <x v="0"/>
    <x v="24"/>
  </r>
  <r>
    <x v="8"/>
    <s v="TPAOL"/>
    <n v="200241"/>
    <s v="TPAOL"/>
    <n v="536"/>
    <x v="1"/>
    <x v="545"/>
    <x v="8"/>
    <x v="0"/>
    <x v="17"/>
  </r>
  <r>
    <x v="8"/>
    <s v="SAVIN"/>
    <n v="200239"/>
    <s v="SAVIN"/>
    <n v="535"/>
    <x v="1"/>
    <x v="546"/>
    <x v="8"/>
    <x v="0"/>
    <x v="45"/>
  </r>
  <r>
    <x v="8"/>
    <s v="MIADR"/>
    <n v="200235"/>
    <s v="MIADR"/>
    <n v="533"/>
    <x v="1"/>
    <x v="547"/>
    <x v="8"/>
    <x v="0"/>
    <x v="38"/>
  </r>
  <r>
    <x v="8"/>
    <s v="PITNV"/>
    <n v="200233"/>
    <s v="PITNV"/>
    <n v="532"/>
    <x v="1"/>
    <x v="548"/>
    <x v="8"/>
    <x v="0"/>
    <x v="77"/>
  </r>
  <r>
    <x v="8"/>
    <s v="PITLE"/>
    <n v="200231"/>
    <s v="PITLE"/>
    <n v="531"/>
    <x v="1"/>
    <x v="549"/>
    <x v="8"/>
    <x v="0"/>
    <x v="30"/>
  </r>
  <r>
    <x v="8"/>
    <s v="PWMNC"/>
    <n v="200229"/>
    <s v="PWMNC"/>
    <n v="530"/>
    <x v="1"/>
    <x v="550"/>
    <x v="8"/>
    <x v="0"/>
    <x v="86"/>
  </r>
  <r>
    <x v="8"/>
    <s v="NYCOS"/>
    <n v="200227"/>
    <s v="NYCOS"/>
    <n v="529"/>
    <x v="1"/>
    <x v="551"/>
    <x v="8"/>
    <x v="0"/>
    <x v="130"/>
  </r>
  <r>
    <x v="8"/>
    <s v="PITMV"/>
    <n v="200225"/>
    <s v="PITMV"/>
    <n v="528"/>
    <x v="1"/>
    <x v="552"/>
    <x v="8"/>
    <x v="0"/>
    <x v="45"/>
  </r>
  <r>
    <x v="8"/>
    <s v="TOLCW"/>
    <n v="200223"/>
    <s v="TOLCW"/>
    <n v="527"/>
    <x v="1"/>
    <x v="553"/>
    <x v="8"/>
    <x v="0"/>
    <x v="38"/>
  </r>
  <r>
    <x v="8"/>
    <s v="ORFFC"/>
    <n v="200221"/>
    <s v="ORFFC"/>
    <n v="526"/>
    <x v="1"/>
    <x v="554"/>
    <x v="8"/>
    <x v="0"/>
    <x v="19"/>
  </r>
  <r>
    <x v="8"/>
    <s v="NYCXB"/>
    <n v="200217"/>
    <s v="NYCXB"/>
    <n v="524"/>
    <x v="1"/>
    <x v="555"/>
    <x v="8"/>
    <x v="0"/>
    <x v="131"/>
  </r>
  <r>
    <x v="8"/>
    <s v="PHFFW"/>
    <n v="200215"/>
    <s v="PHFFW"/>
    <n v="523"/>
    <x v="1"/>
    <x v="556"/>
    <x v="8"/>
    <x v="0"/>
    <x v="52"/>
  </r>
  <r>
    <x v="8"/>
    <s v="ORFOD"/>
    <n v="200213"/>
    <s v="ORFOD"/>
    <n v="522"/>
    <x v="1"/>
    <x v="557"/>
    <x v="8"/>
    <x v="0"/>
    <x v="44"/>
  </r>
  <r>
    <x v="8"/>
    <s v="PITCY"/>
    <n v="200211"/>
    <s v="PITCY"/>
    <n v="521"/>
    <x v="1"/>
    <x v="558"/>
    <x v="8"/>
    <x v="0"/>
    <x v="132"/>
  </r>
  <r>
    <x v="8"/>
    <s v="PITEL"/>
    <n v="200209"/>
    <s v="PITEL"/>
    <n v="520"/>
    <x v="1"/>
    <x v="559"/>
    <x v="8"/>
    <x v="0"/>
    <x v="77"/>
  </r>
  <r>
    <x v="8"/>
    <s v="SHDCY"/>
    <n v="200207"/>
    <s v="SHDCY"/>
    <n v="519"/>
    <x v="1"/>
    <x v="560"/>
    <x v="8"/>
    <x v="0"/>
    <x v="6"/>
  </r>
  <r>
    <x v="8"/>
    <s v="SDFFA"/>
    <n v="200205"/>
    <s v="SDFFA"/>
    <n v="518"/>
    <x v="1"/>
    <x v="561"/>
    <x v="8"/>
    <x v="0"/>
    <x v="13"/>
  </r>
  <r>
    <x v="8"/>
    <s v="TPAWA"/>
    <n v="200203"/>
    <s v="TPAWA"/>
    <n v="517"/>
    <x v="1"/>
    <x v="562"/>
    <x v="8"/>
    <x v="0"/>
    <x v="41"/>
  </r>
  <r>
    <x v="8"/>
    <s v="TVCFT"/>
    <n v="200201"/>
    <s v="TVCFT"/>
    <n v="516"/>
    <x v="1"/>
    <x v="563"/>
    <x v="8"/>
    <x v="0"/>
    <x v="78"/>
  </r>
  <r>
    <x v="8"/>
    <s v="RICAP"/>
    <n v="200199"/>
    <s v="RICAP"/>
    <n v="515"/>
    <x v="1"/>
    <x v="564"/>
    <x v="8"/>
    <x v="0"/>
    <x v="65"/>
  </r>
  <r>
    <x v="8"/>
    <s v="PBICD"/>
    <n v="200197"/>
    <s v="PBICD"/>
    <n v="514"/>
    <x v="1"/>
    <x v="565"/>
    <x v="8"/>
    <x v="0"/>
    <x v="76"/>
  </r>
  <r>
    <x v="8"/>
    <s v="MHTSH"/>
    <n v="200195"/>
    <s v="MHTSH"/>
    <n v="513"/>
    <x v="1"/>
    <x v="566"/>
    <x v="8"/>
    <x v="0"/>
    <x v="47"/>
  </r>
  <r>
    <x v="8"/>
    <s v="RDUFN"/>
    <n v="200193"/>
    <s v="RDUFN"/>
    <n v="512"/>
    <x v="1"/>
    <x v="567"/>
    <x v="8"/>
    <x v="0"/>
    <x v="86"/>
  </r>
  <r>
    <x v="8"/>
    <s v="MCOAL"/>
    <n v="200191"/>
    <s v="MCOAL"/>
    <n v="511"/>
    <x v="1"/>
    <x v="568"/>
    <x v="8"/>
    <x v="0"/>
    <x v="18"/>
  </r>
  <r>
    <x v="8"/>
    <s v="MIAOX"/>
    <n v="200189"/>
    <s v="MIAOX"/>
    <n v="510"/>
    <x v="1"/>
    <x v="569"/>
    <x v="8"/>
    <x v="0"/>
    <x v="133"/>
  </r>
  <r>
    <x v="8"/>
    <s v="NYCQC"/>
    <n v="200187"/>
    <s v="NYCQC"/>
    <n v="509"/>
    <x v="1"/>
    <x v="570"/>
    <x v="8"/>
    <x v="0"/>
    <x v="134"/>
  </r>
  <r>
    <x v="8"/>
    <s v="TYSFX"/>
    <n v="200185"/>
    <s v="TYSFX"/>
    <n v="508"/>
    <x v="1"/>
    <x v="571"/>
    <x v="8"/>
    <x v="0"/>
    <x v="48"/>
  </r>
  <r>
    <x v="8"/>
    <s v="SAVPO"/>
    <n v="200183"/>
    <s v="SAVPO"/>
    <n v="507"/>
    <x v="1"/>
    <x v="572"/>
    <x v="8"/>
    <x v="0"/>
    <x v="22"/>
  </r>
  <r>
    <x v="8"/>
    <s v="ORFFW"/>
    <n v="200181"/>
    <s v="ORFFW"/>
    <n v="506"/>
    <x v="1"/>
    <x v="573"/>
    <x v="8"/>
    <x v="0"/>
    <x v="22"/>
  </r>
  <r>
    <x v="8"/>
    <s v="RMGCY"/>
    <n v="200179"/>
    <s v="RMGCY"/>
    <n v="505"/>
    <x v="1"/>
    <x v="574"/>
    <x v="8"/>
    <x v="0"/>
    <x v="99"/>
  </r>
  <r>
    <x v="8"/>
    <s v="RDUAR"/>
    <n v="200177"/>
    <s v="RDUAR"/>
    <n v="504"/>
    <x v="1"/>
    <x v="575"/>
    <x v="8"/>
    <x v="0"/>
    <x v="104"/>
  </r>
  <r>
    <x v="8"/>
    <s v="NYCBL"/>
    <n v="200175"/>
    <s v="NYCBL"/>
    <n v="503"/>
    <x v="1"/>
    <x v="576"/>
    <x v="8"/>
    <x v="0"/>
    <x v="117"/>
  </r>
  <r>
    <x v="8"/>
    <s v="RSWFB"/>
    <n v="200173"/>
    <s v="RSWFB"/>
    <n v="502"/>
    <x v="1"/>
    <x v="577"/>
    <x v="8"/>
    <x v="0"/>
    <x v="80"/>
  </r>
  <r>
    <x v="8"/>
    <s v="RDUFW"/>
    <n v="200171"/>
    <s v="RDUFW"/>
    <n v="501"/>
    <x v="1"/>
    <x v="578"/>
    <x v="8"/>
    <x v="0"/>
    <x v="18"/>
  </r>
  <r>
    <x v="8"/>
    <s v="GSPAC"/>
    <n v="100699"/>
    <s v="GSPAC"/>
    <n v="500"/>
    <x v="0"/>
    <x v="579"/>
    <x v="8"/>
    <x v="0"/>
    <x v="89"/>
  </r>
  <r>
    <x v="8"/>
    <s v="FAYRH"/>
    <n v="100697"/>
    <s v="FAYRH"/>
    <n v="499"/>
    <x v="0"/>
    <x v="580"/>
    <x v="8"/>
    <x v="0"/>
    <x v="75"/>
  </r>
  <r>
    <x v="8"/>
    <s v="CHAOX"/>
    <n v="100695"/>
    <s v="CHAOX"/>
    <n v="498"/>
    <x v="0"/>
    <x v="581"/>
    <x v="8"/>
    <x v="0"/>
    <x v="30"/>
  </r>
  <r>
    <x v="9"/>
    <s v="FAYLB"/>
    <n v="100445"/>
    <s v="FAYLB"/>
    <n v="348"/>
    <x v="0"/>
    <x v="582"/>
    <x v="9"/>
    <x v="0"/>
    <x v="79"/>
  </r>
  <r>
    <x v="9"/>
    <s v="DBNFI"/>
    <n v="100471"/>
    <s v="DBNFI"/>
    <n v="361"/>
    <x v="0"/>
    <x v="583"/>
    <x v="9"/>
    <x v="0"/>
    <x v="34"/>
  </r>
  <r>
    <x v="9"/>
    <s v="EWNCY"/>
    <n v="100477"/>
    <s v="EWNCY"/>
    <n v="364"/>
    <x v="0"/>
    <x v="584"/>
    <x v="9"/>
    <x v="0"/>
    <x v="67"/>
  </r>
  <r>
    <x v="6"/>
    <s v="EYWFI"/>
    <n v="100495"/>
    <s v="EYWFI"/>
    <n v="373"/>
    <x v="0"/>
    <x v="585"/>
    <x v="6"/>
    <x v="0"/>
    <x v="32"/>
  </r>
  <r>
    <x v="9"/>
    <s v="DTWFL"/>
    <n v="100513"/>
    <s v="DTWFL"/>
    <n v="382"/>
    <x v="0"/>
    <x v="586"/>
    <x v="9"/>
    <x v="0"/>
    <x v="47"/>
  </r>
  <r>
    <x v="9"/>
    <s v="DTWSF"/>
    <n v="100513"/>
    <s v="DTWSF"/>
    <n v="394"/>
    <x v="0"/>
    <x v="587"/>
    <x v="9"/>
    <x v="0"/>
    <x v="135"/>
  </r>
  <r>
    <x v="9"/>
    <s v="DXRCY"/>
    <n v="100571"/>
    <s v="DXRCY"/>
    <n v="411"/>
    <x v="0"/>
    <x v="588"/>
    <x v="9"/>
    <x v="0"/>
    <x v="99"/>
  </r>
  <r>
    <x v="9"/>
    <s v="DAYUD"/>
    <n v="100581"/>
    <s v="DAYUD"/>
    <n v="416"/>
    <x v="0"/>
    <x v="589"/>
    <x v="9"/>
    <x v="0"/>
    <x v="21"/>
  </r>
  <r>
    <x v="9"/>
    <s v="DTWFH"/>
    <n v="100589"/>
    <s v="DTWFH"/>
    <n v="420"/>
    <x v="0"/>
    <x v="590"/>
    <x v="9"/>
    <x v="0"/>
    <x v="86"/>
  </r>
  <r>
    <x v="9"/>
    <s v="DTWMB"/>
    <n v="100623"/>
    <s v="DTWMB"/>
    <n v="437"/>
    <x v="0"/>
    <x v="591"/>
    <x v="9"/>
    <x v="0"/>
    <x v="86"/>
  </r>
  <r>
    <x v="9"/>
    <s v="FAYDN"/>
    <n v="100633"/>
    <s v="FAYDN"/>
    <n v="442"/>
    <x v="0"/>
    <x v="592"/>
    <x v="9"/>
    <x v="0"/>
    <x v="86"/>
  </r>
  <r>
    <x v="9"/>
    <s v="EVVFW"/>
    <n v="100655"/>
    <s v="EVVFW"/>
    <n v="454"/>
    <x v="0"/>
    <x v="593"/>
    <x v="9"/>
    <x v="0"/>
    <x v="77"/>
  </r>
  <r>
    <x v="9"/>
    <s v="DSMFD"/>
    <n v="100663"/>
    <s v="DSMFD"/>
    <n v="461"/>
    <x v="0"/>
    <x v="594"/>
    <x v="9"/>
    <x v="0"/>
    <x v="11"/>
  </r>
  <r>
    <x v="9"/>
    <s v="DSMFO"/>
    <n v="100667"/>
    <s v="DSMFO"/>
    <n v="467"/>
    <x v="0"/>
    <x v="595"/>
    <x v="9"/>
    <x v="0"/>
    <x v="93"/>
  </r>
  <r>
    <x v="9"/>
    <s v="DLHFW"/>
    <n v="100669"/>
    <s v="DLHFW"/>
    <n v="468"/>
    <x v="0"/>
    <x v="596"/>
    <x v="9"/>
    <x v="0"/>
    <x v="20"/>
  </r>
  <r>
    <x v="9"/>
    <s v="DSMTO"/>
    <n v="100675"/>
    <s v="DSMTO"/>
    <n v="472"/>
    <x v="0"/>
    <x v="597"/>
    <x v="9"/>
    <x v="0"/>
    <x v="37"/>
  </r>
  <r>
    <x v="9"/>
    <s v="FLGSH"/>
    <n v="200165"/>
    <s v="FLGSH"/>
    <n v="495"/>
    <x v="1"/>
    <x v="598"/>
    <x v="9"/>
    <x v="0"/>
    <x v="80"/>
  </r>
  <r>
    <x v="9"/>
    <s v="IGMSH"/>
    <n v="200761"/>
    <s v="IGMSH"/>
    <n v="917"/>
    <x v="1"/>
    <x v="599"/>
    <x v="9"/>
    <x v="0"/>
    <x v="87"/>
  </r>
  <r>
    <x v="9"/>
    <s v="PDXPF"/>
    <n v="200759"/>
    <s v="PDXPF"/>
    <n v="916"/>
    <x v="1"/>
    <x v="600"/>
    <x v="9"/>
    <x v="0"/>
    <x v="78"/>
  </r>
  <r>
    <x v="9"/>
    <s v="LAXCY"/>
    <n v="200757"/>
    <s v="LAXCY"/>
    <n v="915"/>
    <x v="1"/>
    <x v="601"/>
    <x v="9"/>
    <x v="0"/>
    <x v="136"/>
  </r>
  <r>
    <x v="9"/>
    <s v="LAXAB"/>
    <n v="200755"/>
    <s v="LAXAB"/>
    <n v="914"/>
    <x v="1"/>
    <x v="602"/>
    <x v="9"/>
    <x v="0"/>
    <x v="137"/>
  </r>
  <r>
    <x v="9"/>
    <s v="MFRCY"/>
    <n v="200753"/>
    <s v="MFRCY"/>
    <n v="913"/>
    <x v="1"/>
    <x v="603"/>
    <x v="9"/>
    <x v="0"/>
    <x v="47"/>
  </r>
  <r>
    <x v="9"/>
    <s v="LAXAM"/>
    <n v="200751"/>
    <s v="LAXAM"/>
    <n v="912"/>
    <x v="1"/>
    <x v="604"/>
    <x v="9"/>
    <x v="0"/>
    <x v="85"/>
  </r>
  <r>
    <x v="9"/>
    <s v="LAXMO"/>
    <s v="200749"/>
    <s v="LAXMO"/>
    <n v="911"/>
    <x v="1"/>
    <x v="605"/>
    <x v="9"/>
    <x v="0"/>
    <x v="74"/>
  </r>
  <r>
    <x v="9"/>
    <s v="LAXCE"/>
    <n v="200747"/>
    <s v="LAXCE"/>
    <n v="910"/>
    <x v="1"/>
    <x v="606"/>
    <x v="9"/>
    <x v="0"/>
    <x v="74"/>
  </r>
  <r>
    <x v="9"/>
    <s v="LAXMP"/>
    <n v="200745"/>
    <s v="LAXMP"/>
    <n v="909"/>
    <x v="1"/>
    <x v="607"/>
    <x v="9"/>
    <x v="0"/>
    <x v="138"/>
  </r>
  <r>
    <x v="9"/>
    <s v="OTSFS"/>
    <n v="200743"/>
    <s v="OTSFS"/>
    <n v="908"/>
    <x v="1"/>
    <x v="608"/>
    <x v="9"/>
    <x v="0"/>
    <x v="39"/>
  </r>
  <r>
    <x v="9"/>
    <s v="LAXAE"/>
    <n v="200741"/>
    <s v="LAXAE"/>
    <n v="907"/>
    <x v="1"/>
    <x v="609"/>
    <x v="9"/>
    <x v="0"/>
    <x v="139"/>
  </r>
  <r>
    <x v="9"/>
    <s v="PHXDT"/>
    <n v="200739"/>
    <s v="PHXDT"/>
    <n v="906"/>
    <x v="1"/>
    <x v="610"/>
    <x v="9"/>
    <x v="0"/>
    <x v="60"/>
  </r>
  <r>
    <x v="9"/>
    <s v="DALIR"/>
    <n v="200737"/>
    <s v="DALIR"/>
    <n v="905"/>
    <x v="1"/>
    <x v="611"/>
    <x v="9"/>
    <x v="0"/>
    <x v="22"/>
  </r>
  <r>
    <x v="9"/>
    <s v="MSNMW"/>
    <n v="200735"/>
    <s v="MSNMW"/>
    <n v="904"/>
    <x v="1"/>
    <x v="612"/>
    <x v="9"/>
    <x v="0"/>
    <x v="16"/>
  </r>
  <r>
    <x v="9"/>
    <s v="HOUIC"/>
    <n v="200733"/>
    <s v="HOUIC"/>
    <n v="903"/>
    <x v="1"/>
    <x v="613"/>
    <x v="9"/>
    <x v="0"/>
    <x v="51"/>
  </r>
  <r>
    <x v="9"/>
    <s v="FOECY"/>
    <n v="200731"/>
    <s v="FOECY"/>
    <n v="902"/>
    <x v="1"/>
    <x v="614"/>
    <x v="9"/>
    <x v="0"/>
    <x v="18"/>
  </r>
  <r>
    <x v="9"/>
    <s v="BTRRO"/>
    <n v="200729"/>
    <s v="BTRRO"/>
    <n v="901"/>
    <x v="1"/>
    <x v="615"/>
    <x v="9"/>
    <x v="0"/>
    <x v="13"/>
  </r>
  <r>
    <x v="9"/>
    <s v="AUSFS"/>
    <n v="200727"/>
    <s v="AUSFS"/>
    <n v="900"/>
    <x v="1"/>
    <x v="616"/>
    <x v="9"/>
    <x v="0"/>
    <x v="100"/>
  </r>
  <r>
    <x v="9"/>
    <s v="BHMFP"/>
    <n v="200725"/>
    <s v="BHMFP"/>
    <n v="899"/>
    <x v="1"/>
    <x v="617"/>
    <x v="9"/>
    <x v="0"/>
    <x v="78"/>
  </r>
  <r>
    <x v="9"/>
    <s v="JANSH"/>
    <n v="200723"/>
    <s v="JANSH"/>
    <n v="898"/>
    <x v="1"/>
    <x v="618"/>
    <x v="9"/>
    <x v="0"/>
    <x v="13"/>
  </r>
  <r>
    <x v="9"/>
    <s v="PFNCY"/>
    <n v="200721"/>
    <s v="PFNCY"/>
    <n v="897"/>
    <x v="1"/>
    <x v="619"/>
    <x v="9"/>
    <x v="0"/>
    <x v="20"/>
  </r>
  <r>
    <x v="9"/>
    <s v="MSPST"/>
    <n v="200719"/>
    <s v="MSPST"/>
    <n v="896"/>
    <x v="1"/>
    <x v="620"/>
    <x v="9"/>
    <x v="0"/>
    <x v="109"/>
  </r>
  <r>
    <x v="9"/>
    <s v="HOUPS"/>
    <n v="200717"/>
    <s v="HOUPS"/>
    <n v="895"/>
    <x v="1"/>
    <x v="621"/>
    <x v="9"/>
    <x v="0"/>
    <x v="1"/>
  </r>
  <r>
    <x v="9"/>
    <s v="HOULN"/>
    <n v="200715"/>
    <s v="HOULN"/>
    <n v="894"/>
    <x v="1"/>
    <x v="622"/>
    <x v="9"/>
    <x v="0"/>
    <x v="96"/>
  </r>
  <r>
    <x v="9"/>
    <s v="DALLL"/>
    <n v="200713"/>
    <s v="DALLL"/>
    <n v="893"/>
    <x v="1"/>
    <x v="623"/>
    <x v="9"/>
    <x v="0"/>
    <x v="42"/>
  </r>
  <r>
    <x v="9"/>
    <s v="BNAFL"/>
    <n v="200711"/>
    <s v="BNAFL"/>
    <n v="892"/>
    <x v="1"/>
    <x v="624"/>
    <x v="9"/>
    <x v="0"/>
    <x v="57"/>
  </r>
  <r>
    <x v="9"/>
    <s v="SATNE"/>
    <n v="200709"/>
    <s v="SATNE"/>
    <n v="891"/>
    <x v="1"/>
    <x v="625"/>
    <x v="9"/>
    <x v="0"/>
    <x v="14"/>
  </r>
  <r>
    <x v="9"/>
    <s v="DFWDN"/>
    <n v="200707"/>
    <s v="DFWDN"/>
    <n v="890"/>
    <x v="1"/>
    <x v="626"/>
    <x v="9"/>
    <x v="0"/>
    <x v="34"/>
  </r>
  <r>
    <x v="9"/>
    <s v="TCLCY"/>
    <n v="200705"/>
    <s v="TCLCY"/>
    <n v="889"/>
    <x v="1"/>
    <x v="627"/>
    <x v="9"/>
    <x v="0"/>
    <x v="39"/>
  </r>
  <r>
    <x v="9"/>
    <s v="RFDBL"/>
    <n v="200703"/>
    <s v="RFDBL"/>
    <n v="888"/>
    <x v="1"/>
    <x v="628"/>
    <x v="9"/>
    <x v="0"/>
    <x v="49"/>
  </r>
  <r>
    <x v="9"/>
    <s v="ALOFW"/>
    <n v="200701"/>
    <s v="ALOFW"/>
    <n v="887"/>
    <x v="1"/>
    <x v="629"/>
    <x v="9"/>
    <x v="0"/>
    <x v="10"/>
  </r>
  <r>
    <x v="9"/>
    <s v="HOUCW"/>
    <n v="200699"/>
    <s v="HOUCW"/>
    <n v="886"/>
    <x v="1"/>
    <x v="630"/>
    <x v="9"/>
    <x v="0"/>
    <x v="135"/>
  </r>
  <r>
    <x v="9"/>
    <s v="TULMK"/>
    <n v="200697"/>
    <s v="TULMK"/>
    <n v="885"/>
    <x v="1"/>
    <x v="631"/>
    <x v="9"/>
    <x v="0"/>
    <x v="27"/>
  </r>
  <r>
    <x v="9"/>
    <s v="HOUWK"/>
    <n v="200695"/>
    <s v="HOUWK"/>
    <n v="884"/>
    <x v="1"/>
    <x v="632"/>
    <x v="9"/>
    <x v="0"/>
    <x v="137"/>
  </r>
  <r>
    <x v="9"/>
    <s v="DALCD"/>
    <n v="200693"/>
    <s v="DALCD"/>
    <n v="883"/>
    <x v="1"/>
    <x v="633"/>
    <x v="9"/>
    <x v="0"/>
    <x v="16"/>
  </r>
  <r>
    <x v="9"/>
    <s v="HOUPL"/>
    <n v="200691"/>
    <s v="HOUPL"/>
    <n v="882"/>
    <x v="1"/>
    <x v="634"/>
    <x v="9"/>
    <x v="0"/>
    <x v="11"/>
  </r>
  <r>
    <x v="9"/>
    <s v="CGICY"/>
    <n v="200689"/>
    <s v="CGICY"/>
    <n v="881"/>
    <x v="1"/>
    <x v="635"/>
    <x v="9"/>
    <x v="0"/>
    <x v="11"/>
  </r>
  <r>
    <x v="9"/>
    <s v="MCILB"/>
    <n v="200687"/>
    <s v="MCILB"/>
    <n v="880"/>
    <x v="1"/>
    <x v="636"/>
    <x v="9"/>
    <x v="0"/>
    <x v="17"/>
  </r>
  <r>
    <x v="9"/>
    <s v="HOUPD"/>
    <n v="200685"/>
    <s v="HOUPD"/>
    <n v="879"/>
    <x v="1"/>
    <x v="637"/>
    <x v="9"/>
    <x v="0"/>
    <x v="111"/>
  </r>
  <r>
    <x v="9"/>
    <s v="DALEH"/>
    <n v="200683"/>
    <s v="DALEH"/>
    <n v="878"/>
    <x v="1"/>
    <x v="638"/>
    <x v="9"/>
    <x v="0"/>
    <x v="18"/>
  </r>
  <r>
    <x v="9"/>
    <s v="GRIGI"/>
    <n v="200681"/>
    <s v="GRIGI"/>
    <n v="877"/>
    <x v="1"/>
    <x v="639"/>
    <x v="9"/>
    <x v="0"/>
    <x v="31"/>
  </r>
  <r>
    <x v="9"/>
    <s v="CHICR"/>
    <n v="200679"/>
    <s v="CHICR"/>
    <n v="876"/>
    <x v="1"/>
    <x v="640"/>
    <x v="9"/>
    <x v="0"/>
    <x v="9"/>
  </r>
  <r>
    <x v="9"/>
    <s v="DALAD"/>
    <n v="200677"/>
    <s v="DALAD"/>
    <n v="875"/>
    <x v="1"/>
    <x v="641"/>
    <x v="9"/>
    <x v="0"/>
    <x v="117"/>
  </r>
  <r>
    <x v="9"/>
    <s v="DFWSI"/>
    <n v="200675"/>
    <s v="DFWSI"/>
    <n v="874"/>
    <x v="1"/>
    <x v="642"/>
    <x v="9"/>
    <x v="0"/>
    <x v="22"/>
  </r>
  <r>
    <x v="9"/>
    <s v="DALVL"/>
    <n v="200673"/>
    <s v="DALVL"/>
    <n v="873"/>
    <x v="1"/>
    <x v="643"/>
    <x v="9"/>
    <x v="0"/>
    <x v="119"/>
  </r>
  <r>
    <x v="9"/>
    <s v="AUSAA"/>
    <n v="200671"/>
    <s v="AUSAA"/>
    <n v="872"/>
    <x v="1"/>
    <x v="644"/>
    <x v="9"/>
    <x v="0"/>
    <x v="88"/>
  </r>
  <r>
    <x v="9"/>
    <s v="OKCAW"/>
    <n v="200669"/>
    <s v="OKCAW"/>
    <n v="871"/>
    <x v="1"/>
    <x v="645"/>
    <x v="9"/>
    <x v="0"/>
    <x v="47"/>
  </r>
  <r>
    <x v="9"/>
    <s v="DALQD"/>
    <n v="200667"/>
    <s v="DALQD"/>
    <n v="870"/>
    <x v="1"/>
    <x v="646"/>
    <x v="9"/>
    <x v="0"/>
    <x v="137"/>
  </r>
  <r>
    <x v="9"/>
    <s v="SATPT"/>
    <n v="200665"/>
    <s v="SATPT"/>
    <n v="869"/>
    <x v="1"/>
    <x v="647"/>
    <x v="9"/>
    <x v="0"/>
    <x v="9"/>
  </r>
  <r>
    <x v="9"/>
    <s v="ICTFD"/>
    <n v="200663"/>
    <s v="ICTFD"/>
    <n v="868"/>
    <x v="1"/>
    <x v="648"/>
    <x v="9"/>
    <x v="0"/>
    <x v="94"/>
  </r>
  <r>
    <x v="9"/>
    <s v="DFWAT"/>
    <n v="200661"/>
    <s v="DFWAT"/>
    <n v="867"/>
    <x v="1"/>
    <x v="649"/>
    <x v="9"/>
    <x v="0"/>
    <x v="66"/>
  </r>
  <r>
    <x v="9"/>
    <s v="TCLFI"/>
    <n v="200659"/>
    <s v="TCLFI"/>
    <n v="866"/>
    <x v="1"/>
    <x v="650"/>
    <x v="9"/>
    <x v="0"/>
    <x v="100"/>
  </r>
  <r>
    <x v="9"/>
    <s v="PNSCY"/>
    <n v="200657"/>
    <s v="PNSCY"/>
    <n v="865"/>
    <x v="1"/>
    <x v="651"/>
    <x v="9"/>
    <x v="0"/>
    <x v="18"/>
  </r>
  <r>
    <x v="9"/>
    <s v="ABISN"/>
    <n v="200655"/>
    <s v="ABISN"/>
    <n v="864"/>
    <x v="1"/>
    <x v="652"/>
    <x v="9"/>
    <x v="0"/>
    <x v="10"/>
  </r>
  <r>
    <x v="9"/>
    <s v="LITRV"/>
    <n v="200653"/>
    <s v="LITRV"/>
    <n v="863"/>
    <x v="1"/>
    <x v="653"/>
    <x v="9"/>
    <x v="0"/>
    <x v="87"/>
  </r>
  <r>
    <x v="9"/>
    <s v="AUSST"/>
    <n v="200651"/>
    <s v="AUSST"/>
    <n v="862"/>
    <x v="1"/>
    <x v="654"/>
    <x v="9"/>
    <x v="0"/>
    <x v="54"/>
  </r>
  <r>
    <x v="9"/>
    <s v="CHIFS"/>
    <n v="200649"/>
    <s v="CHIFS"/>
    <n v="861"/>
    <x v="1"/>
    <x v="655"/>
    <x v="9"/>
    <x v="0"/>
    <x v="29"/>
  </r>
  <r>
    <x v="9"/>
    <s v="DALWF"/>
    <n v="200647"/>
    <s v="DALWF"/>
    <n v="860"/>
    <x v="1"/>
    <x v="656"/>
    <x v="9"/>
    <x v="0"/>
    <x v="43"/>
  </r>
  <r>
    <x v="9"/>
    <s v="PNSFF"/>
    <n v="200645"/>
    <s v="PNSFF"/>
    <n v="859"/>
    <x v="1"/>
    <x v="657"/>
    <x v="9"/>
    <x v="0"/>
    <x v="12"/>
  </r>
  <r>
    <x v="9"/>
    <s v="PNSCW"/>
    <n v="200643"/>
    <s v="PNSCW"/>
    <n v="858"/>
    <x v="1"/>
    <x v="658"/>
    <x v="9"/>
    <x v="0"/>
    <x v="99"/>
  </r>
  <r>
    <x v="9"/>
    <s v="CRPFW"/>
    <n v="200641"/>
    <s v="CRPFW"/>
    <n v="857"/>
    <x v="1"/>
    <x v="659"/>
    <x v="9"/>
    <x v="0"/>
    <x v="93"/>
  </r>
  <r>
    <x v="9"/>
    <s v="HOUKW"/>
    <n v="200639"/>
    <s v="HOUKW"/>
    <n v="856"/>
    <x v="1"/>
    <x v="660"/>
    <x v="9"/>
    <x v="0"/>
    <x v="0"/>
  </r>
  <r>
    <x v="9"/>
    <s v="HOUKF"/>
    <n v="200637"/>
    <s v="HOUKF"/>
    <n v="855"/>
    <x v="1"/>
    <x v="661"/>
    <x v="9"/>
    <x v="0"/>
    <x v="123"/>
  </r>
  <r>
    <x v="9"/>
    <s v="HOUFC"/>
    <n v="200635"/>
    <s v="HOUFC"/>
    <n v="854"/>
    <x v="1"/>
    <x v="662"/>
    <x v="9"/>
    <x v="0"/>
    <x v="48"/>
  </r>
  <r>
    <x v="9"/>
    <s v="MSNAC"/>
    <n v="200633"/>
    <s v="MSNAC"/>
    <n v="853"/>
    <x v="1"/>
    <x v="663"/>
    <x v="9"/>
    <x v="0"/>
    <x v="140"/>
  </r>
  <r>
    <x v="9"/>
    <s v="BNASY"/>
    <n v="200631"/>
    <s v="BNASY"/>
    <n v="852"/>
    <x v="1"/>
    <x v="664"/>
    <x v="9"/>
    <x v="0"/>
    <x v="92"/>
  </r>
  <r>
    <x v="9"/>
    <s v="HOUZN"/>
    <n v="200629"/>
    <s v="HOUZN"/>
    <n v="851"/>
    <x v="1"/>
    <x v="665"/>
    <x v="9"/>
    <x v="0"/>
    <x v="109"/>
  </r>
  <r>
    <x v="9"/>
    <s v="LRDFI"/>
    <n v="200627"/>
    <s v="LRDFI"/>
    <n v="850"/>
    <x v="1"/>
    <x v="666"/>
    <x v="9"/>
    <x v="0"/>
    <x v="44"/>
  </r>
  <r>
    <x v="9"/>
    <s v="HOUBT"/>
    <n v="200625"/>
    <s v="HOUBT"/>
    <n v="849"/>
    <x v="1"/>
    <x v="667"/>
    <x v="9"/>
    <x v="0"/>
    <x v="21"/>
  </r>
  <r>
    <x v="9"/>
    <s v="SLNCY"/>
    <n v="200623"/>
    <s v="SLNCY"/>
    <n v="848"/>
    <x v="1"/>
    <x v="668"/>
    <x v="9"/>
    <x v="0"/>
    <x v="48"/>
  </r>
  <r>
    <x v="9"/>
    <s v="BHMBF"/>
    <n v="200621"/>
    <s v="BHMBF"/>
    <n v="847"/>
    <x v="1"/>
    <x v="669"/>
    <x v="9"/>
    <x v="0"/>
    <x v="34"/>
  </r>
  <r>
    <x v="9"/>
    <s v="MEIFI"/>
    <n v="200619"/>
    <s v="MEIFI"/>
    <n v="846"/>
    <x v="1"/>
    <x v="670"/>
    <x v="9"/>
    <x v="0"/>
    <x v="12"/>
  </r>
  <r>
    <x v="9"/>
    <s v="DALWD"/>
    <n v="200617"/>
    <s v="DALWD"/>
    <n v="845"/>
    <x v="1"/>
    <x v="671"/>
    <x v="9"/>
    <x v="0"/>
    <x v="141"/>
  </r>
  <r>
    <x v="9"/>
    <s v="SOSFI"/>
    <n v="200615"/>
    <s v="SOSFI"/>
    <n v="844"/>
    <x v="1"/>
    <x v="38"/>
    <x v="9"/>
    <x v="0"/>
    <x v="47"/>
  </r>
  <r>
    <x v="9"/>
    <s v="ATLCT"/>
    <n v="200613"/>
    <s v="ATLCT"/>
    <n v="843"/>
    <x v="1"/>
    <x v="672"/>
    <x v="9"/>
    <x v="0"/>
    <x v="38"/>
  </r>
  <r>
    <x v="9"/>
    <s v="BOSMF"/>
    <n v="200611"/>
    <s v="BOSMF"/>
    <n v="842"/>
    <x v="1"/>
    <x v="673"/>
    <x v="9"/>
    <x v="0"/>
    <x v="30"/>
  </r>
  <r>
    <x v="9"/>
    <s v="OCWFI"/>
    <n v="200609"/>
    <s v="OCWFI"/>
    <n v="841"/>
    <x v="1"/>
    <x v="674"/>
    <x v="9"/>
    <x v="0"/>
    <x v="45"/>
  </r>
  <r>
    <x v="9"/>
    <s v="HKYFY"/>
    <n v="200607"/>
    <s v="HKYFY"/>
    <n v="840"/>
    <x v="1"/>
    <x v="675"/>
    <x v="9"/>
    <x v="0"/>
    <x v="37"/>
  </r>
  <r>
    <x v="9"/>
    <s v="EWBFI"/>
    <n v="200605"/>
    <s v="EWBFI"/>
    <n v="839"/>
    <x v="1"/>
    <x v="676"/>
    <x v="9"/>
    <x v="0"/>
    <x v="32"/>
  </r>
  <r>
    <x v="9"/>
    <s v="LGAEW"/>
    <n v="200603"/>
    <s v="LGAEW"/>
    <n v="838"/>
    <x v="1"/>
    <x v="677"/>
    <x v="9"/>
    <x v="0"/>
    <x v="108"/>
  </r>
  <r>
    <x v="9"/>
    <s v="CAEFN"/>
    <n v="200601"/>
    <s v="CAEFN"/>
    <n v="837"/>
    <x v="1"/>
    <x v="678"/>
    <x v="9"/>
    <x v="0"/>
    <x v="20"/>
  </r>
  <r>
    <x v="9"/>
    <s v="RDUFM"/>
    <n v="200599"/>
    <s v="RDUFM"/>
    <n v="836"/>
    <x v="1"/>
    <x v="679"/>
    <x v="9"/>
    <x v="0"/>
    <x v="27"/>
  </r>
  <r>
    <x v="9"/>
    <s v="PHLIG"/>
    <n v="200597"/>
    <s v="PHLIG"/>
    <n v="835"/>
    <x v="1"/>
    <x v="680"/>
    <x v="9"/>
    <x v="0"/>
    <x v="99"/>
  </r>
  <r>
    <x v="9"/>
    <s v="RDURL"/>
    <n v="200595"/>
    <s v="RDURL"/>
    <n v="834"/>
    <x v="1"/>
    <x v="681"/>
    <x v="9"/>
    <x v="0"/>
    <x v="94"/>
  </r>
  <r>
    <x v="9"/>
    <s v="OKKCY"/>
    <n v="200593"/>
    <s v="OKKCY"/>
    <n v="833"/>
    <x v="1"/>
    <x v="682"/>
    <x v="9"/>
    <x v="0"/>
    <x v="18"/>
  </r>
  <r>
    <x v="6"/>
    <s v="PHLVF"/>
    <n v="200591"/>
    <s v="PHLVF"/>
    <n v="832"/>
    <x v="1"/>
    <x v="357"/>
    <x v="6"/>
    <x v="0"/>
    <x v="142"/>
  </r>
  <r>
    <x v="9"/>
    <s v="TYSKE"/>
    <n v="200589"/>
    <s v="TYSKE"/>
    <n v="831"/>
    <x v="1"/>
    <x v="683"/>
    <x v="9"/>
    <x v="0"/>
    <x v="40"/>
  </r>
  <r>
    <x v="9"/>
    <s v="AVPCY"/>
    <n v="200587"/>
    <s v="AVPCY"/>
    <n v="830"/>
    <x v="1"/>
    <x v="684"/>
    <x v="9"/>
    <x v="0"/>
    <x v="32"/>
  </r>
  <r>
    <x v="9"/>
    <s v="RDUNW"/>
    <n v="200585"/>
    <s v="RDUNW"/>
    <n v="829"/>
    <x v="1"/>
    <x v="685"/>
    <x v="9"/>
    <x v="0"/>
    <x v="40"/>
  </r>
  <r>
    <x v="9"/>
    <s v="BTLCY"/>
    <n v="200583"/>
    <s v="BTLCY"/>
    <n v="828"/>
    <x v="1"/>
    <x v="686"/>
    <x v="9"/>
    <x v="0"/>
    <x v="16"/>
  </r>
  <r>
    <x v="9"/>
    <s v="EWRPP"/>
    <n v="200581"/>
    <s v="EWRPP"/>
    <n v="827"/>
    <x v="1"/>
    <x v="687"/>
    <x v="9"/>
    <x v="0"/>
    <x v="31"/>
  </r>
  <r>
    <x v="9"/>
    <s v="AHNFH"/>
    <n v="200579"/>
    <s v="AHNFH"/>
    <n v="826"/>
    <x v="1"/>
    <x v="688"/>
    <x v="9"/>
    <x v="0"/>
    <x v="55"/>
  </r>
  <r>
    <x v="9"/>
    <s v="GSPGD"/>
    <n v="200577"/>
    <s v="GSPGD"/>
    <n v="825"/>
    <x v="1"/>
    <x v="689"/>
    <x v="9"/>
    <x v="0"/>
    <x v="104"/>
  </r>
  <r>
    <x v="9"/>
    <s v="ATLSH"/>
    <n v="200575"/>
    <s v="ATLSH"/>
    <n v="824"/>
    <x v="1"/>
    <x v="690"/>
    <x v="9"/>
    <x v="0"/>
    <x v="43"/>
  </r>
  <r>
    <x v="9"/>
    <s v="PBGFI"/>
    <n v="200573"/>
    <s v="PBGFI"/>
    <n v="823"/>
    <x v="1"/>
    <x v="691"/>
    <x v="9"/>
    <x v="0"/>
    <x v="11"/>
  </r>
  <r>
    <x v="9"/>
    <s v="BOSBG"/>
    <n v="200571"/>
    <s v="BOSBG"/>
    <n v="822"/>
    <x v="1"/>
    <x v="692"/>
    <x v="9"/>
    <x v="0"/>
    <x v="68"/>
  </r>
  <r>
    <x v="9"/>
    <s v="PHLDF"/>
    <n v="200569"/>
    <s v="PHLDF"/>
    <n v="821"/>
    <x v="1"/>
    <x v="693"/>
    <x v="9"/>
    <x v="0"/>
    <x v="16"/>
  </r>
  <r>
    <x v="9"/>
    <s v="MIADT"/>
    <n v="200567"/>
    <s v="MIADT"/>
    <n v="820"/>
    <x v="1"/>
    <x v="694"/>
    <x v="9"/>
    <x v="0"/>
    <x v="143"/>
  </r>
  <r>
    <x v="9"/>
    <s v="NYCBF"/>
    <n v="200565"/>
    <s v="NYCBF"/>
    <n v="819"/>
    <x v="1"/>
    <x v="695"/>
    <x v="9"/>
    <x v="0"/>
    <x v="83"/>
  </r>
  <r>
    <x v="9"/>
    <s v="DTTSD"/>
    <n v="200563"/>
    <s v="DTTSD"/>
    <n v="818"/>
    <x v="1"/>
    <x v="696"/>
    <x v="9"/>
    <x v="0"/>
    <x v="22"/>
  </r>
  <r>
    <x v="9"/>
    <s v="RICFW"/>
    <n v="200561"/>
    <s v="RICFW"/>
    <n v="817"/>
    <x v="1"/>
    <x v="697"/>
    <x v="9"/>
    <x v="0"/>
    <x v="11"/>
  </r>
  <r>
    <x v="9"/>
    <s v="AVPFI"/>
    <n v="200559"/>
    <s v="AVPFI"/>
    <n v="816"/>
    <x v="1"/>
    <x v="698"/>
    <x v="9"/>
    <x v="0"/>
    <x v="77"/>
  </r>
  <r>
    <x v="9"/>
    <s v="RDUWT"/>
    <n v="200557"/>
    <s v="RDUWT"/>
    <n v="815"/>
    <x v="1"/>
    <x v="699"/>
    <x v="9"/>
    <x v="0"/>
    <x v="16"/>
  </r>
  <r>
    <x v="9"/>
    <s v="ATLLL"/>
    <n v="200555"/>
    <s v="ATLLL"/>
    <n v="814"/>
    <x v="1"/>
    <x v="700"/>
    <x v="9"/>
    <x v="0"/>
    <x v="31"/>
  </r>
  <r>
    <x v="9"/>
    <s v="MCOMA"/>
    <n v="200551"/>
    <s v="MCOMA"/>
    <n v="812"/>
    <x v="1"/>
    <x v="701"/>
    <x v="9"/>
    <x v="0"/>
    <x v="28"/>
  </r>
  <r>
    <x v="9"/>
    <s v="ATLGY"/>
    <n v="200549"/>
    <s v="ATLGY"/>
    <n v="811"/>
    <x v="1"/>
    <x v="702"/>
    <x v="9"/>
    <x v="0"/>
    <x v="94"/>
  </r>
  <r>
    <x v="9"/>
    <s v="TPACY"/>
    <n v="200547"/>
    <s v="TPACY"/>
    <n v="810"/>
    <x v="1"/>
    <x v="703"/>
    <x v="9"/>
    <x v="0"/>
    <x v="10"/>
  </r>
  <r>
    <x v="9"/>
    <s v="EWRSA"/>
    <n v="200545"/>
    <s v="EWRSA"/>
    <n v="809"/>
    <x v="1"/>
    <x v="704"/>
    <x v="9"/>
    <x v="0"/>
    <x v="28"/>
  </r>
  <r>
    <x v="9"/>
    <s v="MGWCY"/>
    <n v="200543"/>
    <s v="MGWCY"/>
    <n v="808"/>
    <x v="1"/>
    <x v="705"/>
    <x v="9"/>
    <x v="0"/>
    <x v="37"/>
  </r>
  <r>
    <x v="9"/>
    <s v="AYSFI"/>
    <n v="200541"/>
    <s v="AYSFI"/>
    <n v="807"/>
    <x v="1"/>
    <x v="706"/>
    <x v="9"/>
    <x v="0"/>
    <x v="129"/>
  </r>
  <r>
    <x v="9"/>
    <s v="SDFDT"/>
    <n v="200539"/>
    <s v="SDFDT"/>
    <n v="806"/>
    <x v="1"/>
    <x v="707"/>
    <x v="9"/>
    <x v="0"/>
    <x v="63"/>
  </r>
  <r>
    <x v="9"/>
    <s v="ORFVA"/>
    <n v="200537"/>
    <s v="ORFVA"/>
    <n v="805"/>
    <x v="1"/>
    <x v="708"/>
    <x v="9"/>
    <x v="0"/>
    <x v="44"/>
  </r>
  <r>
    <x v="9"/>
    <s v="MHTKN"/>
    <n v="200535"/>
    <s v="MHTKN"/>
    <n v="804"/>
    <x v="1"/>
    <x v="709"/>
    <x v="9"/>
    <x v="0"/>
    <x v="144"/>
  </r>
  <r>
    <x v="9"/>
    <s v="MCOCW"/>
    <n v="200533"/>
    <s v="MCOCW"/>
    <n v="803"/>
    <x v="1"/>
    <x v="710"/>
    <x v="9"/>
    <x v="0"/>
    <x v="29"/>
  </r>
  <r>
    <x v="9"/>
    <s v="AHNCO"/>
    <n v="200531"/>
    <s v="AHNCO"/>
    <n v="802"/>
    <x v="1"/>
    <x v="711"/>
    <x v="9"/>
    <x v="0"/>
    <x v="48"/>
  </r>
  <r>
    <x v="9"/>
    <s v="TYSFA"/>
    <n v="200529"/>
    <s v="TYSFA"/>
    <n v="801"/>
    <x v="1"/>
    <x v="712"/>
    <x v="9"/>
    <x v="0"/>
    <x v="12"/>
  </r>
  <r>
    <x v="9"/>
    <s v="ITHFL"/>
    <n v="200527"/>
    <s v="ITHFL"/>
    <n v="800"/>
    <x v="1"/>
    <x v="713"/>
    <x v="9"/>
    <x v="0"/>
    <x v="20"/>
  </r>
  <r>
    <x v="9"/>
    <s v="DTWCF"/>
    <n v="200525"/>
    <s v="DTWCF"/>
    <n v="799"/>
    <x v="1"/>
    <x v="714"/>
    <x v="9"/>
    <x v="0"/>
    <x v="32"/>
  </r>
  <r>
    <x v="9"/>
    <s v="DAYCF"/>
    <n v="200523"/>
    <s v="DAYCF"/>
    <n v="798"/>
    <x v="1"/>
    <x v="715"/>
    <x v="9"/>
    <x v="0"/>
    <x v="38"/>
  </r>
  <r>
    <x v="9"/>
    <s v="PITWM"/>
    <n v="200521"/>
    <s v="PITWM"/>
    <n v="797"/>
    <x v="1"/>
    <x v="716"/>
    <x v="9"/>
    <x v="0"/>
    <x v="49"/>
  </r>
  <r>
    <x v="9"/>
    <s v="ARTFI"/>
    <n v="200519"/>
    <s v="ARTFI"/>
    <n v="796"/>
    <x v="1"/>
    <x v="717"/>
    <x v="9"/>
    <x v="0"/>
    <x v="79"/>
  </r>
  <r>
    <x v="9"/>
    <s v="ROABL"/>
    <n v="200517"/>
    <s v="ROABL"/>
    <n v="795"/>
    <x v="1"/>
    <x v="718"/>
    <x v="9"/>
    <x v="0"/>
    <x v="13"/>
  </r>
  <r>
    <x v="9"/>
    <s v="MCOCM"/>
    <n v="200515"/>
    <s v="MCOCM"/>
    <n v="794"/>
    <x v="1"/>
    <x v="719"/>
    <x v="9"/>
    <x v="0"/>
    <x v="27"/>
  </r>
  <r>
    <x v="9"/>
    <s v="PHLSR"/>
    <n v="200513"/>
    <s v="PHLSR"/>
    <n v="793"/>
    <x v="1"/>
    <x v="720"/>
    <x v="9"/>
    <x v="0"/>
    <x v="94"/>
  </r>
  <r>
    <x v="9"/>
    <s v="RSWAC"/>
    <n v="200511"/>
    <s v="RSWAC"/>
    <n v="792"/>
    <x v="1"/>
    <x v="721"/>
    <x v="9"/>
    <x v="0"/>
    <x v="76"/>
  </r>
  <r>
    <x v="9"/>
    <s v="TPAFH"/>
    <n v="200509"/>
    <s v="TPAFH"/>
    <n v="791"/>
    <x v="1"/>
    <x v="722"/>
    <x v="9"/>
    <x v="0"/>
    <x v="98"/>
  </r>
  <r>
    <x v="9"/>
    <s v="MCNCW"/>
    <n v="200507"/>
    <s v="MCNCW"/>
    <n v="790"/>
    <x v="1"/>
    <x v="723"/>
    <x v="9"/>
    <x v="0"/>
    <x v="32"/>
  </r>
  <r>
    <x v="9"/>
    <s v="HGRSC"/>
    <n v="200505"/>
    <s v="HGRSC"/>
    <n v="789"/>
    <x v="1"/>
    <x v="724"/>
    <x v="9"/>
    <x v="0"/>
    <x v="86"/>
  </r>
  <r>
    <x v="9"/>
    <s v="PWMFH"/>
    <n v="200503"/>
    <s v="PWMFH"/>
    <n v="788"/>
    <x v="1"/>
    <x v="725"/>
    <x v="9"/>
    <x v="0"/>
    <x v="55"/>
  </r>
  <r>
    <x v="9"/>
    <s v="CLTCM"/>
    <n v="200501"/>
    <s v="CLTCM"/>
    <n v="787"/>
    <x v="1"/>
    <x v="726"/>
    <x v="9"/>
    <x v="0"/>
    <x v="60"/>
  </r>
  <r>
    <x v="9"/>
    <s v="MDTCH"/>
    <n v="200499"/>
    <s v="MDTCH"/>
    <n v="786"/>
    <x v="1"/>
    <x v="727"/>
    <x v="9"/>
    <x v="0"/>
    <x v="99"/>
  </r>
  <r>
    <x v="9"/>
    <s v="CLTHB"/>
    <n v="200497"/>
    <s v="CLTHB"/>
    <n v="785"/>
    <x v="1"/>
    <x v="728"/>
    <x v="9"/>
    <x v="0"/>
    <x v="78"/>
  </r>
  <r>
    <x v="9"/>
    <s v="RICSD"/>
    <n v="200495"/>
    <s v="RICSD"/>
    <n v="784"/>
    <x v="1"/>
    <x v="729"/>
    <x v="9"/>
    <x v="0"/>
    <x v="49"/>
  </r>
  <r>
    <x v="9"/>
    <s v="ANDFI"/>
    <n v="200493"/>
    <s v="ANDFI"/>
    <n v="783"/>
    <x v="1"/>
    <x v="730"/>
    <x v="9"/>
    <x v="0"/>
    <x v="39"/>
  </r>
  <r>
    <x v="9"/>
    <s v="TPASK"/>
    <n v="200491"/>
    <s v="TPASK"/>
    <n v="782"/>
    <x v="1"/>
    <x v="731"/>
    <x v="9"/>
    <x v="0"/>
    <x v="37"/>
  </r>
  <r>
    <x v="9"/>
    <s v="TRIAB"/>
    <n v="200489"/>
    <s v="TRIAB"/>
    <n v="781"/>
    <x v="1"/>
    <x v="732"/>
    <x v="9"/>
    <x v="0"/>
    <x v="48"/>
  </r>
  <r>
    <x v="9"/>
    <s v="ROARS"/>
    <n v="200487"/>
    <s v="ROARS"/>
    <n v="780"/>
    <x v="1"/>
    <x v="733"/>
    <x v="9"/>
    <x v="0"/>
    <x v="45"/>
  </r>
  <r>
    <x v="9"/>
    <s v="RICCY"/>
    <n v="200485"/>
    <s v="RICCY"/>
    <n v="779"/>
    <x v="1"/>
    <x v="734"/>
    <x v="9"/>
    <x v="0"/>
    <x v="104"/>
  </r>
  <r>
    <x v="9"/>
    <s v="CAEFE"/>
    <n v="200483"/>
    <s v="CAEFE"/>
    <n v="778"/>
    <x v="1"/>
    <x v="735"/>
    <x v="9"/>
    <x v="0"/>
    <x v="11"/>
  </r>
  <r>
    <x v="9"/>
    <s v="RMGHO"/>
    <n v="200481"/>
    <s v="RMGHO"/>
    <n v="777"/>
    <x v="1"/>
    <x v="736"/>
    <x v="9"/>
    <x v="0"/>
    <x v="87"/>
  </r>
  <r>
    <x v="9"/>
    <s v="YYZTO"/>
    <n v="200479"/>
    <s v="YYZTO"/>
    <n v="776"/>
    <x v="1"/>
    <x v="737"/>
    <x v="9"/>
    <x v="0"/>
    <x v="127"/>
  </r>
  <r>
    <x v="9"/>
    <s v="WASTN"/>
    <n v="200477"/>
    <s v="WASTN"/>
    <n v="775"/>
    <x v="1"/>
    <x v="738"/>
    <x v="9"/>
    <x v="0"/>
    <x v="145"/>
  </r>
  <r>
    <x v="9"/>
    <s v="IAGNY"/>
    <n v="200475"/>
    <s v="IAGNY"/>
    <n v="774"/>
    <x v="1"/>
    <x v="739"/>
    <x v="9"/>
    <x v="0"/>
    <x v="43"/>
  </r>
  <r>
    <x v="9"/>
    <s v="ABEEH"/>
    <s v="200473"/>
    <s v="ABEEH"/>
    <n v="773"/>
    <x v="1"/>
    <x v="740"/>
    <x v="9"/>
    <x v="0"/>
    <x v="80"/>
  </r>
  <r>
    <x v="9"/>
    <s v="CAENE"/>
    <n v="200471"/>
    <s v="CAENE"/>
    <n v="772"/>
    <x v="1"/>
    <x v="741"/>
    <x v="9"/>
    <x v="0"/>
    <x v="18"/>
  </r>
  <r>
    <x v="9"/>
    <s v="GSOHA"/>
    <n v="200469"/>
    <s v="GSOHA"/>
    <n v="771"/>
    <x v="1"/>
    <x v="742"/>
    <x v="9"/>
    <x v="0"/>
    <x v="95"/>
  </r>
  <r>
    <x v="9"/>
    <s v="MCOUC"/>
    <n v="200467"/>
    <s v="MCOUC"/>
    <n v="770"/>
    <x v="1"/>
    <x v="743"/>
    <x v="9"/>
    <x v="0"/>
    <x v="24"/>
  </r>
  <r>
    <x v="9"/>
    <s v="ATOFI"/>
    <n v="200465"/>
    <s v="ATOFI"/>
    <n v="769"/>
    <x v="1"/>
    <x v="744"/>
    <x v="9"/>
    <x v="0"/>
    <x v="12"/>
  </r>
  <r>
    <x v="9"/>
    <s v="NYCSK"/>
    <n v="200463"/>
    <s v="NYCSK"/>
    <n v="768"/>
    <x v="1"/>
    <x v="745"/>
    <x v="9"/>
    <x v="0"/>
    <x v="41"/>
  </r>
  <r>
    <x v="9"/>
    <s v="YYZBP"/>
    <n v="200461"/>
    <s v="YYZBP"/>
    <n v="767"/>
    <x v="1"/>
    <x v="746"/>
    <x v="9"/>
    <x v="0"/>
    <x v="37"/>
  </r>
  <r>
    <x v="9"/>
    <s v="BLFFP"/>
    <n v="200459"/>
    <s v="BLFFP"/>
    <n v="766"/>
    <x v="1"/>
    <x v="747"/>
    <x v="9"/>
    <x v="0"/>
    <x v="23"/>
  </r>
  <r>
    <x v="9"/>
    <s v="BDLFE"/>
    <n v="200457"/>
    <s v="BDLFE"/>
    <n v="765"/>
    <x v="1"/>
    <x v="748"/>
    <x v="9"/>
    <x v="0"/>
    <x v="61"/>
  </r>
  <r>
    <x v="9"/>
    <s v="HARET"/>
    <n v="200455"/>
    <s v="HARET"/>
    <n v="764"/>
    <x v="1"/>
    <x v="749"/>
    <x v="9"/>
    <x v="0"/>
    <x v="38"/>
  </r>
  <r>
    <x v="9"/>
    <s v="CHSSN"/>
    <n v="200453"/>
    <s v="CHSSN"/>
    <n v="763"/>
    <x v="1"/>
    <x v="750"/>
    <x v="9"/>
    <x v="0"/>
    <x v="0"/>
  </r>
  <r>
    <x v="9"/>
    <s v="BOSSD"/>
    <n v="200451"/>
    <s v="BOSSD"/>
    <n v="762"/>
    <x v="1"/>
    <x v="751"/>
    <x v="9"/>
    <x v="0"/>
    <x v="22"/>
  </r>
  <r>
    <x v="9"/>
    <s v="INTDW"/>
    <n v="200449"/>
    <s v="INTDW"/>
    <n v="761"/>
    <x v="1"/>
    <x v="752"/>
    <x v="9"/>
    <x v="0"/>
    <x v="77"/>
  </r>
  <r>
    <x v="9"/>
    <s v="BMGCF"/>
    <n v="200445"/>
    <s v="BMGCF"/>
    <n v="759"/>
    <x v="1"/>
    <x v="753"/>
    <x v="9"/>
    <x v="0"/>
    <x v="13"/>
  </r>
  <r>
    <x v="9"/>
    <s v="GRRGS"/>
    <n v="200443"/>
    <s v="GRRGS"/>
    <n v="758"/>
    <x v="1"/>
    <x v="754"/>
    <x v="9"/>
    <x v="0"/>
    <x v="47"/>
  </r>
  <r>
    <x v="9"/>
    <s v="SOSFK"/>
    <n v="200441"/>
    <s v="SOSFK"/>
    <n v="757"/>
    <x v="1"/>
    <x v="755"/>
    <x v="9"/>
    <x v="0"/>
    <x v="47"/>
  </r>
  <r>
    <x v="9"/>
    <s v="PVDWF"/>
    <n v="200439"/>
    <s v="PVDWF"/>
    <n v="756"/>
    <x v="1"/>
    <x v="756"/>
    <x v="9"/>
    <x v="0"/>
    <x v="133"/>
  </r>
  <r>
    <x v="9"/>
    <s v="PITMO"/>
    <n v="200437"/>
    <s v="PITMO"/>
    <n v="755"/>
    <x v="1"/>
    <x v="757"/>
    <x v="9"/>
    <x v="0"/>
    <x v="43"/>
  </r>
  <r>
    <x v="9"/>
    <s v="ISPMF"/>
    <n v="200435"/>
    <s v="ISPMF"/>
    <n v="754"/>
    <x v="1"/>
    <x v="758"/>
    <x v="9"/>
    <x v="0"/>
    <x v="98"/>
  </r>
  <r>
    <x v="9"/>
    <s v="INDCF"/>
    <n v="200433"/>
    <s v="INDCF"/>
    <n v="753"/>
    <x v="1"/>
    <x v="759"/>
    <x v="9"/>
    <x v="0"/>
    <x v="117"/>
  </r>
  <r>
    <x v="9"/>
    <s v="ILMFS"/>
    <n v="200431"/>
    <s v="ILMFS"/>
    <n v="752"/>
    <x v="1"/>
    <x v="760"/>
    <x v="9"/>
    <x v="0"/>
    <x v="48"/>
  </r>
  <r>
    <x v="9"/>
    <s v="ABEFA"/>
    <n v="200429"/>
    <s v="ABEFA"/>
    <n v="751"/>
    <x v="1"/>
    <x v="761"/>
    <x v="9"/>
    <x v="0"/>
    <x v="77"/>
  </r>
  <r>
    <x v="9"/>
    <s v="ELMFI"/>
    <n v="200427"/>
    <s v="ELMFI"/>
    <n v="750"/>
    <x v="1"/>
    <x v="762"/>
    <x v="9"/>
    <x v="0"/>
    <x v="100"/>
  </r>
  <r>
    <x v="9"/>
    <s v="BGMVS"/>
    <n v="200425"/>
    <s v="BGMVS"/>
    <n v="749"/>
    <x v="1"/>
    <x v="763"/>
    <x v="9"/>
    <x v="0"/>
    <x v="39"/>
  </r>
  <r>
    <x v="9"/>
    <s v="EWRAB"/>
    <n v="200423"/>
    <s v="EWRAB"/>
    <n v="748"/>
    <x v="1"/>
    <x v="764"/>
    <x v="9"/>
    <x v="0"/>
    <x v="76"/>
  </r>
  <r>
    <x v="9"/>
    <s v="ATLSW"/>
    <n v="200421"/>
    <s v="ATLSW"/>
    <n v="747"/>
    <x v="1"/>
    <x v="765"/>
    <x v="9"/>
    <x v="0"/>
    <x v="81"/>
  </r>
  <r>
    <x v="9"/>
    <s v="MBSFM"/>
    <n v="200419"/>
    <s v="MBSFM"/>
    <n v="746"/>
    <x v="1"/>
    <x v="766"/>
    <x v="9"/>
    <x v="0"/>
    <x v="55"/>
  </r>
  <r>
    <x v="9"/>
    <s v="SBNCE"/>
    <n v="200417"/>
    <s v="SBNCE"/>
    <n v="745"/>
    <x v="1"/>
    <x v="767"/>
    <x v="9"/>
    <x v="0"/>
    <x v="17"/>
  </r>
  <r>
    <x v="9"/>
    <s v="INTCY"/>
    <n v="200415"/>
    <s v="INTCY"/>
    <n v="744"/>
    <x v="1"/>
    <x v="768"/>
    <x v="9"/>
    <x v="0"/>
    <x v="99"/>
  </r>
  <r>
    <x v="9"/>
    <s v="CHSCY"/>
    <n v="200413"/>
    <s v="CHSCY"/>
    <n v="743"/>
    <x v="1"/>
    <x v="769"/>
    <x v="9"/>
    <x v="0"/>
    <x v="116"/>
  </r>
  <r>
    <x v="9"/>
    <s v="TRIFK"/>
    <n v="200411"/>
    <s v="TRIFK"/>
    <n v="742"/>
    <x v="1"/>
    <x v="770"/>
    <x v="9"/>
    <x v="0"/>
    <x v="48"/>
  </r>
  <r>
    <x v="9"/>
    <s v="BDLNH"/>
    <n v="200409"/>
    <s v="BDLNH"/>
    <n v="741"/>
    <x v="1"/>
    <x v="771"/>
    <x v="9"/>
    <x v="0"/>
    <x v="32"/>
  </r>
  <r>
    <x v="9"/>
    <s v="JXNAB"/>
    <n v="200407"/>
    <s v="JXNAB"/>
    <n v="740"/>
    <x v="1"/>
    <x v="772"/>
    <x v="9"/>
    <x v="0"/>
    <x v="34"/>
  </r>
  <r>
    <x v="9"/>
    <s v="ATLWO"/>
    <n v="200405"/>
    <s v="ATLWO"/>
    <n v="739"/>
    <x v="1"/>
    <x v="773"/>
    <x v="9"/>
    <x v="0"/>
    <x v="93"/>
  </r>
  <r>
    <x v="9"/>
    <s v="DTWFT"/>
    <n v="200403"/>
    <s v="DTWFT"/>
    <n v="738"/>
    <x v="1"/>
    <x v="774"/>
    <x v="9"/>
    <x v="0"/>
    <x v="18"/>
  </r>
  <r>
    <x v="9"/>
    <s v="ATLVN"/>
    <n v="200401"/>
    <s v="ATLVN"/>
    <n v="737"/>
    <x v="1"/>
    <x v="775"/>
    <x v="9"/>
    <x v="0"/>
    <x v="65"/>
  </r>
  <r>
    <x v="9"/>
    <s v="FLLWM"/>
    <n v="200399"/>
    <s v="FLLWM"/>
    <n v="736"/>
    <x v="1"/>
    <x v="776"/>
    <x v="9"/>
    <x v="0"/>
    <x v="99"/>
  </r>
  <r>
    <x v="9"/>
    <s v="WASAE"/>
    <n v="200397"/>
    <s v="WASAE"/>
    <n v="735"/>
    <x v="1"/>
    <x v="777"/>
    <x v="9"/>
    <x v="0"/>
    <x v="146"/>
  </r>
  <r>
    <x v="9"/>
    <s v="YYZFS"/>
    <n v="200395"/>
    <s v="YYZFS"/>
    <n v="734"/>
    <x v="1"/>
    <x v="778"/>
    <x v="9"/>
    <x v="0"/>
    <x v="147"/>
  </r>
  <r>
    <x v="9"/>
    <s v="NYCFC"/>
    <n v="200393"/>
    <s v="NYCFC"/>
    <n v="733"/>
    <x v="1"/>
    <x v="779"/>
    <x v="9"/>
    <x v="0"/>
    <x v="68"/>
  </r>
  <r>
    <x v="9"/>
    <s v="PBIFE"/>
    <n v="200391"/>
    <s v="PBIFE"/>
    <n v="732"/>
    <x v="1"/>
    <x v="780"/>
    <x v="9"/>
    <x v="0"/>
    <x v="21"/>
  </r>
  <r>
    <x v="9"/>
    <s v="YYZVN"/>
    <n v="200389"/>
    <s v="YYZVN"/>
    <n v="731"/>
    <x v="1"/>
    <x v="781"/>
    <x v="9"/>
    <x v="0"/>
    <x v="25"/>
  </r>
  <r>
    <x v="9"/>
    <s v="RQSFI"/>
    <n v="200387"/>
    <s v="RQSFI"/>
    <n v="730"/>
    <x v="1"/>
    <x v="782"/>
    <x v="9"/>
    <x v="0"/>
    <x v="95"/>
  </r>
  <r>
    <x v="9"/>
    <s v="TLHFI"/>
    <n v="200385"/>
    <s v="TLHFI"/>
    <n v="729"/>
    <x v="1"/>
    <x v="783"/>
    <x v="9"/>
    <x v="0"/>
    <x v="81"/>
  </r>
  <r>
    <x v="9"/>
    <s v="ATLPF"/>
    <n v="200383"/>
    <s v="ATLPF"/>
    <n v="728"/>
    <x v="1"/>
    <x v="784"/>
    <x v="9"/>
    <x v="0"/>
    <x v="0"/>
  </r>
  <r>
    <x v="9"/>
    <s v="SBNMS"/>
    <n v="200381"/>
    <s v="SBNMS"/>
    <n v="727"/>
    <x v="1"/>
    <x v="785"/>
    <x v="9"/>
    <x v="0"/>
    <x v="12"/>
  </r>
  <r>
    <x v="9"/>
    <s v="FLLPE"/>
    <n v="200379"/>
    <s v="FLLPE"/>
    <n v="726"/>
    <x v="1"/>
    <x v="786"/>
    <x v="9"/>
    <x v="0"/>
    <x v="66"/>
  </r>
  <r>
    <x v="9"/>
    <s v="ARBCH"/>
    <n v="200377"/>
    <s v="ARBCH"/>
    <n v="725"/>
    <x v="1"/>
    <x v="787"/>
    <x v="9"/>
    <x v="0"/>
    <x v="53"/>
  </r>
  <r>
    <x v="9"/>
    <s v="FAYCS"/>
    <n v="200375"/>
    <s v="FAYCS"/>
    <n v="724"/>
    <x v="1"/>
    <x v="788"/>
    <x v="9"/>
    <x v="0"/>
    <x v="47"/>
  </r>
  <r>
    <x v="9"/>
    <s v="ABYFX"/>
    <n v="200373"/>
    <s v="ABYFX"/>
    <n v="723"/>
    <x v="1"/>
    <x v="789"/>
    <x v="9"/>
    <x v="0"/>
    <x v="123"/>
  </r>
  <r>
    <x v="9"/>
    <s v="DUJFI"/>
    <n v="200371"/>
    <s v="DUJFI"/>
    <n v="722"/>
    <x v="1"/>
    <x v="790"/>
    <x v="9"/>
    <x v="0"/>
    <x v="11"/>
  </r>
  <r>
    <x v="9"/>
    <s v="ELMHH"/>
    <n v="200369"/>
    <s v="ELMHH"/>
    <n v="721"/>
    <x v="1"/>
    <x v="791"/>
    <x v="9"/>
    <x v="0"/>
    <x v="81"/>
  </r>
  <r>
    <x v="9"/>
    <s v="DTWFR"/>
    <n v="200367"/>
    <s v="DTWFR"/>
    <n v="720"/>
    <x v="1"/>
    <x v="792"/>
    <x v="9"/>
    <x v="0"/>
    <x v="32"/>
  </r>
  <r>
    <x v="9"/>
    <s v="BKWFF"/>
    <n v="200365"/>
    <s v="BKWFF"/>
    <n v="719"/>
    <x v="1"/>
    <x v="793"/>
    <x v="9"/>
    <x v="0"/>
    <x v="26"/>
  </r>
  <r>
    <x v="9"/>
    <s v="NYCFT"/>
    <n v="200363"/>
    <s v="NYCFT"/>
    <n v="718"/>
    <x v="1"/>
    <x v="794"/>
    <x v="9"/>
    <x v="0"/>
    <x v="128"/>
  </r>
  <r>
    <x v="9"/>
    <s v="NYCOX"/>
    <n v="200361"/>
    <s v="NYCOX"/>
    <n v="717"/>
    <x v="1"/>
    <x v="795"/>
    <x v="9"/>
    <x v="0"/>
    <x v="148"/>
  </r>
  <r>
    <x v="9"/>
    <s v="CMHWE"/>
    <n v="200359"/>
    <s v="CMHWE"/>
    <n v="716"/>
    <x v="1"/>
    <x v="796"/>
    <x v="9"/>
    <x v="0"/>
    <x v="23"/>
  </r>
  <r>
    <x v="9"/>
    <s v="BOSPO"/>
    <n v="200357"/>
    <s v="BOSPO"/>
    <n v="715"/>
    <x v="1"/>
    <x v="797"/>
    <x v="9"/>
    <x v="0"/>
    <x v="30"/>
  </r>
  <r>
    <x v="9"/>
    <s v="FAYFN"/>
    <s v="200355"/>
    <s v="FAYFN"/>
    <n v="714"/>
    <x v="1"/>
    <x v="798"/>
    <x v="9"/>
    <x v="0"/>
    <x v="0"/>
  </r>
  <r>
    <x v="9"/>
    <s v="ATLCF"/>
    <n v="200353"/>
    <s v="ATLCF"/>
    <n v="713"/>
    <x v="1"/>
    <x v="799"/>
    <x v="9"/>
    <x v="0"/>
    <x v="81"/>
  </r>
  <r>
    <x v="9"/>
    <s v="MBSSH"/>
    <n v="200351"/>
    <s v="MBSSH"/>
    <n v="712"/>
    <x v="1"/>
    <x v="800"/>
    <x v="9"/>
    <x v="0"/>
    <x v="69"/>
  </r>
  <r>
    <x v="9"/>
    <s v="FNTFF"/>
    <n v="200349"/>
    <s v="FNTFF"/>
    <n v="711"/>
    <x v="1"/>
    <x v="801"/>
    <x v="9"/>
    <x v="0"/>
    <x v="48"/>
  </r>
  <r>
    <x v="9"/>
    <s v="SBNND"/>
    <n v="200347"/>
    <s v="SBNND"/>
    <n v="710"/>
    <x v="1"/>
    <x v="802"/>
    <x v="9"/>
    <x v="0"/>
    <x v="119"/>
  </r>
  <r>
    <x v="9"/>
    <s v="SDFFV"/>
    <n v="200345"/>
    <s v="SDFFV"/>
    <n v="709"/>
    <x v="1"/>
    <x v="803"/>
    <x v="9"/>
    <x v="0"/>
    <x v="9"/>
  </r>
  <r>
    <x v="9"/>
    <s v="TPAPA"/>
    <n v="200343"/>
    <s v="TPAPA"/>
    <n v="708"/>
    <x v="1"/>
    <x v="804"/>
    <x v="9"/>
    <x v="0"/>
    <x v="61"/>
  </r>
  <r>
    <x v="9"/>
    <s v="CHAFL"/>
    <n v="200341"/>
    <s v="CHAFL"/>
    <n v="707"/>
    <x v="1"/>
    <x v="805"/>
    <x v="9"/>
    <x v="0"/>
    <x v="5"/>
  </r>
  <r>
    <x v="9"/>
    <s v="GBRCY"/>
    <n v="200339"/>
    <s v="GBRCY"/>
    <n v="706"/>
    <x v="1"/>
    <x v="806"/>
    <x v="9"/>
    <x v="0"/>
    <x v="9"/>
  </r>
  <r>
    <x v="9"/>
    <s v="PITAR"/>
    <n v="200337"/>
    <s v="PITAR"/>
    <n v="705"/>
    <x v="1"/>
    <x v="807"/>
    <x v="9"/>
    <x v="0"/>
    <x v="46"/>
  </r>
  <r>
    <x v="9"/>
    <s v="JAXAP"/>
    <s v="200335"/>
    <s v="JAXAP"/>
    <n v="704"/>
    <x v="1"/>
    <x v="808"/>
    <x v="9"/>
    <x v="0"/>
    <x v="37"/>
  </r>
  <r>
    <x v="9"/>
    <s v="GSOSH"/>
    <n v="200333"/>
    <s v="GSOSH"/>
    <n v="703"/>
    <x v="1"/>
    <x v="809"/>
    <x v="9"/>
    <x v="0"/>
    <x v="43"/>
  </r>
  <r>
    <x v="9"/>
    <s v="EWRFI"/>
    <n v="200331"/>
    <s v="EWRFI"/>
    <n v="702"/>
    <x v="1"/>
    <x v="810"/>
    <x v="9"/>
    <x v="0"/>
    <x v="40"/>
  </r>
  <r>
    <x v="9"/>
    <s v="NYCFF"/>
    <n v="200329"/>
    <s v="NYCFF"/>
    <n v="701"/>
    <x v="1"/>
    <x v="811"/>
    <x v="9"/>
    <x v="0"/>
    <x v="26"/>
  </r>
  <r>
    <x v="9"/>
    <s v="GNVSH"/>
    <n v="200327"/>
    <s v="GNVSH"/>
    <n v="700"/>
    <x v="1"/>
    <x v="812"/>
    <x v="9"/>
    <x v="0"/>
    <x v="3"/>
  </r>
  <r>
    <x v="9"/>
    <s v="PHLFA"/>
    <n v="200325"/>
    <s v="PHLFA"/>
    <n v="699"/>
    <x v="1"/>
    <x v="813"/>
    <x v="9"/>
    <x v="0"/>
    <x v="31"/>
  </r>
  <r>
    <x v="9"/>
    <s v="AGSAF"/>
    <n v="200323"/>
    <s v="AGSAF"/>
    <n v="698"/>
    <x v="1"/>
    <x v="814"/>
    <x v="9"/>
    <x v="0"/>
    <x v="43"/>
  </r>
  <r>
    <x v="9"/>
    <s v="WASUS"/>
    <n v="200321"/>
    <s v="WASUS"/>
    <n v="697"/>
    <x v="1"/>
    <x v="815"/>
    <x v="9"/>
    <x v="0"/>
    <x v="149"/>
  </r>
  <r>
    <x v="9"/>
    <s v="YYZMS"/>
    <n v="200319"/>
    <s v="YYZMS"/>
    <n v="696"/>
    <x v="1"/>
    <x v="816"/>
    <x v="9"/>
    <x v="0"/>
    <x v="25"/>
  </r>
  <r>
    <x v="9"/>
    <s v="ELMCH"/>
    <n v="200317"/>
    <s v="ELMCH"/>
    <n v="695"/>
    <x v="1"/>
    <x v="817"/>
    <x v="9"/>
    <x v="0"/>
    <x v="67"/>
  </r>
  <r>
    <x v="9"/>
    <s v="IAGIF"/>
    <n v="200315"/>
    <s v="IAGIF"/>
    <n v="694"/>
    <x v="1"/>
    <x v="818"/>
    <x v="9"/>
    <x v="0"/>
    <x v="22"/>
  </r>
  <r>
    <x v="9"/>
    <s v="YAMFI"/>
    <n v="200313"/>
    <s v="YAMFI"/>
    <n v="693"/>
    <x v="1"/>
    <x v="819"/>
    <x v="9"/>
    <x v="0"/>
    <x v="43"/>
  </r>
  <r>
    <x v="9"/>
    <s v="MCNMD"/>
    <n v="200311"/>
    <s v="MCNMD"/>
    <n v="692"/>
    <x v="1"/>
    <x v="820"/>
    <x v="9"/>
    <x v="0"/>
    <x v="87"/>
  </r>
  <r>
    <x v="9"/>
    <s v="MHTCN"/>
    <n v="200309"/>
    <s v="MHTCN"/>
    <n v="691"/>
    <x v="1"/>
    <x v="821"/>
    <x v="9"/>
    <x v="0"/>
    <x v="18"/>
  </r>
  <r>
    <x v="9"/>
    <s v="TPAYC"/>
    <n v="200307"/>
    <s v="TPAYC"/>
    <n v="690"/>
    <x v="1"/>
    <x v="822"/>
    <x v="9"/>
    <x v="0"/>
    <x v="9"/>
  </r>
  <r>
    <x v="9"/>
    <s v="LEXHS"/>
    <n v="200305"/>
    <s v="LEXHS"/>
    <n v="689"/>
    <x v="1"/>
    <x v="823"/>
    <x v="9"/>
    <x v="0"/>
    <x v="38"/>
  </r>
  <r>
    <x v="9"/>
    <s v="RICNT"/>
    <n v="200303"/>
    <s v="RICNT"/>
    <n v="688"/>
    <x v="1"/>
    <x v="824"/>
    <x v="9"/>
    <x v="0"/>
    <x v="79"/>
  </r>
  <r>
    <x v="9"/>
    <s v="BGMWB"/>
    <n v="200301"/>
    <s v="BGMWB"/>
    <n v="687"/>
    <x v="1"/>
    <x v="825"/>
    <x v="9"/>
    <x v="0"/>
    <x v="86"/>
  </r>
  <r>
    <x v="9"/>
    <s v="ILMCY"/>
    <n v="200299"/>
    <s v="ILMCY"/>
    <n v="686"/>
    <x v="1"/>
    <x v="826"/>
    <x v="9"/>
    <x v="0"/>
    <x v="71"/>
  </r>
  <r>
    <x v="9"/>
    <s v="PITGB"/>
    <n v="200297"/>
    <s v="PITGB"/>
    <n v="685"/>
    <x v="1"/>
    <x v="827"/>
    <x v="9"/>
    <x v="0"/>
    <x v="16"/>
  </r>
  <r>
    <x v="10"/>
    <s v="PDXLA"/>
    <n v="200893"/>
    <s v="PDXLA"/>
    <n v="1168"/>
    <x v="1"/>
    <x v="357"/>
    <x v="10"/>
    <x v="0"/>
    <x v="58"/>
  </r>
  <r>
    <x v="10"/>
    <s v="SNAPK"/>
    <n v="110363"/>
    <s v="SNAPK"/>
    <n v="1167"/>
    <x v="2"/>
    <x v="357"/>
    <x v="10"/>
    <x v="0"/>
    <x v="4"/>
  </r>
  <r>
    <x v="10"/>
    <s v="RALFI"/>
    <n v="200891"/>
    <s v="RALFI"/>
    <n v="1166"/>
    <x v="1"/>
    <x v="357"/>
    <x v="10"/>
    <x v="0"/>
    <x v="13"/>
  </r>
  <r>
    <x v="10"/>
    <s v="SACFR"/>
    <n v="200889"/>
    <s v="SACFR"/>
    <n v="1165"/>
    <x v="1"/>
    <x v="357"/>
    <x v="10"/>
    <x v="0"/>
    <x v="43"/>
  </r>
  <r>
    <x v="10"/>
    <s v="ONTSB"/>
    <n v="200887"/>
    <s v="ONTSB"/>
    <n v="1164"/>
    <x v="1"/>
    <x v="357"/>
    <x v="10"/>
    <x v="0"/>
    <x v="6"/>
  </r>
  <r>
    <x v="10"/>
    <s v="SFORD"/>
    <n v="200885"/>
    <s v="SFORD"/>
    <n v="1163"/>
    <x v="1"/>
    <x v="357"/>
    <x v="10"/>
    <x v="0"/>
    <x v="150"/>
  </r>
  <r>
    <x v="10"/>
    <s v="SJCFN"/>
    <n v="110361"/>
    <s v="SJCFN"/>
    <n v="1162"/>
    <x v="2"/>
    <x v="357"/>
    <x v="10"/>
    <x v="0"/>
    <x v="119"/>
  </r>
  <r>
    <x v="10"/>
    <s v="SJCCP"/>
    <n v="200883"/>
    <s v="SJCCP"/>
    <n v="1161"/>
    <x v="1"/>
    <x v="357"/>
    <x v="10"/>
    <x v="0"/>
    <x v="20"/>
  </r>
  <r>
    <x v="10"/>
    <s v="SJCYA"/>
    <n v="110359"/>
    <s v="SJCYA"/>
    <n v="1160"/>
    <x v="2"/>
    <x v="357"/>
    <x v="10"/>
    <x v="0"/>
    <x v="151"/>
  </r>
  <r>
    <x v="10"/>
    <s v="SACFO"/>
    <n v="200881"/>
    <s v="SACFO"/>
    <n v="1159"/>
    <x v="1"/>
    <x v="357"/>
    <x v="10"/>
    <x v="0"/>
    <x v="6"/>
  </r>
  <r>
    <x v="10"/>
    <s v="SFOME"/>
    <n v="200879"/>
    <s v="SFOME"/>
    <n v="1158"/>
    <x v="1"/>
    <x v="357"/>
    <x v="10"/>
    <x v="0"/>
    <x v="45"/>
  </r>
  <r>
    <x v="10"/>
    <s v="SJCSF"/>
    <n v="110357"/>
    <s v="SJCSF"/>
    <n v="1157"/>
    <x v="2"/>
    <x v="357"/>
    <x v="10"/>
    <x v="0"/>
    <x v="52"/>
  </r>
  <r>
    <x v="10"/>
    <s v="SNAAI"/>
    <n v="110355"/>
    <s v="SNAAI"/>
    <n v="1156"/>
    <x v="2"/>
    <x v="357"/>
    <x v="10"/>
    <x v="0"/>
    <x v="137"/>
  </r>
  <r>
    <x v="10"/>
    <s v="SEACA"/>
    <n v="200877"/>
    <s v="SEACA"/>
    <n v="1155"/>
    <x v="1"/>
    <x v="357"/>
    <x v="10"/>
    <x v="0"/>
    <x v="2"/>
  </r>
  <r>
    <x v="10"/>
    <s v="SEASB"/>
    <n v="200875"/>
    <s v="SEASB"/>
    <n v="1154"/>
    <x v="1"/>
    <x v="357"/>
    <x v="10"/>
    <x v="0"/>
    <x v="1"/>
  </r>
  <r>
    <x v="10"/>
    <s v="SFOBM"/>
    <n v="200873"/>
    <s v="SFOBM"/>
    <n v="1153"/>
    <x v="1"/>
    <x v="357"/>
    <x v="10"/>
    <x v="0"/>
    <x v="8"/>
  </r>
  <r>
    <x v="10"/>
    <s v="SFOPF"/>
    <n v="200871"/>
    <s v="SFOPF"/>
    <n v="1152"/>
    <x v="1"/>
    <x v="357"/>
    <x v="10"/>
    <x v="0"/>
    <x v="86"/>
  </r>
  <r>
    <x v="10"/>
    <s v="SNADT"/>
    <n v="110353"/>
    <s v="SNADT"/>
    <n v="1151"/>
    <x v="2"/>
    <x v="357"/>
    <x v="10"/>
    <x v="0"/>
    <x v="152"/>
  </r>
  <r>
    <x v="10"/>
    <s v="SFOCP"/>
    <n v="200869"/>
    <s v="SFOCP"/>
    <n v="1150"/>
    <x v="1"/>
    <x v="357"/>
    <x v="10"/>
    <x v="0"/>
    <x v="42"/>
  </r>
  <r>
    <x v="10"/>
    <s v="STSAW"/>
    <n v="110351"/>
    <s v="STSAW"/>
    <n v="1149"/>
    <x v="2"/>
    <x v="357"/>
    <x v="10"/>
    <x v="0"/>
    <x v="65"/>
  </r>
  <r>
    <x v="10"/>
    <s v="SEAOC"/>
    <n v="200867"/>
    <s v="SEAOC"/>
    <n v="1148"/>
    <x v="1"/>
    <x v="357"/>
    <x v="10"/>
    <x v="0"/>
    <x v="37"/>
  </r>
  <r>
    <x v="10"/>
    <s v="SFOYA"/>
    <n v="200865"/>
    <s v="SFOYA"/>
    <n v="1147"/>
    <x v="1"/>
    <x v="357"/>
    <x v="10"/>
    <x v="0"/>
    <x v="97"/>
  </r>
  <r>
    <x v="10"/>
    <s v="SBPCY"/>
    <n v="200863"/>
    <s v="SBPCY"/>
    <n v="1146"/>
    <x v="1"/>
    <x v="357"/>
    <x v="10"/>
    <x v="0"/>
    <x v="109"/>
  </r>
  <r>
    <x v="10"/>
    <s v="SFOVN"/>
    <n v="200861"/>
    <s v="SFOVN"/>
    <n v="1145"/>
    <x v="1"/>
    <x v="357"/>
    <x v="10"/>
    <x v="0"/>
    <x v="2"/>
  </r>
  <r>
    <x v="10"/>
    <s v="ONTRV"/>
    <n v="200859"/>
    <s v="ONTRV"/>
    <n v="1144"/>
    <x v="1"/>
    <x v="357"/>
    <x v="10"/>
    <x v="0"/>
    <x v="3"/>
  </r>
  <r>
    <x v="10"/>
    <s v="SJCAC"/>
    <n v="200857"/>
    <s v="SJCAC"/>
    <n v="1143"/>
    <x v="1"/>
    <x v="357"/>
    <x v="10"/>
    <x v="0"/>
    <x v="124"/>
  </r>
  <r>
    <x v="10"/>
    <s v="SANSU"/>
    <n v="200855"/>
    <s v="SANSU"/>
    <n v="1142"/>
    <x v="1"/>
    <x v="357"/>
    <x v="10"/>
    <x v="0"/>
    <x v="116"/>
  </r>
  <r>
    <x v="10"/>
    <s v="SNAAO"/>
    <n v="110349"/>
    <s v="SNAAO"/>
    <n v="1141"/>
    <x v="2"/>
    <x v="357"/>
    <x v="10"/>
    <x v="0"/>
    <x v="22"/>
  </r>
  <r>
    <x v="10"/>
    <s v="LAXSF"/>
    <n v="200853"/>
    <s v="LAXSF"/>
    <n v="1140"/>
    <x v="1"/>
    <x v="357"/>
    <x v="10"/>
    <x v="0"/>
    <x v="153"/>
  </r>
  <r>
    <x v="10"/>
    <s v="SACFV"/>
    <n v="200851"/>
    <s v="SACFV"/>
    <n v="1139"/>
    <x v="1"/>
    <x v="357"/>
    <x v="10"/>
    <x v="0"/>
    <x v="10"/>
  </r>
  <r>
    <x v="10"/>
    <s v="IDARX"/>
    <n v="200849"/>
    <s v="IDARX"/>
    <n v="1138"/>
    <x v="1"/>
    <x v="357"/>
    <x v="10"/>
    <x v="0"/>
    <x v="50"/>
  </r>
  <r>
    <x v="10"/>
    <s v="SLCLE"/>
    <n v="110347"/>
    <s v="SLCLE"/>
    <n v="1137"/>
    <x v="2"/>
    <x v="357"/>
    <x v="10"/>
    <x v="0"/>
    <x v="49"/>
  </r>
  <r>
    <x v="10"/>
    <s v="DENBT"/>
    <n v="200847"/>
    <s v="DENBT"/>
    <n v="1136"/>
    <x v="1"/>
    <x v="357"/>
    <x v="10"/>
    <x v="0"/>
    <x v="39"/>
  </r>
  <r>
    <x v="10"/>
    <s v="PGAKS"/>
    <n v="200845"/>
    <s v="PGAKS"/>
    <n v="1135"/>
    <x v="1"/>
    <x v="357"/>
    <x v="10"/>
    <x v="0"/>
    <x v="66"/>
  </r>
  <r>
    <x v="10"/>
    <s v="SUNFI"/>
    <n v="110345"/>
    <s v="SUNFI"/>
    <n v="1134"/>
    <x v="2"/>
    <x v="357"/>
    <x v="10"/>
    <x v="0"/>
    <x v="95"/>
  </r>
  <r>
    <x v="10"/>
    <s v="TUSOR"/>
    <n v="110343"/>
    <s v="TUSOR"/>
    <n v="1133"/>
    <x v="2"/>
    <x v="357"/>
    <x v="10"/>
    <x v="0"/>
    <x v="5"/>
  </r>
  <r>
    <x v="10"/>
    <s v="BNAOV"/>
    <n v="110341"/>
    <s v="BNAOV"/>
    <n v="1132"/>
    <x v="2"/>
    <x v="357"/>
    <x v="10"/>
    <x v="0"/>
    <x v="94"/>
  </r>
  <r>
    <x v="10"/>
    <s v="LBLFI"/>
    <n v="200843"/>
    <s v="LBLFI"/>
    <n v="1131"/>
    <x v="1"/>
    <x v="357"/>
    <x v="10"/>
    <x v="0"/>
    <x v="23"/>
  </r>
  <r>
    <x v="10"/>
    <s v="CMPFI"/>
    <n v="200841"/>
    <s v="CMPFI"/>
    <n v="1130"/>
    <x v="1"/>
    <x v="357"/>
    <x v="10"/>
    <x v="0"/>
    <x v="82"/>
  </r>
  <r>
    <x v="10"/>
    <s v="OKCDF"/>
    <n v="200839"/>
    <s v="OKCDF"/>
    <n v="1129"/>
    <x v="1"/>
    <x v="357"/>
    <x v="10"/>
    <x v="0"/>
    <x v="83"/>
  </r>
  <r>
    <x v="10"/>
    <s v="MKEMS"/>
    <n v="110339"/>
    <s v="MKEMS"/>
    <n v="1128"/>
    <x v="2"/>
    <x v="357"/>
    <x v="10"/>
    <x v="0"/>
    <x v="79"/>
  </r>
  <r>
    <x v="10"/>
    <s v="CHICO"/>
    <n v="200837"/>
    <s v="CHICO"/>
    <n v="1127"/>
    <x v="1"/>
    <x v="357"/>
    <x v="10"/>
    <x v="0"/>
    <x v="154"/>
  </r>
  <r>
    <x v="10"/>
    <s v="STLFE"/>
    <n v="110337"/>
    <s v="STLFE"/>
    <n v="1126"/>
    <x v="2"/>
    <x v="357"/>
    <x v="10"/>
    <x v="0"/>
    <x v="55"/>
  </r>
  <r>
    <x v="10"/>
    <s v="MAFOC"/>
    <n v="200835"/>
    <s v="MAFOC"/>
    <n v="1125"/>
    <x v="1"/>
    <x v="357"/>
    <x v="10"/>
    <x v="0"/>
    <x v="47"/>
  </r>
  <r>
    <x v="10"/>
    <s v="LBBFW"/>
    <n v="200833"/>
    <s v="LBBFW"/>
    <n v="1124"/>
    <x v="1"/>
    <x v="357"/>
    <x v="10"/>
    <x v="0"/>
    <x v="21"/>
  </r>
  <r>
    <x v="10"/>
    <s v="MLIFD"/>
    <n v="110335"/>
    <s v="MLIFD"/>
    <n v="1123"/>
    <x v="2"/>
    <x v="357"/>
    <x v="10"/>
    <x v="0"/>
    <x v="31"/>
  </r>
  <r>
    <x v="10"/>
    <s v="BNACC"/>
    <n v="110333"/>
    <s v="BNACC"/>
    <n v="1122"/>
    <x v="2"/>
    <x v="357"/>
    <x v="10"/>
    <x v="0"/>
    <x v="3"/>
  </r>
  <r>
    <x v="10"/>
    <s v="YQRFI"/>
    <n v="110331"/>
    <s v="YQRFI"/>
    <n v="1121"/>
    <x v="2"/>
    <x v="357"/>
    <x v="10"/>
    <x v="0"/>
    <x v="68"/>
  </r>
  <r>
    <x v="10"/>
    <s v="LITCW"/>
    <n v="200831"/>
    <s v="LITCW"/>
    <n v="1120"/>
    <x v="1"/>
    <x v="357"/>
    <x v="10"/>
    <x v="0"/>
    <x v="5"/>
  </r>
  <r>
    <x v="10"/>
    <s v="LBBFI"/>
    <n v="200829"/>
    <s v="LBBFI"/>
    <n v="1119"/>
    <x v="1"/>
    <x v="357"/>
    <x v="10"/>
    <x v="0"/>
    <x v="92"/>
  </r>
  <r>
    <x v="10"/>
    <s v="MVCFI"/>
    <n v="110329"/>
    <s v="MVCFI"/>
    <n v="1118"/>
    <x v="2"/>
    <x v="357"/>
    <x v="10"/>
    <x v="0"/>
    <x v="23"/>
  </r>
  <r>
    <x v="10"/>
    <s v="CMPCY"/>
    <n v="200827"/>
    <s v="CMPCY"/>
    <n v="1117"/>
    <x v="1"/>
    <x v="357"/>
    <x v="10"/>
    <x v="0"/>
    <x v="39"/>
  </r>
  <r>
    <x v="10"/>
    <s v="IERFI"/>
    <n v="200825"/>
    <s v="IERFI"/>
    <n v="1116"/>
    <x v="1"/>
    <x v="357"/>
    <x v="10"/>
    <x v="0"/>
    <x v="95"/>
  </r>
  <r>
    <x v="10"/>
    <s v="COUSH"/>
    <n v="200823"/>
    <s v="COUSH"/>
    <n v="1115"/>
    <x v="1"/>
    <x v="357"/>
    <x v="10"/>
    <x v="0"/>
    <x v="43"/>
  </r>
  <r>
    <x v="10"/>
    <s v="GHMDK"/>
    <n v="110327"/>
    <s v="GHMDK"/>
    <n v="1114"/>
    <x v="2"/>
    <x v="357"/>
    <x v="10"/>
    <x v="0"/>
    <x v="81"/>
  </r>
  <r>
    <x v="10"/>
    <s v="BNALB"/>
    <n v="110325"/>
    <s v="BNALB"/>
    <n v="1113"/>
    <x v="2"/>
    <x v="357"/>
    <x v="10"/>
    <x v="0"/>
    <x v="18"/>
  </r>
  <r>
    <x v="10"/>
    <s v="RSTSH"/>
    <n v="110323"/>
    <s v="RSTSH"/>
    <n v="1112"/>
    <x v="2"/>
    <x v="357"/>
    <x v="10"/>
    <x v="0"/>
    <x v="45"/>
  </r>
  <r>
    <x v="10"/>
    <s v="TULCT"/>
    <n v="110321"/>
    <s v="TULCT"/>
    <n v="1111"/>
    <x v="2"/>
    <x v="357"/>
    <x v="10"/>
    <x v="0"/>
    <x v="0"/>
  </r>
  <r>
    <x v="10"/>
    <s v="LITCN"/>
    <n v="200821"/>
    <s v="LITCN"/>
    <n v="1110"/>
    <x v="1"/>
    <x v="357"/>
    <x v="10"/>
    <x v="0"/>
    <x v="67"/>
  </r>
  <r>
    <x v="10"/>
    <s v="MKEFG"/>
    <n v="110319"/>
    <s v="MKEFG"/>
    <n v="1109"/>
    <x v="2"/>
    <x v="357"/>
    <x v="10"/>
    <x v="0"/>
    <x v="9"/>
  </r>
  <r>
    <x v="10"/>
    <s v="HBGFI"/>
    <n v="110317"/>
    <s v="HBGFI"/>
    <n v="1108"/>
    <x v="2"/>
    <x v="357"/>
    <x v="10"/>
    <x v="0"/>
    <x v="39"/>
  </r>
  <r>
    <x v="10"/>
    <s v="LGVFI"/>
    <n v="200819"/>
    <s v="LGVFI"/>
    <n v="1107"/>
    <x v="1"/>
    <x v="357"/>
    <x v="10"/>
    <x v="0"/>
    <x v="92"/>
  </r>
  <r>
    <x v="10"/>
    <s v="PNSOB"/>
    <n v="110315"/>
    <s v="PNSOB"/>
    <n v="1106"/>
    <x v="2"/>
    <x v="357"/>
    <x v="10"/>
    <x v="0"/>
    <x v="62"/>
  </r>
  <r>
    <x v="10"/>
    <s v="EVVCY"/>
    <n v="110313"/>
    <s v="EVVCY"/>
    <n v="1105"/>
    <x v="2"/>
    <x v="357"/>
    <x v="10"/>
    <x v="0"/>
    <x v="119"/>
  </r>
  <r>
    <x v="10"/>
    <s v="RSTCY"/>
    <n v="110311"/>
    <s v="RSTCY"/>
    <n v="1104"/>
    <x v="2"/>
    <x v="357"/>
    <x v="10"/>
    <x v="0"/>
    <x v="14"/>
  </r>
  <r>
    <x v="10"/>
    <s v="MPRFI"/>
    <n v="200817"/>
    <s v="MPRFI"/>
    <n v="1103"/>
    <x v="1"/>
    <x v="357"/>
    <x v="10"/>
    <x v="0"/>
    <x v="30"/>
  </r>
  <r>
    <x v="10"/>
    <s v="UOXCY"/>
    <n v="110309"/>
    <s v="UOXCY"/>
    <n v="1102"/>
    <x v="2"/>
    <x v="357"/>
    <x v="10"/>
    <x v="0"/>
    <x v="60"/>
  </r>
  <r>
    <x v="10"/>
    <s v="MSPAC"/>
    <n v="110307"/>
    <s v="MSPAC"/>
    <n v="1101"/>
    <x v="2"/>
    <x v="357"/>
    <x v="10"/>
    <x v="0"/>
    <x v="52"/>
  </r>
  <r>
    <x v="10"/>
    <s v="HSVFI"/>
    <n v="110305"/>
    <s v="HSVFI"/>
    <n v="1100"/>
    <x v="2"/>
    <x v="357"/>
    <x v="10"/>
    <x v="0"/>
    <x v="39"/>
  </r>
  <r>
    <x v="10"/>
    <s v="AUSRR"/>
    <n v="200815"/>
    <s v="AUSRR"/>
    <n v="1099"/>
    <x v="1"/>
    <x v="357"/>
    <x v="10"/>
    <x v="0"/>
    <x v="80"/>
  </r>
  <r>
    <x v="10"/>
    <s v="BPTFI"/>
    <n v="200813"/>
    <s v="BPTFI"/>
    <n v="1098"/>
    <x v="1"/>
    <x v="357"/>
    <x v="10"/>
    <x v="0"/>
    <x v="39"/>
  </r>
  <r>
    <x v="10"/>
    <s v="BBCFI"/>
    <n v="200811"/>
    <s v="BBCFI"/>
    <n v="1097"/>
    <x v="1"/>
    <x v="357"/>
    <x v="10"/>
    <x v="0"/>
    <x v="81"/>
  </r>
  <r>
    <x v="10"/>
    <s v="MDWFI"/>
    <n v="200809"/>
    <s v="MDWFI"/>
    <n v="1096"/>
    <x v="1"/>
    <x v="357"/>
    <x v="10"/>
    <x v="0"/>
    <x v="82"/>
  </r>
  <r>
    <x v="10"/>
    <s v="YQRCY"/>
    <n v="110303"/>
    <s v="YQRCY"/>
    <n v="1095"/>
    <x v="2"/>
    <x v="357"/>
    <x v="10"/>
    <x v="0"/>
    <x v="3"/>
  </r>
  <r>
    <x v="10"/>
    <s v="JMSFI"/>
    <n v="110301"/>
    <s v="JMSFI"/>
    <n v="1094"/>
    <x v="2"/>
    <x v="357"/>
    <x v="10"/>
    <x v="0"/>
    <x v="30"/>
  </r>
  <r>
    <x v="10"/>
    <s v="HOUST"/>
    <n v="200807"/>
    <s v="HOUST"/>
    <n v="1093"/>
    <x v="1"/>
    <x v="357"/>
    <x v="10"/>
    <x v="0"/>
    <x v="79"/>
  </r>
  <r>
    <x v="10"/>
    <s v="MSYLF"/>
    <n v="200805"/>
    <s v="MSYLF"/>
    <n v="1092"/>
    <x v="1"/>
    <x v="357"/>
    <x v="10"/>
    <x v="0"/>
    <x v="49"/>
  </r>
  <r>
    <x v="10"/>
    <s v="MSPAW"/>
    <n v="110299"/>
    <s v="MSPAW"/>
    <n v="1091"/>
    <x v="2"/>
    <x v="357"/>
    <x v="10"/>
    <x v="0"/>
    <x v="3"/>
  </r>
  <r>
    <x v="10"/>
    <s v="MGMTR"/>
    <n v="110297"/>
    <s v="MGMTR"/>
    <n v="1090"/>
    <x v="2"/>
    <x v="357"/>
    <x v="10"/>
    <x v="0"/>
    <x v="18"/>
  </r>
  <r>
    <x v="10"/>
    <s v="COTFI"/>
    <n v="200803"/>
    <s v="COTFI"/>
    <n v="1089"/>
    <x v="1"/>
    <x v="357"/>
    <x v="10"/>
    <x v="0"/>
    <x v="9"/>
  </r>
  <r>
    <x v="10"/>
    <s v="ILECY"/>
    <n v="200801"/>
    <s v="ILECY"/>
    <n v="1088"/>
    <x v="1"/>
    <x v="357"/>
    <x v="10"/>
    <x v="0"/>
    <x v="52"/>
  </r>
  <r>
    <x v="10"/>
    <s v="ICTCY"/>
    <n v="200799"/>
    <s v="ICTCY"/>
    <n v="1087"/>
    <x v="1"/>
    <x v="357"/>
    <x v="10"/>
    <x v="0"/>
    <x v="18"/>
  </r>
  <r>
    <x v="10"/>
    <s v="HSVFC"/>
    <n v="110295"/>
    <s v="HSVFC"/>
    <n v="1086"/>
    <x v="2"/>
    <x v="357"/>
    <x v="10"/>
    <x v="0"/>
    <x v="27"/>
  </r>
  <r>
    <x v="10"/>
    <s v="HSVAT"/>
    <n v="110293"/>
    <s v="HSVAT"/>
    <n v="1085"/>
    <x v="2"/>
    <x v="357"/>
    <x v="10"/>
    <x v="0"/>
    <x v="34"/>
  </r>
  <r>
    <x v="10"/>
    <s v="ABRFI"/>
    <n v="110291"/>
    <s v="ABRFI"/>
    <n v="1084"/>
    <x v="2"/>
    <x v="357"/>
    <x v="10"/>
    <x v="0"/>
    <x v="18"/>
  </r>
  <r>
    <x v="6"/>
    <s v="COUFS"/>
    <n v="200797"/>
    <s v="COUFS"/>
    <n v="1083"/>
    <x v="1"/>
    <x v="357"/>
    <x v="6"/>
    <x v="0"/>
    <x v="11"/>
  </r>
  <r>
    <x v="10"/>
    <s v="JANAP"/>
    <n v="110289"/>
    <s v="JANAP"/>
    <n v="1082"/>
    <x v="2"/>
    <x v="357"/>
    <x v="10"/>
    <x v="0"/>
    <x v="40"/>
  </r>
  <r>
    <x v="10"/>
    <s v="DSMCW"/>
    <n v="110287"/>
    <s v="DSMCW"/>
    <n v="1081"/>
    <x v="2"/>
    <x v="357"/>
    <x v="10"/>
    <x v="0"/>
    <x v="16"/>
  </r>
  <r>
    <x v="10"/>
    <s v="AUSGT"/>
    <n v="200795"/>
    <s v="AUSGT"/>
    <n v="1080"/>
    <x v="1"/>
    <x v="357"/>
    <x v="10"/>
    <x v="0"/>
    <x v="13"/>
  </r>
  <r>
    <x v="10"/>
    <s v="OKCED"/>
    <n v="200793"/>
    <s v="OKCED"/>
    <n v="1079"/>
    <x v="1"/>
    <x v="357"/>
    <x v="10"/>
    <x v="0"/>
    <x v="18"/>
  </r>
  <r>
    <x v="10"/>
    <s v="OKCMO"/>
    <n v="200791"/>
    <s v="OKCMO"/>
    <n v="1078"/>
    <x v="1"/>
    <x v="357"/>
    <x v="10"/>
    <x v="0"/>
    <x v="23"/>
  </r>
  <r>
    <x v="10"/>
    <s v="DSMNF"/>
    <n v="110285"/>
    <s v="DSMNF"/>
    <n v="1077"/>
    <x v="2"/>
    <x v="357"/>
    <x v="10"/>
    <x v="0"/>
    <x v="81"/>
  </r>
  <r>
    <x v="10"/>
    <s v="LITFS"/>
    <n v="200789"/>
    <s v="LITFS"/>
    <n v="1076"/>
    <x v="1"/>
    <x v="357"/>
    <x v="10"/>
    <x v="0"/>
    <x v="44"/>
  </r>
  <r>
    <x v="10"/>
    <s v="MSNOX"/>
    <n v="110283"/>
    <s v="MSNOX"/>
    <n v="1075"/>
    <x v="2"/>
    <x v="357"/>
    <x v="10"/>
    <x v="0"/>
    <x v="88"/>
  </r>
  <r>
    <x v="6"/>
    <s v="MOBFI"/>
    <n v="110281"/>
    <s v="MOBFI"/>
    <n v="1074"/>
    <x v="2"/>
    <x v="357"/>
    <x v="6"/>
    <x v="0"/>
    <x v="48"/>
  </r>
  <r>
    <x v="10"/>
    <s v="BMIFB"/>
    <n v="200787"/>
    <s v="BMIFB"/>
    <n v="1073"/>
    <x v="1"/>
    <x v="357"/>
    <x v="10"/>
    <x v="0"/>
    <x v="34"/>
  </r>
  <r>
    <x v="10"/>
    <s v="TULDT"/>
    <n v="110279"/>
    <s v="TULDT"/>
    <n v="1072"/>
    <x v="2"/>
    <x v="357"/>
    <x v="10"/>
    <x v="0"/>
    <x v="19"/>
  </r>
  <r>
    <x v="10"/>
    <s v="GFKEG"/>
    <n v="110277"/>
    <s v="GFKEG"/>
    <n v="1071"/>
    <x v="2"/>
    <x v="357"/>
    <x v="10"/>
    <x v="0"/>
    <x v="126"/>
  </r>
  <r>
    <x v="10"/>
    <s v="BHMFC"/>
    <n v="110275"/>
    <s v="BHMFC"/>
    <n v="1070"/>
    <x v="2"/>
    <x v="357"/>
    <x v="10"/>
    <x v="0"/>
    <x v="26"/>
  </r>
  <r>
    <x v="10"/>
    <s v="MKLSH"/>
    <n v="110273"/>
    <s v="MKLSH"/>
    <n v="1069"/>
    <x v="2"/>
    <x v="357"/>
    <x v="10"/>
    <x v="0"/>
    <x v="26"/>
  </r>
  <r>
    <x v="10"/>
    <s v="EVVIN"/>
    <n v="110271"/>
    <s v="EVVIN"/>
    <n v="1068"/>
    <x v="2"/>
    <x v="357"/>
    <x v="10"/>
    <x v="0"/>
    <x v="62"/>
  </r>
  <r>
    <x v="10"/>
    <s v="BHMNP"/>
    <n v="110269"/>
    <s v="BHMNP"/>
    <n v="1067"/>
    <x v="2"/>
    <x v="357"/>
    <x v="10"/>
    <x v="0"/>
    <x v="37"/>
  </r>
  <r>
    <x v="10"/>
    <s v="CHIWD"/>
    <n v="200785"/>
    <s v="CHIWD"/>
    <n v="1066"/>
    <x v="1"/>
    <x v="357"/>
    <x v="10"/>
    <x v="0"/>
    <x v="135"/>
  </r>
  <r>
    <x v="10"/>
    <s v="CHIWR"/>
    <n v="200783"/>
    <s v="CHIWR"/>
    <n v="1065"/>
    <x v="1"/>
    <x v="357"/>
    <x v="10"/>
    <x v="0"/>
    <x v="71"/>
  </r>
  <r>
    <x v="6"/>
    <s v="DSMAI"/>
    <n v="110267"/>
    <s v="DSMAI"/>
    <n v="1064"/>
    <x v="2"/>
    <x v="357"/>
    <x v="10"/>
    <x v="0"/>
    <x v="93"/>
  </r>
  <r>
    <x v="10"/>
    <s v="JANAC"/>
    <n v="110265"/>
    <s v="JANAC"/>
    <n v="1063"/>
    <x v="2"/>
    <x v="357"/>
    <x v="10"/>
    <x v="0"/>
    <x v="1"/>
  </r>
  <r>
    <x v="10"/>
    <s v="MKTCY"/>
    <n v="110263"/>
    <s v="MKTCY"/>
    <n v="1062"/>
    <x v="2"/>
    <x v="357"/>
    <x v="10"/>
    <x v="0"/>
    <x v="78"/>
  </r>
  <r>
    <x v="10"/>
    <s v="JANFA"/>
    <n v="110261"/>
    <s v="JANFA"/>
    <n v="1061"/>
    <x v="2"/>
    <x v="357"/>
    <x v="10"/>
    <x v="0"/>
    <x v="55"/>
  </r>
  <r>
    <x v="10"/>
    <s v="BNAGH"/>
    <n v="110259"/>
    <s v="BNAGH"/>
    <n v="1060"/>
    <x v="2"/>
    <x v="357"/>
    <x v="10"/>
    <x v="0"/>
    <x v="68"/>
  </r>
  <r>
    <x v="10"/>
    <s v="BNAFC"/>
    <n v="110257"/>
    <s v="BNAFC"/>
    <n v="1059"/>
    <x v="2"/>
    <x v="357"/>
    <x v="10"/>
    <x v="0"/>
    <x v="81"/>
  </r>
  <r>
    <x v="10"/>
    <s v="MSYHO"/>
    <n v="200781"/>
    <s v="MSYHO"/>
    <n v="1058"/>
    <x v="1"/>
    <x v="357"/>
    <x v="10"/>
    <x v="0"/>
    <x v="25"/>
  </r>
  <r>
    <x v="10"/>
    <s v="HOTCY"/>
    <n v="200779"/>
    <s v="HOTCY"/>
    <n v="1057"/>
    <x v="1"/>
    <x v="357"/>
    <x v="10"/>
    <x v="0"/>
    <x v="67"/>
  </r>
  <r>
    <x v="10"/>
    <s v="CHIFN"/>
    <n v="200777"/>
    <s v="CHIFN"/>
    <n v="1056"/>
    <x v="1"/>
    <x v="357"/>
    <x v="10"/>
    <x v="0"/>
    <x v="40"/>
  </r>
  <r>
    <x v="10"/>
    <s v="DSMUD"/>
    <n v="110255"/>
    <s v="DSMUD"/>
    <n v="1055"/>
    <x v="2"/>
    <x v="357"/>
    <x v="10"/>
    <x v="0"/>
    <x v="5"/>
  </r>
  <r>
    <x v="10"/>
    <s v="YWGAP"/>
    <n v="110253"/>
    <s v="YWGAP"/>
    <n v="1054"/>
    <x v="2"/>
    <x v="357"/>
    <x v="10"/>
    <x v="0"/>
    <x v="60"/>
  </r>
  <r>
    <x v="10"/>
    <s v="LCHSL"/>
    <n v="200775"/>
    <s v="LCHSL"/>
    <n v="1053"/>
    <x v="1"/>
    <x v="357"/>
    <x v="10"/>
    <x v="0"/>
    <x v="93"/>
  </r>
  <r>
    <x v="10"/>
    <s v="CHIEL"/>
    <n v="200773"/>
    <s v="CHIEL"/>
    <n v="1052"/>
    <x v="1"/>
    <x v="357"/>
    <x v="10"/>
    <x v="0"/>
    <x v="63"/>
  </r>
  <r>
    <x v="10"/>
    <s v="VRPFI"/>
    <n v="110251"/>
    <s v="VRPFI"/>
    <n v="1051"/>
    <x v="2"/>
    <x v="357"/>
    <x v="10"/>
    <x v="0"/>
    <x v="92"/>
  </r>
  <r>
    <x v="10"/>
    <s v="OMASH"/>
    <n v="110249"/>
    <s v="OMASH"/>
    <n v="1050"/>
    <x v="2"/>
    <x v="357"/>
    <x v="10"/>
    <x v="0"/>
    <x v="88"/>
  </r>
  <r>
    <x v="10"/>
    <s v="MSPFO"/>
    <n v="110247"/>
    <s v="MSPFO"/>
    <n v="1049"/>
    <x v="2"/>
    <x v="357"/>
    <x v="10"/>
    <x v="0"/>
    <x v="43"/>
  </r>
  <r>
    <x v="10"/>
    <s v="MGMAP"/>
    <n v="110245"/>
    <s v="MGMAP"/>
    <n v="1048"/>
    <x v="2"/>
    <x v="357"/>
    <x v="10"/>
    <x v="0"/>
    <x v="12"/>
  </r>
  <r>
    <x v="10"/>
    <s v="BWGFB"/>
    <n v="110243"/>
    <s v="BWGFB"/>
    <n v="1047"/>
    <x v="2"/>
    <x v="357"/>
    <x v="10"/>
    <x v="0"/>
    <x v="32"/>
  </r>
  <r>
    <x v="10"/>
    <s v="MSYHF"/>
    <n v="200771"/>
    <s v="MSYHF"/>
    <n v="1046"/>
    <x v="1"/>
    <x v="357"/>
    <x v="10"/>
    <x v="0"/>
    <x v="9"/>
  </r>
  <r>
    <x v="10"/>
    <s v="STJFI"/>
    <n v="110241"/>
    <s v="STJFI"/>
    <n v="1045"/>
    <x v="2"/>
    <x v="357"/>
    <x v="10"/>
    <x v="0"/>
    <x v="30"/>
  </r>
  <r>
    <x v="10"/>
    <s v="CHITP"/>
    <n v="200769"/>
    <s v="CHITP"/>
    <n v="1044"/>
    <x v="1"/>
    <x v="357"/>
    <x v="10"/>
    <x v="0"/>
    <x v="92"/>
  </r>
  <r>
    <x v="10"/>
    <s v="MKECY"/>
    <n v="110239"/>
    <s v="MKECY"/>
    <n v="1043"/>
    <x v="2"/>
    <x v="357"/>
    <x v="10"/>
    <x v="0"/>
    <x v="22"/>
  </r>
  <r>
    <x v="10"/>
    <s v="HSVAV"/>
    <n v="110237"/>
    <s v="HSVAV"/>
    <n v="1042"/>
    <x v="2"/>
    <x v="357"/>
    <x v="10"/>
    <x v="0"/>
    <x v="81"/>
  </r>
  <r>
    <x v="10"/>
    <s v="BWGCY"/>
    <n v="110235"/>
    <s v="BWGCY"/>
    <n v="1041"/>
    <x v="2"/>
    <x v="357"/>
    <x v="10"/>
    <x v="0"/>
    <x v="78"/>
  </r>
  <r>
    <x v="10"/>
    <s v="MKEFD"/>
    <n v="110233"/>
    <s v="MKEFD"/>
    <n v="1040"/>
    <x v="2"/>
    <x v="357"/>
    <x v="10"/>
    <x v="0"/>
    <x v="79"/>
  </r>
  <r>
    <x v="10"/>
    <s v="DFWWS"/>
    <n v="200767"/>
    <s v="DFWWS"/>
    <n v="1039"/>
    <x v="1"/>
    <x v="357"/>
    <x v="10"/>
    <x v="0"/>
    <x v="45"/>
  </r>
  <r>
    <x v="10"/>
    <s v="OKCDT"/>
    <n v="200765"/>
    <s v="OKCDT"/>
    <n v="1038"/>
    <x v="1"/>
    <x v="357"/>
    <x v="10"/>
    <x v="0"/>
    <x v="155"/>
  </r>
  <r>
    <x v="10"/>
    <s v="BHMFO"/>
    <n v="110231"/>
    <s v="BHMFO"/>
    <n v="1037"/>
    <x v="2"/>
    <x v="357"/>
    <x v="10"/>
    <x v="0"/>
    <x v="10"/>
  </r>
  <r>
    <x v="10"/>
    <s v="MLURU"/>
    <n v="200763"/>
    <s v="MLURU"/>
    <n v="1036"/>
    <x v="1"/>
    <x v="357"/>
    <x v="10"/>
    <x v="0"/>
    <x v="77"/>
  </r>
  <r>
    <x v="10"/>
    <s v="BGMON"/>
    <n v="110229"/>
    <s v="BGMON"/>
    <n v="1035"/>
    <x v="2"/>
    <x v="357"/>
    <x v="10"/>
    <x v="0"/>
    <x v="26"/>
  </r>
  <r>
    <x v="10"/>
    <s v="LEXNO"/>
    <n v="110227"/>
    <s v="LEXNO"/>
    <n v="1034"/>
    <x v="2"/>
    <x v="357"/>
    <x v="10"/>
    <x v="0"/>
    <x v="59"/>
  </r>
  <r>
    <x v="10"/>
    <s v="ORFSU"/>
    <n v="110225"/>
    <s v="ORFSU"/>
    <n v="1033"/>
    <x v="2"/>
    <x v="357"/>
    <x v="10"/>
    <x v="0"/>
    <x v="43"/>
  </r>
  <r>
    <x v="10"/>
    <s v="MLBCB"/>
    <n v="110223"/>
    <s v="MLBCB"/>
    <n v="1032"/>
    <x v="2"/>
    <x v="357"/>
    <x v="10"/>
    <x v="0"/>
    <x v="108"/>
  </r>
  <r>
    <x v="10"/>
    <s v="GSPSM"/>
    <n v="110221"/>
    <s v="GSPSM"/>
    <n v="1031"/>
    <x v="2"/>
    <x v="357"/>
    <x v="10"/>
    <x v="0"/>
    <x v="12"/>
  </r>
  <r>
    <x v="10"/>
    <s v="CSGSH"/>
    <n v="110219"/>
    <s v="CSGSH"/>
    <n v="1030"/>
    <x v="2"/>
    <x v="357"/>
    <x v="10"/>
    <x v="0"/>
    <x v="5"/>
  </r>
  <r>
    <x v="10"/>
    <s v="GRRPA"/>
    <n v="110217"/>
    <s v="GRRPA"/>
    <n v="1029"/>
    <x v="2"/>
    <x v="357"/>
    <x v="10"/>
    <x v="0"/>
    <x v="81"/>
  </r>
  <r>
    <x v="10"/>
    <s v="ALBPK"/>
    <n v="110215"/>
    <s v="ALBPK"/>
    <n v="1028"/>
    <x v="2"/>
    <x v="357"/>
    <x v="10"/>
    <x v="0"/>
    <x v="94"/>
  </r>
  <r>
    <x v="10"/>
    <s v="IADFC"/>
    <n v="110213"/>
    <s v="IADFC"/>
    <n v="1027"/>
    <x v="2"/>
    <x v="357"/>
    <x v="10"/>
    <x v="0"/>
    <x v="20"/>
  </r>
  <r>
    <x v="10"/>
    <s v="WASPG"/>
    <n v="110211"/>
    <s v="WASPG"/>
    <n v="1026"/>
    <x v="2"/>
    <x v="357"/>
    <x v="10"/>
    <x v="0"/>
    <x v="37"/>
  </r>
  <r>
    <x v="10"/>
    <s v="WASFA"/>
    <n v="110209"/>
    <s v="WASFA"/>
    <n v="1025"/>
    <x v="2"/>
    <x v="357"/>
    <x v="10"/>
    <x v="0"/>
    <x v="135"/>
  </r>
  <r>
    <x v="10"/>
    <s v="MBSFR"/>
    <n v="110207"/>
    <s v="MBSFR"/>
    <n v="1024"/>
    <x v="2"/>
    <x v="357"/>
    <x v="10"/>
    <x v="0"/>
    <x v="92"/>
  </r>
  <r>
    <x v="10"/>
    <s v="MYRCN"/>
    <n v="110205"/>
    <s v="MYRCN"/>
    <n v="1023"/>
    <x v="2"/>
    <x v="357"/>
    <x v="10"/>
    <x v="0"/>
    <x v="2"/>
  </r>
  <r>
    <x v="10"/>
    <s v="CBEFI"/>
    <n v="110203"/>
    <s v="CBEFI"/>
    <n v="1022"/>
    <x v="2"/>
    <x v="357"/>
    <x v="10"/>
    <x v="0"/>
    <x v="30"/>
  </r>
  <r>
    <x v="10"/>
    <s v="PBIJP"/>
    <n v="110201"/>
    <s v="PBIJP"/>
    <n v="1021"/>
    <x v="2"/>
    <x v="357"/>
    <x v="10"/>
    <x v="0"/>
    <x v="77"/>
  </r>
  <r>
    <x v="10"/>
    <s v="BWIPF"/>
    <n v="110199"/>
    <s v="BWIPF"/>
    <n v="1020"/>
    <x v="2"/>
    <x v="357"/>
    <x v="10"/>
    <x v="0"/>
    <x v="12"/>
  </r>
  <r>
    <x v="10"/>
    <s v="ROANO"/>
    <n v="110197"/>
    <s v="ROANO"/>
    <n v="1019"/>
    <x v="2"/>
    <x v="357"/>
    <x v="10"/>
    <x v="0"/>
    <x v="93"/>
  </r>
  <r>
    <x v="10"/>
    <s v="CLTCT"/>
    <n v="110195"/>
    <s v="CLTCT"/>
    <n v="1018"/>
    <x v="2"/>
    <x v="357"/>
    <x v="10"/>
    <x v="0"/>
    <x v="38"/>
  </r>
  <r>
    <x v="10"/>
    <s v="INDMN"/>
    <n v="110193"/>
    <s v="INDMN"/>
    <n v="1017"/>
    <x v="2"/>
    <x v="357"/>
    <x v="10"/>
    <x v="0"/>
    <x v="100"/>
  </r>
  <r>
    <x v="10"/>
    <s v="YOWFA"/>
    <n v="110191"/>
    <s v="YOWFA"/>
    <n v="1016"/>
    <x v="2"/>
    <x v="357"/>
    <x v="10"/>
    <x v="0"/>
    <x v="156"/>
  </r>
  <r>
    <x v="10"/>
    <s v="INTSR"/>
    <n v="110189"/>
    <s v="INTSR"/>
    <n v="1015"/>
    <x v="2"/>
    <x v="357"/>
    <x v="10"/>
    <x v="0"/>
    <x v="42"/>
  </r>
  <r>
    <x v="10"/>
    <s v="LYHCY"/>
    <n v="110187"/>
    <s v="LYHCY"/>
    <n v="1014"/>
    <x v="2"/>
    <x v="357"/>
    <x v="10"/>
    <x v="0"/>
    <x v="18"/>
  </r>
  <r>
    <x v="10"/>
    <s v="WGOSH"/>
    <n v="110185"/>
    <s v="WGOSH"/>
    <n v="1013"/>
    <x v="2"/>
    <x v="357"/>
    <x v="10"/>
    <x v="0"/>
    <x v="13"/>
  </r>
  <r>
    <x v="10"/>
    <s v="EWRFW"/>
    <n v="110183"/>
    <s v="EWRFW"/>
    <n v="1012"/>
    <x v="2"/>
    <x v="357"/>
    <x v="10"/>
    <x v="0"/>
    <x v="32"/>
  </r>
  <r>
    <x v="10"/>
    <s v="ROCFA"/>
    <n v="110179"/>
    <s v="ROCFA"/>
    <n v="1010"/>
    <x v="2"/>
    <x v="357"/>
    <x v="10"/>
    <x v="0"/>
    <x v="100"/>
  </r>
  <r>
    <x v="10"/>
    <s v="SMECY"/>
    <n v="110177"/>
    <s v="SMECY"/>
    <n v="1009"/>
    <x v="2"/>
    <x v="357"/>
    <x v="10"/>
    <x v="0"/>
    <x v="19"/>
  </r>
  <r>
    <x v="10"/>
    <s v="CHSNE"/>
    <n v="110175"/>
    <s v="CHSNE"/>
    <n v="1008"/>
    <x v="2"/>
    <x v="357"/>
    <x v="10"/>
    <x v="0"/>
    <x v="93"/>
  </r>
  <r>
    <x v="10"/>
    <s v="MBSSM"/>
    <n v="110173"/>
    <s v="MBSSM"/>
    <n v="1007"/>
    <x v="2"/>
    <x v="357"/>
    <x v="10"/>
    <x v="0"/>
    <x v="13"/>
  </r>
  <r>
    <x v="10"/>
    <s v="LEXFF"/>
    <n v="110171"/>
    <s v="LEXFF"/>
    <n v="1006"/>
    <x v="2"/>
    <x v="357"/>
    <x v="10"/>
    <x v="0"/>
    <x v="18"/>
  </r>
  <r>
    <x v="10"/>
    <s v="PITLT"/>
    <n v="110169"/>
    <s v="PITLT"/>
    <n v="1005"/>
    <x v="2"/>
    <x v="357"/>
    <x v="10"/>
    <x v="0"/>
    <x v="31"/>
  </r>
  <r>
    <x v="10"/>
    <s v="MHTNC"/>
    <n v="110167"/>
    <s v="MHTNC"/>
    <n v="1004"/>
    <x v="2"/>
    <x v="357"/>
    <x v="10"/>
    <x v="0"/>
    <x v="157"/>
  </r>
  <r>
    <x v="10"/>
    <s v="MMIFI"/>
    <n v="110165"/>
    <s v="MMIFI"/>
    <n v="1003"/>
    <x v="2"/>
    <x v="357"/>
    <x v="10"/>
    <x v="0"/>
    <x v="47"/>
  </r>
  <r>
    <x v="10"/>
    <s v="TPAFW"/>
    <n v="110163"/>
    <s v="TPAFW"/>
    <n v="1002"/>
    <x v="2"/>
    <x v="357"/>
    <x v="10"/>
    <x v="0"/>
    <x v="16"/>
  </r>
  <r>
    <x v="10"/>
    <s v="INDAV"/>
    <n v="110161"/>
    <s v="INDAV"/>
    <n v="1001"/>
    <x v="2"/>
    <x v="357"/>
    <x v="10"/>
    <x v="0"/>
    <x v="87"/>
  </r>
  <r>
    <x v="10"/>
    <s v="BOSSY"/>
    <n v="110159"/>
    <s v="BOSSY"/>
    <n v="1000"/>
    <x v="2"/>
    <x v="357"/>
    <x v="10"/>
    <x v="0"/>
    <x v="158"/>
  </r>
  <r>
    <x v="10"/>
    <s v="CAECD"/>
    <n v="110157"/>
    <s v="CAECD"/>
    <n v="999"/>
    <x v="2"/>
    <x v="357"/>
    <x v="10"/>
    <x v="0"/>
    <x v="159"/>
  </r>
  <r>
    <x v="10"/>
    <s v="CMHCG"/>
    <n v="110155"/>
    <s v="CMHCG"/>
    <n v="998"/>
    <x v="2"/>
    <x v="357"/>
    <x v="10"/>
    <x v="0"/>
    <x v="19"/>
  </r>
  <r>
    <x v="10"/>
    <s v="BDLTH"/>
    <n v="110153"/>
    <s v="BDLTH"/>
    <n v="997"/>
    <x v="2"/>
    <x v="357"/>
    <x v="10"/>
    <x v="0"/>
    <x v="78"/>
  </r>
  <r>
    <x v="10"/>
    <s v="TPABN"/>
    <n v="110151"/>
    <s v="TPABN"/>
    <n v="996"/>
    <x v="2"/>
    <x v="357"/>
    <x v="10"/>
    <x v="0"/>
    <x v="79"/>
  </r>
  <r>
    <x v="10"/>
    <s v="EWRMA"/>
    <n v="110149"/>
    <s v="EWRMA"/>
    <n v="995"/>
    <x v="2"/>
    <x v="357"/>
    <x v="10"/>
    <x v="0"/>
    <x v="6"/>
  </r>
  <r>
    <x v="10"/>
    <s v="PITBT"/>
    <n v="110147"/>
    <s v="PITBT"/>
    <n v="994"/>
    <x v="2"/>
    <x v="357"/>
    <x v="10"/>
    <x v="0"/>
    <x v="95"/>
  </r>
  <r>
    <x v="10"/>
    <s v="ROASH"/>
    <n v="110145"/>
    <s v="ROASH"/>
    <n v="993"/>
    <x v="2"/>
    <x v="357"/>
    <x v="10"/>
    <x v="0"/>
    <x v="66"/>
  </r>
  <r>
    <x v="10"/>
    <s v="WASNY"/>
    <n v="110143"/>
    <s v="WASNY"/>
    <n v="992"/>
    <x v="2"/>
    <x v="357"/>
    <x v="10"/>
    <x v="0"/>
    <x v="160"/>
  </r>
  <r>
    <x v="10"/>
    <s v="LNSCY"/>
    <n v="110141"/>
    <s v="LNSCY"/>
    <n v="991"/>
    <x v="2"/>
    <x v="357"/>
    <x v="10"/>
    <x v="0"/>
    <x v="83"/>
  </r>
  <r>
    <x v="10"/>
    <s v="CHAEH"/>
    <n v="110139"/>
    <s v="CHAEH"/>
    <n v="990"/>
    <x v="2"/>
    <x v="357"/>
    <x v="10"/>
    <x v="0"/>
    <x v="26"/>
  </r>
  <r>
    <x v="10"/>
    <s v="TRIJC"/>
    <n v="110137"/>
    <s v="TRIJC"/>
    <n v="989"/>
    <x v="2"/>
    <x v="357"/>
    <x v="10"/>
    <x v="0"/>
    <x v="18"/>
  </r>
  <r>
    <x v="10"/>
    <s v="CLEBW"/>
    <n v="110135"/>
    <s v="CLEBW"/>
    <n v="988"/>
    <x v="2"/>
    <x v="357"/>
    <x v="10"/>
    <x v="0"/>
    <x v="80"/>
  </r>
  <r>
    <x v="10"/>
    <s v="GLRFI"/>
    <n v="110133"/>
    <s v="GLRFI"/>
    <n v="987"/>
    <x v="2"/>
    <x v="357"/>
    <x v="10"/>
    <x v="0"/>
    <x v="23"/>
  </r>
  <r>
    <x v="10"/>
    <s v="DTWBR"/>
    <n v="110131"/>
    <s v="DTWBR"/>
    <n v="986"/>
    <x v="2"/>
    <x v="357"/>
    <x v="10"/>
    <x v="0"/>
    <x v="18"/>
  </r>
  <r>
    <x v="10"/>
    <s v="CKBCY"/>
    <n v="110129"/>
    <s v="CKBCY"/>
    <n v="985"/>
    <x v="2"/>
    <x v="357"/>
    <x v="10"/>
    <x v="0"/>
    <x v="16"/>
  </r>
  <r>
    <x v="10"/>
    <s v="CVGBC"/>
    <n v="110127"/>
    <s v="CVGBC"/>
    <n v="984"/>
    <x v="2"/>
    <x v="357"/>
    <x v="10"/>
    <x v="0"/>
    <x v="57"/>
  </r>
  <r>
    <x v="10"/>
    <s v="PSMAC"/>
    <n v="110125"/>
    <s v="PSMAC"/>
    <n v="983"/>
    <x v="2"/>
    <x v="357"/>
    <x v="10"/>
    <x v="0"/>
    <x v="2"/>
  </r>
  <r>
    <x v="10"/>
    <s v="PHLNC"/>
    <n v="110123"/>
    <s v="PHLNC"/>
    <n v="982"/>
    <x v="2"/>
    <x v="357"/>
    <x v="10"/>
    <x v="0"/>
    <x v="6"/>
  </r>
  <r>
    <x v="10"/>
    <s v="JENSH"/>
    <n v="110121"/>
    <s v="JENSH"/>
    <n v="981"/>
    <x v="2"/>
    <x v="357"/>
    <x v="10"/>
    <x v="0"/>
    <x v="79"/>
  </r>
  <r>
    <x v="10"/>
    <s v="CAKCN"/>
    <n v="110119"/>
    <s v="CAKCN"/>
    <n v="980"/>
    <x v="2"/>
    <x v="357"/>
    <x v="10"/>
    <x v="0"/>
    <x v="82"/>
  </r>
  <r>
    <x v="10"/>
    <s v="SBNEH"/>
    <n v="110117"/>
    <s v="SBNEH"/>
    <n v="979"/>
    <x v="2"/>
    <x v="357"/>
    <x v="10"/>
    <x v="0"/>
    <x v="20"/>
  </r>
  <r>
    <x v="10"/>
    <s v="CVGDX"/>
    <n v="110115"/>
    <s v="CVGDX"/>
    <n v="978"/>
    <x v="2"/>
    <x v="357"/>
    <x v="10"/>
    <x v="0"/>
    <x v="29"/>
  </r>
  <r>
    <x v="10"/>
    <s v="WASFC"/>
    <n v="110113"/>
    <s v="WASFC"/>
    <n v="977"/>
    <x v="2"/>
    <x v="357"/>
    <x v="10"/>
    <x v="0"/>
    <x v="105"/>
  </r>
  <r>
    <x v="10"/>
    <s v="AVLSH"/>
    <n v="110111"/>
    <s v="AVLSH"/>
    <n v="976"/>
    <x v="2"/>
    <x v="357"/>
    <x v="10"/>
    <x v="0"/>
    <x v="86"/>
  </r>
  <r>
    <x v="10"/>
    <s v="BQKKG"/>
    <n v="110109"/>
    <s v="BQKKG"/>
    <n v="975"/>
    <x v="2"/>
    <x v="357"/>
    <x v="10"/>
    <x v="0"/>
    <x v="43"/>
  </r>
  <r>
    <x v="10"/>
    <s v="INDWF"/>
    <n v="110107"/>
    <s v="INDWF"/>
    <n v="974"/>
    <x v="2"/>
    <x v="357"/>
    <x v="10"/>
    <x v="0"/>
    <x v="20"/>
  </r>
  <r>
    <x v="10"/>
    <s v="LEXSF"/>
    <n v="110105"/>
    <s v="LEXSF"/>
    <n v="973"/>
    <x v="2"/>
    <x v="357"/>
    <x v="10"/>
    <x v="0"/>
    <x v="86"/>
  </r>
  <r>
    <x v="10"/>
    <s v="TOLMU"/>
    <n v="110103"/>
    <s v="TOLMU"/>
    <n v="972"/>
    <x v="2"/>
    <x v="357"/>
    <x v="10"/>
    <x v="0"/>
    <x v="92"/>
  </r>
  <r>
    <x v="10"/>
    <s v="SRQBD"/>
    <n v="110101"/>
    <s v="SRQBD"/>
    <n v="971"/>
    <x v="2"/>
    <x v="357"/>
    <x v="10"/>
    <x v="0"/>
    <x v="36"/>
  </r>
  <r>
    <x v="10"/>
    <s v="MCOYC"/>
    <n v="110099"/>
    <s v="MCOYC"/>
    <n v="970"/>
    <x v="2"/>
    <x v="357"/>
    <x v="10"/>
    <x v="0"/>
    <x v="71"/>
  </r>
  <r>
    <x v="10"/>
    <s v="EYWCY"/>
    <n v="110097"/>
    <s v="EYWCY"/>
    <n v="969"/>
    <x v="2"/>
    <x v="357"/>
    <x v="10"/>
    <x v="0"/>
    <x v="95"/>
  </r>
  <r>
    <x v="10"/>
    <s v="INDSW"/>
    <n v="110095"/>
    <s v="INDSW"/>
    <n v="968"/>
    <x v="2"/>
    <x v="357"/>
    <x v="10"/>
    <x v="0"/>
    <x v="76"/>
  </r>
  <r>
    <x v="10"/>
    <s v="SAVHV"/>
    <n v="110093"/>
    <s v="SAVHV"/>
    <n v="967"/>
    <x v="2"/>
    <x v="357"/>
    <x v="10"/>
    <x v="0"/>
    <x v="10"/>
  </r>
  <r>
    <x v="10"/>
    <s v="GNVCY"/>
    <n v="110091"/>
    <s v="GNVCY"/>
    <n v="966"/>
    <x v="2"/>
    <x v="357"/>
    <x v="10"/>
    <x v="0"/>
    <x v="10"/>
  </r>
  <r>
    <x v="10"/>
    <s v="GRDFI"/>
    <n v="110089"/>
    <s v="GRDFI"/>
    <n v="965"/>
    <x v="2"/>
    <x v="357"/>
    <x v="10"/>
    <x v="0"/>
    <x v="93"/>
  </r>
  <r>
    <x v="10"/>
    <s v="FLOCY"/>
    <n v="110087"/>
    <s v="FLOCY"/>
    <n v="964"/>
    <x v="2"/>
    <x v="357"/>
    <x v="10"/>
    <x v="0"/>
    <x v="18"/>
  </r>
  <r>
    <x v="10"/>
    <s v="BTVCY"/>
    <n v="110085"/>
    <s v="BTVCY"/>
    <n v="963"/>
    <x v="2"/>
    <x v="357"/>
    <x v="10"/>
    <x v="0"/>
    <x v="86"/>
  </r>
  <r>
    <x v="10"/>
    <s v="BWISU"/>
    <n v="110083"/>
    <s v="BWISU"/>
    <n v="962"/>
    <x v="2"/>
    <x v="357"/>
    <x v="10"/>
    <x v="0"/>
    <x v="22"/>
  </r>
  <r>
    <x v="10"/>
    <s v="ROCFI"/>
    <n v="110081"/>
    <s v="ROCFI"/>
    <n v="961"/>
    <x v="2"/>
    <x v="357"/>
    <x v="10"/>
    <x v="0"/>
    <x v="100"/>
  </r>
  <r>
    <x v="10"/>
    <s v="WASBA"/>
    <n v="110079"/>
    <s v="WASBA"/>
    <n v="960"/>
    <x v="2"/>
    <x v="357"/>
    <x v="10"/>
    <x v="0"/>
    <x v="122"/>
  </r>
  <r>
    <x v="10"/>
    <s v="SCEHD"/>
    <n v="110077"/>
    <s v="SCEHD"/>
    <n v="959"/>
    <x v="2"/>
    <x v="357"/>
    <x v="10"/>
    <x v="0"/>
    <x v="10"/>
  </r>
  <r>
    <x v="10"/>
    <s v="DAYNP"/>
    <n v="110075"/>
    <s v="DAYNP"/>
    <n v="958"/>
    <x v="2"/>
    <x v="357"/>
    <x v="10"/>
    <x v="0"/>
    <x v="161"/>
  </r>
  <r>
    <x v="10"/>
    <s v="RDGFI"/>
    <n v="110073"/>
    <s v="RDGFI"/>
    <n v="957"/>
    <x v="2"/>
    <x v="357"/>
    <x v="10"/>
    <x v="0"/>
    <x v="77"/>
  </r>
  <r>
    <x v="10"/>
    <s v="HVNUN"/>
    <n v="110071"/>
    <s v="HVNUN"/>
    <n v="956"/>
    <x v="2"/>
    <x v="357"/>
    <x v="10"/>
    <x v="0"/>
    <x v="40"/>
  </r>
  <r>
    <x v="10"/>
    <s v="ROCFG"/>
    <n v="110069"/>
    <s v="ROCFG"/>
    <n v="955"/>
    <x v="2"/>
    <x v="357"/>
    <x v="10"/>
    <x v="0"/>
    <x v="39"/>
  </r>
  <r>
    <x v="10"/>
    <s v="CSGAC"/>
    <n v="110067"/>
    <s v="CSGAC"/>
    <n v="954"/>
    <x v="2"/>
    <x v="357"/>
    <x v="10"/>
    <x v="0"/>
    <x v="6"/>
  </r>
  <r>
    <x v="10"/>
    <s v="CLEWB"/>
    <n v="110065"/>
    <s v="CLEWB"/>
    <n v="953"/>
    <x v="2"/>
    <x v="357"/>
    <x v="10"/>
    <x v="0"/>
    <x v="18"/>
  </r>
  <r>
    <x v="10"/>
    <s v="GSPCM"/>
    <n v="110063"/>
    <s v="GSPCM"/>
    <n v="952"/>
    <x v="2"/>
    <x v="357"/>
    <x v="10"/>
    <x v="0"/>
    <x v="30"/>
  </r>
  <r>
    <x v="10"/>
    <s v="CLEAC"/>
    <n v="110061"/>
    <s v="CLEAC"/>
    <n v="951"/>
    <x v="2"/>
    <x v="357"/>
    <x v="10"/>
    <x v="0"/>
    <x v="117"/>
  </r>
  <r>
    <x v="10"/>
    <s v="MHTFA"/>
    <n v="110059"/>
    <s v="MHTFA"/>
    <n v="950"/>
    <x v="2"/>
    <x v="357"/>
    <x v="10"/>
    <x v="0"/>
    <x v="67"/>
  </r>
  <r>
    <x v="10"/>
    <s v="GSODV"/>
    <n v="110057"/>
    <s v="GSODV"/>
    <n v="949"/>
    <x v="2"/>
    <x v="357"/>
    <x v="10"/>
    <x v="0"/>
    <x v="9"/>
  </r>
  <r>
    <x v="10"/>
    <s v="DABFI"/>
    <n v="110055"/>
    <s v="DABFI"/>
    <n v="948"/>
    <x v="2"/>
    <x v="357"/>
    <x v="10"/>
    <x v="0"/>
    <x v="40"/>
  </r>
  <r>
    <x v="10"/>
    <s v="JAXBS"/>
    <n v="110053"/>
    <s v="JAXBS"/>
    <n v="947"/>
    <x v="2"/>
    <x v="357"/>
    <x v="10"/>
    <x v="0"/>
    <x v="108"/>
  </r>
  <r>
    <x v="10"/>
    <s v="TLHEC"/>
    <n v="110049"/>
    <s v="TLHEC"/>
    <n v="945"/>
    <x v="2"/>
    <x v="357"/>
    <x v="10"/>
    <x v="0"/>
    <x v="50"/>
  </r>
  <r>
    <x v="10"/>
    <s v="JAXBB"/>
    <n v="110047"/>
    <s v="JAXBB"/>
    <n v="944"/>
    <x v="2"/>
    <x v="357"/>
    <x v="10"/>
    <x v="0"/>
    <x v="79"/>
  </r>
  <r>
    <x v="10"/>
    <s v="CHACL"/>
    <n v="110045"/>
    <s v="CHACL"/>
    <n v="943"/>
    <x v="2"/>
    <x v="357"/>
    <x v="10"/>
    <x v="0"/>
    <x v="43"/>
  </r>
  <r>
    <x v="10"/>
    <s v="INDSF"/>
    <n v="110043"/>
    <s v="INDSF"/>
    <n v="942"/>
    <x v="2"/>
    <x v="357"/>
    <x v="10"/>
    <x v="0"/>
    <x v="94"/>
  </r>
  <r>
    <x v="10"/>
    <s v="GSOSA"/>
    <n v="110041"/>
    <s v="GSOSA"/>
    <n v="941"/>
    <x v="2"/>
    <x v="357"/>
    <x v="10"/>
    <x v="0"/>
    <x v="79"/>
  </r>
  <r>
    <x v="10"/>
    <s v="HARYK"/>
    <n v="110039"/>
    <s v="HARYK"/>
    <n v="940"/>
    <x v="2"/>
    <x v="357"/>
    <x v="10"/>
    <x v="0"/>
    <x v="79"/>
  </r>
  <r>
    <x v="10"/>
    <s v="YNGFA"/>
    <n v="110037"/>
    <s v="YNGFA"/>
    <n v="939"/>
    <x v="2"/>
    <x v="357"/>
    <x v="10"/>
    <x v="0"/>
    <x v="10"/>
  </r>
  <r>
    <x v="10"/>
    <s v="PGVKS"/>
    <n v="110035"/>
    <s v="PGVKS"/>
    <n v="938"/>
    <x v="2"/>
    <x v="357"/>
    <x v="10"/>
    <x v="0"/>
    <x v="47"/>
  </r>
  <r>
    <x v="10"/>
    <s v="DOVFI"/>
    <n v="110033"/>
    <s v="DOVFI"/>
    <n v="937"/>
    <x v="2"/>
    <x v="357"/>
    <x v="10"/>
    <x v="0"/>
    <x v="55"/>
  </r>
  <r>
    <x v="10"/>
    <s v="GSOGW"/>
    <n v="110031"/>
    <s v="GSOGW"/>
    <n v="936"/>
    <x v="2"/>
    <x v="357"/>
    <x v="10"/>
    <x v="0"/>
    <x v="67"/>
  </r>
  <r>
    <x v="10"/>
    <s v="MYRCF"/>
    <n v="110029"/>
    <s v="MYRCF"/>
    <n v="935"/>
    <x v="2"/>
    <x v="357"/>
    <x v="10"/>
    <x v="0"/>
    <x v="67"/>
  </r>
  <r>
    <x v="10"/>
    <s v="PHLMH"/>
    <n v="110027"/>
    <s v="PHLMH"/>
    <n v="934"/>
    <x v="2"/>
    <x v="357"/>
    <x v="10"/>
    <x v="0"/>
    <x v="119"/>
  </r>
  <r>
    <x v="10"/>
    <s v="AVLCY"/>
    <n v="110025"/>
    <s v="AVLCY"/>
    <n v="933"/>
    <x v="2"/>
    <x v="357"/>
    <x v="10"/>
    <x v="0"/>
    <x v="39"/>
  </r>
  <r>
    <x v="10"/>
    <s v="PKBFI"/>
    <n v="110023"/>
    <s v="PKBFI"/>
    <n v="932"/>
    <x v="2"/>
    <x v="357"/>
    <x v="10"/>
    <x v="0"/>
    <x v="19"/>
  </r>
  <r>
    <x v="10"/>
    <s v="MCOUS"/>
    <n v="110021"/>
    <s v="MCOUS"/>
    <n v="931"/>
    <x v="2"/>
    <x v="357"/>
    <x v="10"/>
    <x v="0"/>
    <x v="62"/>
  </r>
  <r>
    <x v="10"/>
    <s v="MLBVB"/>
    <n v="110019"/>
    <s v="MLBVB"/>
    <n v="930"/>
    <x v="2"/>
    <x v="357"/>
    <x v="10"/>
    <x v="0"/>
    <x v="23"/>
  </r>
  <r>
    <x v="10"/>
    <s v="DAYTH"/>
    <n v="110017"/>
    <s v="DAYTH"/>
    <n v="929"/>
    <x v="2"/>
    <x v="357"/>
    <x v="10"/>
    <x v="0"/>
    <x v="18"/>
  </r>
  <r>
    <x v="10"/>
    <s v="CHSCN"/>
    <n v="110015"/>
    <s v="CHSCN"/>
    <n v="928"/>
    <x v="2"/>
    <x v="357"/>
    <x v="10"/>
    <x v="0"/>
    <x v="68"/>
  </r>
  <r>
    <x v="10"/>
    <s v="BDLFI"/>
    <n v="110013"/>
    <s v="BDLFI"/>
    <n v="927"/>
    <x v="2"/>
    <x v="357"/>
    <x v="10"/>
    <x v="0"/>
    <x v="60"/>
  </r>
  <r>
    <x v="10"/>
    <s v="DAYML"/>
    <n v="110011"/>
    <s v="DAYML"/>
    <n v="926"/>
    <x v="2"/>
    <x v="357"/>
    <x v="10"/>
    <x v="0"/>
    <x v="59"/>
  </r>
  <r>
    <x v="10"/>
    <s v="JAXNE"/>
    <n v="110009"/>
    <s v="JAXNE"/>
    <n v="925"/>
    <x v="2"/>
    <x v="357"/>
    <x v="10"/>
    <x v="0"/>
    <x v="47"/>
  </r>
  <r>
    <x v="10"/>
    <s v="GBRFI"/>
    <n v="110007"/>
    <s v="GBRFI"/>
    <n v="924"/>
    <x v="2"/>
    <x v="357"/>
    <x v="10"/>
    <x v="0"/>
    <x v="78"/>
  </r>
  <r>
    <x v="10"/>
    <s v="CAKCC"/>
    <n v="110005"/>
    <s v="CAKCC"/>
    <n v="923"/>
    <x v="2"/>
    <x v="357"/>
    <x v="10"/>
    <x v="0"/>
    <x v="76"/>
  </r>
  <r>
    <x v="10"/>
    <s v="CAKMT"/>
    <n v="110003"/>
    <s v="CAKMT"/>
    <n v="922"/>
    <x v="2"/>
    <x v="357"/>
    <x v="10"/>
    <x v="0"/>
    <x v="39"/>
  </r>
  <r>
    <x v="10"/>
    <s v="TYSKD"/>
    <n v="110001"/>
    <s v="TYSKD"/>
    <n v="921"/>
    <x v="2"/>
    <x v="357"/>
    <x v="10"/>
    <x v="0"/>
    <x v="11"/>
  </r>
  <r>
    <x v="11"/>
    <s v="MCIPO"/>
    <n v="110369"/>
    <s v="MCIPO"/>
    <n v="1177"/>
    <x v="2"/>
    <x v="357"/>
    <x v="11"/>
    <x v="0"/>
    <x v="78"/>
  </r>
  <r>
    <x v="11"/>
    <s v="RDUCL"/>
    <n v="110367"/>
    <s v="RDUCL"/>
    <n v="1176"/>
    <x v="2"/>
    <x v="357"/>
    <x v="11"/>
    <x v="0"/>
    <x v="94"/>
  </r>
  <r>
    <x v="11"/>
    <s v="TLHAL"/>
    <n v="110365"/>
    <s v="TLHAL"/>
    <n v="1175"/>
    <x v="2"/>
    <x v="357"/>
    <x v="11"/>
    <x v="0"/>
    <x v="162"/>
  </r>
  <r>
    <x v="12"/>
    <s v="ATLMO"/>
    <n v="100959"/>
    <s v="ATLMO"/>
    <n v="1648"/>
    <x v="0"/>
    <x v="828"/>
    <x v="12"/>
    <x v="1"/>
    <x v="9"/>
  </r>
  <r>
    <x v="12"/>
    <s v="LNKYF"/>
    <n v="200901"/>
    <s v="LNKYF"/>
    <n v="1653"/>
    <x v="1"/>
    <x v="829"/>
    <x v="13"/>
    <x v="1"/>
    <x v="81"/>
  </r>
  <r>
    <x v="12"/>
    <s v="INDLF"/>
    <n v="100973"/>
    <s v="INDLF"/>
    <n v="1831"/>
    <x v="0"/>
    <x v="830"/>
    <x v="11"/>
    <x v="1"/>
    <x v="9"/>
  </r>
  <r>
    <x v="12"/>
    <s v="ABQLF"/>
    <n v="200903"/>
    <s v="ABQLF"/>
    <n v="1654"/>
    <x v="1"/>
    <x v="831"/>
    <x v="14"/>
    <x v="1"/>
    <x v="142"/>
  </r>
  <r>
    <x v="12"/>
    <s v="YOWOX"/>
    <n v="100963"/>
    <s v="YOWOX"/>
    <n v="1650"/>
    <x v="0"/>
    <x v="832"/>
    <x v="15"/>
    <x v="1"/>
    <x v="142"/>
  </r>
  <r>
    <x v="12"/>
    <s v="SAVPA"/>
    <n v="100969"/>
    <s v="SAVPA"/>
    <n v="1656"/>
    <x v="0"/>
    <x v="833"/>
    <x v="16"/>
    <x v="1"/>
    <x v="142"/>
  </r>
  <r>
    <x v="12"/>
    <s v="BOSSF"/>
    <n v="100955"/>
    <s v="BOSSF"/>
    <n v="1624"/>
    <x v="0"/>
    <x v="834"/>
    <x v="17"/>
    <x v="1"/>
    <x v="142"/>
  </r>
  <r>
    <x v="12"/>
    <s v="DENNC"/>
    <n v="200897"/>
    <s v="DENNC"/>
    <n v="1621"/>
    <x v="1"/>
    <x v="835"/>
    <x v="18"/>
    <x v="1"/>
    <x v="142"/>
  </r>
  <r>
    <x v="12"/>
    <s v="CLESU"/>
    <n v="100957"/>
    <s v="CLESU"/>
    <n v="1625"/>
    <x v="0"/>
    <x v="836"/>
    <x v="19"/>
    <x v="1"/>
    <x v="142"/>
  </r>
  <r>
    <x v="12"/>
    <s v="SMFDA"/>
    <n v="200899"/>
    <s v="SMFDA"/>
    <n v="1623"/>
    <x v="1"/>
    <x v="837"/>
    <x v="20"/>
    <x v="1"/>
    <x v="142"/>
  </r>
  <r>
    <x v="12"/>
    <s v="YYZBF"/>
    <n v="100975"/>
    <s v="YYZBF"/>
    <n v="1835"/>
    <x v="0"/>
    <x v="838"/>
    <x v="21"/>
    <x v="1"/>
    <x v="142"/>
  </r>
  <r>
    <x v="12"/>
    <s v="DAYFS"/>
    <n v="100961"/>
    <s v="DAYFS"/>
    <n v="1649"/>
    <x v="0"/>
    <x v="839"/>
    <x v="22"/>
    <x v="1"/>
    <x v="142"/>
  </r>
  <r>
    <x v="12"/>
    <s v="DALMN"/>
    <n v="200905"/>
    <s v="DALMN"/>
    <n v="1655"/>
    <x v="1"/>
    <x v="840"/>
    <x v="23"/>
    <x v="1"/>
    <x v="142"/>
  </r>
  <r>
    <x v="12"/>
    <e v="#N/A"/>
    <e v="#N/A"/>
    <s v="ORFNF"/>
    <e v="#N/A"/>
    <x v="3"/>
    <x v="357"/>
    <x v="24"/>
    <x v="1"/>
    <x v="142"/>
  </r>
  <r>
    <x v="12"/>
    <s v="DTWSH"/>
    <n v="100965"/>
    <s v="DTWSH"/>
    <n v="1651"/>
    <x v="0"/>
    <x v="841"/>
    <x v="25"/>
    <x v="1"/>
    <x v="142"/>
  </r>
  <r>
    <x v="12"/>
    <e v="#N/A"/>
    <e v="#N/A"/>
    <s v="DENGH"/>
    <e v="#N/A"/>
    <x v="3"/>
    <x v="357"/>
    <x v="26"/>
    <x v="1"/>
    <x v="142"/>
  </r>
  <r>
    <x v="13"/>
    <s v="NYCQJ"/>
    <n v="111001"/>
    <s v="NYCQJ"/>
    <n v="1181"/>
    <x v="4"/>
    <x v="842"/>
    <x v="15"/>
    <x v="0"/>
    <x v="128"/>
  </r>
  <r>
    <x v="13"/>
    <s v="NYCFJ"/>
    <n v="111001"/>
    <s v="NYCFJ"/>
    <n v="1185"/>
    <x v="4"/>
    <x v="843"/>
    <x v="15"/>
    <x v="0"/>
    <x v="44"/>
  </r>
  <r>
    <x v="13"/>
    <s v="PRHFI"/>
    <n v="111003"/>
    <s v="PRHFI"/>
    <n v="1182"/>
    <x v="4"/>
    <x v="844"/>
    <x v="15"/>
    <x v="0"/>
    <x v="92"/>
  </r>
  <r>
    <x v="13"/>
    <s v="NYCTM"/>
    <n v="111005"/>
    <s v="NYCTM"/>
    <n v="1183"/>
    <x v="4"/>
    <x v="845"/>
    <x v="15"/>
    <x v="0"/>
    <x v="9"/>
  </r>
  <r>
    <x v="13"/>
    <s v="HPNNB"/>
    <n v="111007"/>
    <s v="HPNNB"/>
    <n v="1184"/>
    <x v="4"/>
    <x v="846"/>
    <x v="15"/>
    <x v="0"/>
    <x v="39"/>
  </r>
  <r>
    <x v="13"/>
    <s v="PWMCD"/>
    <n v="111009"/>
    <s v="PWMCD"/>
    <n v="1186"/>
    <x v="4"/>
    <x v="847"/>
    <x v="15"/>
    <x v="0"/>
    <x v="1"/>
  </r>
  <r>
    <x v="13"/>
    <s v="EWRPX"/>
    <n v="111011"/>
    <s v="EWRPX"/>
    <n v="1187"/>
    <x v="4"/>
    <x v="848"/>
    <x v="15"/>
    <x v="0"/>
    <x v="31"/>
  </r>
  <r>
    <x v="13"/>
    <s v="EWRWK"/>
    <n v="111013"/>
    <s v="EWRWK"/>
    <n v="1188"/>
    <x v="4"/>
    <x v="849"/>
    <x v="15"/>
    <x v="0"/>
    <x v="99"/>
  </r>
  <r>
    <x v="13"/>
    <s v="PHLRO"/>
    <n v="111015"/>
    <s v="PHLRO"/>
    <n v="1190"/>
    <x v="4"/>
    <x v="850"/>
    <x v="15"/>
    <x v="0"/>
    <x v="31"/>
  </r>
  <r>
    <x v="13"/>
    <s v="PBIFF"/>
    <n v="111017"/>
    <s v="PBIFF"/>
    <n v="1191"/>
    <x v="4"/>
    <x v="851"/>
    <x v="15"/>
    <x v="0"/>
    <x v="67"/>
  </r>
  <r>
    <x v="13"/>
    <s v="PITDF"/>
    <n v="111019"/>
    <s v="PITDF"/>
    <n v="1192"/>
    <x v="4"/>
    <x v="852"/>
    <x v="15"/>
    <x v="0"/>
    <x v="67"/>
  </r>
  <r>
    <x v="13"/>
    <s v="TYSKW"/>
    <n v="111021"/>
    <s v="TYSKW"/>
    <n v="1193"/>
    <x v="4"/>
    <x v="853"/>
    <x v="15"/>
    <x v="0"/>
    <x v="79"/>
  </r>
  <r>
    <x v="13"/>
    <s v="PHLCV"/>
    <n v="111023"/>
    <s v="PHLCV"/>
    <n v="1194"/>
    <x v="4"/>
    <x v="854"/>
    <x v="15"/>
    <x v="0"/>
    <x v="6"/>
  </r>
  <r>
    <x v="13"/>
    <s v="EWRFS"/>
    <n v="111025"/>
    <s v="EWRFS"/>
    <n v="1195"/>
    <x v="4"/>
    <x v="855"/>
    <x v="15"/>
    <x v="0"/>
    <x v="85"/>
  </r>
  <r>
    <x v="13"/>
    <s v="CRWCY"/>
    <n v="111027"/>
    <s v="CRWCY"/>
    <n v="1196"/>
    <x v="4"/>
    <x v="856"/>
    <x v="15"/>
    <x v="0"/>
    <x v="119"/>
  </r>
  <r>
    <x v="13"/>
    <s v="NYCTW"/>
    <n v="111029"/>
    <s v="NYCTW"/>
    <n v="1197"/>
    <x v="4"/>
    <x v="857"/>
    <x v="15"/>
    <x v="0"/>
    <x v="77"/>
  </r>
  <r>
    <x v="13"/>
    <s v="NYCQS"/>
    <n v="111031"/>
    <s v="NYCQS"/>
    <n v="1198"/>
    <x v="4"/>
    <x v="858"/>
    <x v="15"/>
    <x v="0"/>
    <x v="163"/>
  </r>
  <r>
    <x v="13"/>
    <s v="EWRSW"/>
    <n v="111033"/>
    <s v="EWRSW"/>
    <n v="1199"/>
    <x v="4"/>
    <x v="859"/>
    <x v="15"/>
    <x v="0"/>
    <x v="103"/>
  </r>
  <r>
    <x v="13"/>
    <s v="EWRML"/>
    <n v="111035"/>
    <s v="EWRML"/>
    <n v="1200"/>
    <x v="4"/>
    <x v="860"/>
    <x v="15"/>
    <x v="0"/>
    <x v="164"/>
  </r>
  <r>
    <x v="13"/>
    <s v="EWRUF"/>
    <n v="111037"/>
    <s v="EWRUF"/>
    <n v="1201"/>
    <x v="4"/>
    <x v="861"/>
    <x v="15"/>
    <x v="0"/>
    <x v="29"/>
  </r>
  <r>
    <x v="13"/>
    <s v="UKTSH"/>
    <n v="111039"/>
    <s v="UKTSH"/>
    <n v="1202"/>
    <x v="4"/>
    <x v="862"/>
    <x v="15"/>
    <x v="0"/>
    <x v="5"/>
  </r>
  <r>
    <x v="13"/>
    <s v="ATLDU"/>
    <n v="111041"/>
    <s v="ATLDU"/>
    <n v="1203"/>
    <x v="4"/>
    <x v="863"/>
    <x v="15"/>
    <x v="0"/>
    <x v="0"/>
  </r>
  <r>
    <x v="13"/>
    <s v="ATLCN"/>
    <n v="111043"/>
    <s v="ATLCN"/>
    <n v="1228"/>
    <x v="4"/>
    <x v="864"/>
    <x v="15"/>
    <x v="0"/>
    <x v="83"/>
  </r>
  <r>
    <x v="13"/>
    <s v="ATLOX"/>
    <n v="111043"/>
    <s v="ATLOX"/>
    <n v="1204"/>
    <x v="4"/>
    <x v="865"/>
    <x v="15"/>
    <x v="0"/>
    <x v="113"/>
  </r>
  <r>
    <x v="13"/>
    <s v="EWRED"/>
    <n v="111045"/>
    <s v="EWRED"/>
    <n v="1205"/>
    <x v="4"/>
    <x v="866"/>
    <x v="15"/>
    <x v="0"/>
    <x v="103"/>
  </r>
  <r>
    <x v="13"/>
    <s v="PHLQC"/>
    <n v="111047"/>
    <s v="PHLQC"/>
    <n v="1206"/>
    <x v="4"/>
    <x v="867"/>
    <x v="15"/>
    <x v="0"/>
    <x v="63"/>
  </r>
  <r>
    <x v="13"/>
    <s v="ATLKE"/>
    <n v="111049"/>
    <s v="ATLKE"/>
    <n v="1207"/>
    <x v="4"/>
    <x v="868"/>
    <x v="15"/>
    <x v="0"/>
    <x v="47"/>
  </r>
  <r>
    <x v="13"/>
    <s v="ILGUD"/>
    <n v="111051"/>
    <s v="ILGUD"/>
    <n v="1208"/>
    <x v="4"/>
    <x v="869"/>
    <x v="15"/>
    <x v="0"/>
    <x v="3"/>
  </r>
  <r>
    <x v="13"/>
    <s v="MIAGB"/>
    <n v="111053"/>
    <s v="MIAGB"/>
    <n v="1209"/>
    <x v="4"/>
    <x v="870"/>
    <x v="15"/>
    <x v="0"/>
    <x v="140"/>
  </r>
  <r>
    <x v="13"/>
    <s v="PITML"/>
    <n v="111055"/>
    <s v="PITML"/>
    <n v="1210"/>
    <x v="4"/>
    <x v="871"/>
    <x v="15"/>
    <x v="0"/>
    <x v="0"/>
  </r>
  <r>
    <x v="13"/>
    <s v="PHLCC"/>
    <n v="111057"/>
    <s v="PHLCC"/>
    <n v="1211"/>
    <x v="4"/>
    <x v="872"/>
    <x v="15"/>
    <x v="0"/>
    <x v="119"/>
  </r>
  <r>
    <x v="13"/>
    <s v="ATLYN"/>
    <n v="111059"/>
    <s v="ATLYN"/>
    <n v="1212"/>
    <x v="4"/>
    <x v="873"/>
    <x v="15"/>
    <x v="0"/>
    <x v="7"/>
  </r>
  <r>
    <x v="13"/>
    <s v="RDUCX"/>
    <n v="111061"/>
    <s v="RDUCX"/>
    <n v="1213"/>
    <x v="4"/>
    <x v="874"/>
    <x v="15"/>
    <x v="0"/>
    <x v="109"/>
  </r>
  <r>
    <x v="13"/>
    <s v="PBIBB"/>
    <n v="111063"/>
    <s v="PBIBB"/>
    <n v="1214"/>
    <x v="4"/>
    <x v="875"/>
    <x v="15"/>
    <x v="0"/>
    <x v="54"/>
  </r>
  <r>
    <x v="13"/>
    <s v="BOSAR"/>
    <n v="111065"/>
    <s v="BOSAR"/>
    <n v="1215"/>
    <x v="4"/>
    <x v="876"/>
    <x v="15"/>
    <x v="0"/>
    <x v="76"/>
  </r>
  <r>
    <x v="13"/>
    <s v="NYCOT"/>
    <n v="111067"/>
    <s v="NYCOT"/>
    <n v="1216"/>
    <x v="4"/>
    <x v="877"/>
    <x v="15"/>
    <x v="0"/>
    <x v="106"/>
  </r>
  <r>
    <x v="13"/>
    <s v="ATLSS"/>
    <n v="111069"/>
    <s v="ATLSS"/>
    <n v="1217"/>
    <x v="4"/>
    <x v="878"/>
    <x v="15"/>
    <x v="0"/>
    <x v="43"/>
  </r>
  <r>
    <x v="13"/>
    <s v="PHLMM"/>
    <n v="111071"/>
    <s v="PHLMM"/>
    <n v="1218"/>
    <x v="4"/>
    <x v="879"/>
    <x v="15"/>
    <x v="0"/>
    <x v="16"/>
  </r>
  <r>
    <x v="13"/>
    <s v="PHLVO"/>
    <n v="111073"/>
    <s v="PHLVO"/>
    <n v="1219"/>
    <x v="4"/>
    <x v="880"/>
    <x v="15"/>
    <x v="0"/>
    <x v="14"/>
  </r>
  <r>
    <x v="13"/>
    <s v="RDUAY"/>
    <n v="111075"/>
    <s v="RDUAY"/>
    <n v="1220"/>
    <x v="4"/>
    <x v="881"/>
    <x v="15"/>
    <x v="0"/>
    <x v="30"/>
  </r>
  <r>
    <x v="13"/>
    <s v="ATLVG"/>
    <n v="111077"/>
    <s v="ATLVG"/>
    <n v="1221"/>
    <x v="4"/>
    <x v="882"/>
    <x v="15"/>
    <x v="0"/>
    <x v="163"/>
  </r>
  <r>
    <x v="13"/>
    <s v="EWRMY"/>
    <n v="111079"/>
    <s v="EWRMY"/>
    <n v="1222"/>
    <x v="4"/>
    <x v="883"/>
    <x v="15"/>
    <x v="0"/>
    <x v="59"/>
  </r>
  <r>
    <x v="13"/>
    <s v="PKBCB"/>
    <n v="111081"/>
    <s v="PKBCB"/>
    <n v="1223"/>
    <x v="4"/>
    <x v="884"/>
    <x v="15"/>
    <x v="0"/>
    <x v="17"/>
  </r>
  <r>
    <x v="13"/>
    <s v="PITFA"/>
    <n v="111083"/>
    <s v="PITFA"/>
    <n v="1224"/>
    <x v="4"/>
    <x v="885"/>
    <x v="15"/>
    <x v="0"/>
    <x v="19"/>
  </r>
  <r>
    <x v="13"/>
    <s v="NYCQN"/>
    <n v="111085"/>
    <s v="NYCQN"/>
    <n v="1225"/>
    <x v="4"/>
    <x v="886"/>
    <x v="15"/>
    <x v="0"/>
    <x v="54"/>
  </r>
  <r>
    <x v="13"/>
    <s v="LYHSB"/>
    <n v="111087"/>
    <s v="LYHSB"/>
    <n v="1226"/>
    <x v="4"/>
    <x v="887"/>
    <x v="15"/>
    <x v="0"/>
    <x v="27"/>
  </r>
  <r>
    <x v="13"/>
    <s v="EWRSD"/>
    <n v="111089"/>
    <s v="EWRSD"/>
    <n v="1227"/>
    <x v="4"/>
    <x v="888"/>
    <x v="15"/>
    <x v="0"/>
    <x v="47"/>
  </r>
  <r>
    <x v="13"/>
    <s v="MIADO"/>
    <n v="111091"/>
    <s v="MIADO"/>
    <n v="1229"/>
    <x v="4"/>
    <x v="889"/>
    <x v="15"/>
    <x v="0"/>
    <x v="83"/>
  </r>
  <r>
    <x v="13"/>
    <s v="EWRFM"/>
    <n v="111093"/>
    <s v="EWRFM"/>
    <n v="1230"/>
    <x v="4"/>
    <x v="890"/>
    <x v="15"/>
    <x v="0"/>
    <x v="45"/>
  </r>
  <r>
    <x v="13"/>
    <s v="NYCFM"/>
    <n v="111095"/>
    <s v="NYCFM"/>
    <n v="1231"/>
    <x v="4"/>
    <x v="891"/>
    <x v="15"/>
    <x v="0"/>
    <x v="26"/>
  </r>
  <r>
    <x v="13"/>
    <s v="YYZMD"/>
    <n v="111097"/>
    <s v="YYZMD"/>
    <n v="1232"/>
    <x v="4"/>
    <x v="892"/>
    <x v="15"/>
    <x v="0"/>
    <x v="6"/>
  </r>
  <r>
    <x v="13"/>
    <s v="NYCMA"/>
    <n v="111099"/>
    <s v="NYCMA"/>
    <n v="1233"/>
    <x v="4"/>
    <x v="893"/>
    <x v="15"/>
    <x v="0"/>
    <x v="165"/>
  </r>
  <r>
    <x v="13"/>
    <s v="NYCLM"/>
    <n v="111101"/>
    <s v="NYCLM"/>
    <n v="1234"/>
    <x v="4"/>
    <x v="894"/>
    <x v="15"/>
    <x v="0"/>
    <x v="137"/>
  </r>
  <r>
    <x v="13"/>
    <s v="MIAMS"/>
    <n v="111103"/>
    <s v="MIAMS"/>
    <n v="1235"/>
    <x v="4"/>
    <x v="895"/>
    <x v="15"/>
    <x v="0"/>
    <x v="24"/>
  </r>
  <r>
    <x v="13"/>
    <s v="PBIWI"/>
    <n v="111105"/>
    <s v="PBIWI"/>
    <n v="1236"/>
    <x v="4"/>
    <x v="896"/>
    <x v="15"/>
    <x v="0"/>
    <x v="94"/>
  </r>
  <r>
    <x v="13"/>
    <s v="NYCOM"/>
    <n v="111107"/>
    <s v="NYCOM"/>
    <n v="1237"/>
    <x v="4"/>
    <x v="897"/>
    <x v="15"/>
    <x v="0"/>
    <x v="166"/>
  </r>
  <r>
    <x v="13"/>
    <s v="MIAPT"/>
    <n v="111109"/>
    <s v="MIAPT"/>
    <n v="1238"/>
    <x v="4"/>
    <x v="898"/>
    <x v="15"/>
    <x v="0"/>
    <x v="66"/>
  </r>
  <r>
    <x v="13"/>
    <s v="PHLGF"/>
    <n v="111111"/>
    <s v="PHLGF"/>
    <n v="1239"/>
    <x v="4"/>
    <x v="899"/>
    <x v="15"/>
    <x v="0"/>
    <x v="21"/>
  </r>
  <r>
    <x v="13"/>
    <s v="PBICY"/>
    <n v="111113"/>
    <s v="PBICY"/>
    <n v="1240"/>
    <x v="4"/>
    <x v="900"/>
    <x v="15"/>
    <x v="0"/>
    <x v="79"/>
  </r>
  <r>
    <x v="13"/>
    <s v="BOSYW"/>
    <n v="111115"/>
    <s v="BOSYW"/>
    <n v="1241"/>
    <x v="4"/>
    <x v="901"/>
    <x v="15"/>
    <x v="0"/>
    <x v="94"/>
  </r>
  <r>
    <x v="13"/>
    <s v="NYCJJ"/>
    <n v="111117"/>
    <s v="NYCJJ"/>
    <n v="1242"/>
    <x v="4"/>
    <x v="902"/>
    <x v="15"/>
    <x v="0"/>
    <x v="167"/>
  </r>
  <r>
    <x v="13"/>
    <s v="YYZTM"/>
    <n v="111119"/>
    <s v="YYZTM"/>
    <n v="1243"/>
    <x v="4"/>
    <x v="903"/>
    <x v="15"/>
    <x v="0"/>
    <x v="81"/>
  </r>
  <r>
    <x v="13"/>
    <s v="EWRWN"/>
    <n v="111121"/>
    <s v="EWRWN"/>
    <n v="1244"/>
    <x v="4"/>
    <x v="904"/>
    <x v="15"/>
    <x v="0"/>
    <x v="42"/>
  </r>
  <r>
    <x v="13"/>
    <s v="BOSPY"/>
    <n v="111123"/>
    <s v="BOSPY"/>
    <n v="1245"/>
    <x v="4"/>
    <x v="905"/>
    <x v="15"/>
    <x v="0"/>
    <x v="118"/>
  </r>
  <r>
    <x v="13"/>
    <s v="MCOAB"/>
    <n v="111125"/>
    <s v="MCOAB"/>
    <n v="1246"/>
    <x v="4"/>
    <x v="906"/>
    <x v="15"/>
    <x v="0"/>
    <x v="89"/>
  </r>
  <r>
    <x v="13"/>
    <s v="SOSCY"/>
    <n v="111127"/>
    <s v="SOSCY"/>
    <n v="1247"/>
    <x v="4"/>
    <x v="907"/>
    <x v="15"/>
    <x v="0"/>
    <x v="162"/>
  </r>
  <r>
    <x v="13"/>
    <s v="EWRNB"/>
    <n v="111129"/>
    <s v="EWRNB"/>
    <n v="1248"/>
    <x v="4"/>
    <x v="908"/>
    <x v="15"/>
    <x v="0"/>
    <x v="47"/>
  </r>
  <r>
    <x v="13"/>
    <s v="PITAC"/>
    <n v="111131"/>
    <s v="PITAC"/>
    <n v="1249"/>
    <x v="4"/>
    <x v="909"/>
    <x v="15"/>
    <x v="0"/>
    <x v="49"/>
  </r>
  <r>
    <x v="13"/>
    <s v="SAVFH"/>
    <n v="111133"/>
    <s v="SAVFH"/>
    <n v="1250"/>
    <x v="4"/>
    <x v="910"/>
    <x v="15"/>
    <x v="0"/>
    <x v="9"/>
  </r>
  <r>
    <x v="13"/>
    <s v="PHLPT"/>
    <n v="111135"/>
    <s v="PHLPT"/>
    <n v="1251"/>
    <x v="4"/>
    <x v="911"/>
    <x v="15"/>
    <x v="0"/>
    <x v="30"/>
  </r>
  <r>
    <x v="13"/>
    <s v="NYCPS"/>
    <n v="111137"/>
    <s v="NYCPS"/>
    <n v="1252"/>
    <x v="4"/>
    <x v="912"/>
    <x v="15"/>
    <x v="0"/>
    <x v="157"/>
  </r>
  <r>
    <x v="13"/>
    <s v="PHLSX"/>
    <n v="111139"/>
    <s v="PHLSX"/>
    <n v="1253"/>
    <x v="4"/>
    <x v="913"/>
    <x v="15"/>
    <x v="0"/>
    <x v="68"/>
  </r>
  <r>
    <x v="13"/>
    <s v="PHLAV"/>
    <n v="111141"/>
    <s v="PHLAV"/>
    <n v="1254"/>
    <x v="4"/>
    <x v="914"/>
    <x v="15"/>
    <x v="0"/>
    <x v="168"/>
  </r>
  <r>
    <x v="13"/>
    <s v="ATLSG"/>
    <n v="111143"/>
    <s v="ATLSG"/>
    <n v="1255"/>
    <x v="4"/>
    <x v="915"/>
    <x v="15"/>
    <x v="0"/>
    <x v="135"/>
  </r>
  <r>
    <x v="13"/>
    <s v="PBIFP"/>
    <n v="111145"/>
    <s v="PBIFP"/>
    <n v="1256"/>
    <x v="4"/>
    <x v="916"/>
    <x v="15"/>
    <x v="0"/>
    <x v="66"/>
  </r>
  <r>
    <x v="13"/>
    <s v="NYCWF"/>
    <n v="111147"/>
    <s v="NYCWF"/>
    <n v="1257"/>
    <x v="4"/>
    <x v="917"/>
    <x v="15"/>
    <x v="0"/>
    <x v="169"/>
  </r>
  <r>
    <x v="13"/>
    <s v="MIAON"/>
    <n v="111149"/>
    <s v="MIAON"/>
    <n v="1258"/>
    <x v="4"/>
    <x v="918"/>
    <x v="15"/>
    <x v="0"/>
    <x v="22"/>
  </r>
  <r>
    <x v="13"/>
    <s v="BOSFW"/>
    <n v="111151"/>
    <s v="BOSFW"/>
    <n v="1259"/>
    <x v="4"/>
    <x v="919"/>
    <x v="15"/>
    <x v="0"/>
    <x v="68"/>
  </r>
  <r>
    <x v="13"/>
    <s v="MIALG"/>
    <n v="111153"/>
    <s v="MIALG"/>
    <n v="1260"/>
    <x v="4"/>
    <x v="920"/>
    <x v="15"/>
    <x v="0"/>
    <x v="76"/>
  </r>
  <r>
    <x v="13"/>
    <s v="ATLSD"/>
    <n v="111155"/>
    <s v="ATLSD"/>
    <n v="1261"/>
    <x v="4"/>
    <x v="921"/>
    <x v="15"/>
    <x v="0"/>
    <x v="147"/>
  </r>
  <r>
    <x v="13"/>
    <s v="HPNTR"/>
    <n v="111157"/>
    <s v="HPNTR"/>
    <n v="1262"/>
    <x v="4"/>
    <x v="922"/>
    <x v="15"/>
    <x v="0"/>
    <x v="117"/>
  </r>
  <r>
    <x v="13"/>
    <s v="BOSLA"/>
    <n v="111159"/>
    <s v="BOSLA"/>
    <n v="1263"/>
    <x v="4"/>
    <x v="923"/>
    <x v="15"/>
    <x v="0"/>
    <x v="170"/>
  </r>
  <r>
    <x v="13"/>
    <s v="PHLSM"/>
    <n v="111161"/>
    <s v="PHLSM"/>
    <n v="1264"/>
    <x v="4"/>
    <x v="924"/>
    <x v="15"/>
    <x v="0"/>
    <x v="104"/>
  </r>
  <r>
    <x v="13"/>
    <s v="ILGSS"/>
    <n v="111163"/>
    <s v="ILGSS"/>
    <n v="1265"/>
    <x v="4"/>
    <x v="925"/>
    <x v="15"/>
    <x v="0"/>
    <x v="1"/>
  </r>
  <r>
    <x v="13"/>
    <s v="MIAHS"/>
    <n v="111165"/>
    <s v="MIAHS"/>
    <n v="1266"/>
    <x v="4"/>
    <x v="926"/>
    <x v="15"/>
    <x v="0"/>
    <x v="47"/>
  </r>
  <r>
    <x v="13"/>
    <s v="UOXBV"/>
    <n v="111167"/>
    <s v="UOXBV"/>
    <n v="1293"/>
    <x v="4"/>
    <x v="927"/>
    <x v="15"/>
    <x v="0"/>
    <x v="55"/>
  </r>
  <r>
    <x v="13"/>
    <s v="MSNSH"/>
    <n v="111169"/>
    <s v="MSNSH"/>
    <n v="1298"/>
    <x v="4"/>
    <x v="928"/>
    <x v="15"/>
    <x v="0"/>
    <x v="26"/>
  </r>
  <r>
    <x v="13"/>
    <s v="MSPCD"/>
    <n v="111171"/>
    <s v="MSPCD"/>
    <n v="1322"/>
    <x v="4"/>
    <x v="929"/>
    <x v="15"/>
    <x v="0"/>
    <x v="22"/>
  </r>
  <r>
    <x v="13"/>
    <s v="SUXCY"/>
    <n v="111173"/>
    <s v="SUXCY"/>
    <n v="1341"/>
    <x v="4"/>
    <x v="930"/>
    <x v="15"/>
    <x v="0"/>
    <x v="76"/>
  </r>
  <r>
    <x v="13"/>
    <s v="MSPAP"/>
    <n v="111175"/>
    <s v="MSPAP"/>
    <n v="1342"/>
    <x v="4"/>
    <x v="931"/>
    <x v="15"/>
    <x v="0"/>
    <x v="38"/>
  </r>
  <r>
    <x v="13"/>
    <s v="TUPFI"/>
    <n v="111177"/>
    <s v="TUPFI"/>
    <n v="1354"/>
    <x v="4"/>
    <x v="932"/>
    <x v="15"/>
    <x v="0"/>
    <x v="12"/>
  </r>
  <r>
    <x v="13"/>
    <s v="MSPBL"/>
    <n v="111179"/>
    <s v="MSPBL"/>
    <n v="1359"/>
    <x v="4"/>
    <x v="933"/>
    <x v="15"/>
    <x v="0"/>
    <x v="41"/>
  </r>
  <r>
    <x v="13"/>
    <s v="MSNWD"/>
    <n v="111181"/>
    <s v="MSNWD"/>
    <n v="1364"/>
    <x v="4"/>
    <x v="934"/>
    <x v="15"/>
    <x v="0"/>
    <x v="40"/>
  </r>
  <r>
    <x v="13"/>
    <s v="PHLGB"/>
    <n v="210001"/>
    <s v="PHLGB"/>
    <n v="1189"/>
    <x v="5"/>
    <x v="935"/>
    <x v="15"/>
    <x v="0"/>
    <x v="41"/>
  </r>
  <r>
    <x v="13"/>
    <s v="TRXFI"/>
    <n v="210003"/>
    <s v="TRXFI"/>
    <n v="1267"/>
    <x v="5"/>
    <x v="936"/>
    <x v="15"/>
    <x v="0"/>
    <x v="39"/>
  </r>
  <r>
    <x v="13"/>
    <s v="TULCR"/>
    <n v="210005"/>
    <s v="TULCR"/>
    <n v="1268"/>
    <x v="5"/>
    <x v="937"/>
    <x v="15"/>
    <x v="0"/>
    <x v="17"/>
  </r>
  <r>
    <x v="13"/>
    <s v="HOUFR"/>
    <n v="210007"/>
    <s v="HOUFR"/>
    <n v="1269"/>
    <x v="5"/>
    <x v="938"/>
    <x v="15"/>
    <x v="0"/>
    <x v="48"/>
  </r>
  <r>
    <x v="13"/>
    <s v="SATSW"/>
    <n v="210009"/>
    <s v="SATSW"/>
    <n v="1270"/>
    <x v="5"/>
    <x v="939"/>
    <x v="15"/>
    <x v="0"/>
    <x v="67"/>
  </r>
  <r>
    <x v="13"/>
    <s v="DALFK"/>
    <n v="210011"/>
    <s v="DALFK"/>
    <n v="1271"/>
    <x v="5"/>
    <x v="940"/>
    <x v="15"/>
    <x v="0"/>
    <x v="40"/>
  </r>
  <r>
    <x v="13"/>
    <s v="MWAFI"/>
    <n v="210013"/>
    <s v="MWAFI"/>
    <n v="1272"/>
    <x v="5"/>
    <x v="941"/>
    <x v="15"/>
    <x v="0"/>
    <x v="5"/>
  </r>
  <r>
    <x v="13"/>
    <s v="VCTCY"/>
    <n v="210015"/>
    <s v="VCTCY"/>
    <n v="1273"/>
    <x v="5"/>
    <x v="942"/>
    <x v="15"/>
    <x v="0"/>
    <x v="31"/>
  </r>
  <r>
    <x v="13"/>
    <s v="SPISH"/>
    <n v="210017"/>
    <s v="SPISH"/>
    <n v="1274"/>
    <x v="5"/>
    <x v="943"/>
    <x v="15"/>
    <x v="0"/>
    <x v="48"/>
  </r>
  <r>
    <x v="13"/>
    <s v="HOUYP"/>
    <n v="210019"/>
    <s v="HOUYP"/>
    <n v="1275"/>
    <x v="5"/>
    <x v="944"/>
    <x v="15"/>
    <x v="0"/>
    <x v="16"/>
  </r>
  <r>
    <x v="13"/>
    <s v="OKCDC"/>
    <n v="210021"/>
    <s v="OKCDC"/>
    <n v="1276"/>
    <x v="5"/>
    <x v="945"/>
    <x v="15"/>
    <x v="0"/>
    <x v="11"/>
  </r>
  <r>
    <x v="13"/>
    <s v="MCISO"/>
    <n v="210023"/>
    <s v="MCISO"/>
    <n v="1277"/>
    <x v="5"/>
    <x v="946"/>
    <x v="15"/>
    <x v="0"/>
    <x v="71"/>
  </r>
  <r>
    <x v="13"/>
    <s v="DALMC"/>
    <n v="210025"/>
    <s v="DALMC"/>
    <n v="1278"/>
    <x v="5"/>
    <x v="947"/>
    <x v="15"/>
    <x v="0"/>
    <x v="62"/>
  </r>
  <r>
    <x v="13"/>
    <s v="DALXC"/>
    <n v="210027"/>
    <s v="DALXC"/>
    <n v="1279"/>
    <x v="5"/>
    <x v="948"/>
    <x v="15"/>
    <x v="0"/>
    <x v="1"/>
  </r>
  <r>
    <x v="13"/>
    <s v="HOUHK"/>
    <n v="210029"/>
    <s v="HOUHK"/>
    <n v="1280"/>
    <x v="5"/>
    <x v="949"/>
    <x v="15"/>
    <x v="0"/>
    <x v="9"/>
  </r>
  <r>
    <x v="13"/>
    <s v="TULWE"/>
    <n v="210031"/>
    <s v="TULWE"/>
    <n v="1281"/>
    <x v="5"/>
    <x v="950"/>
    <x v="15"/>
    <x v="0"/>
    <x v="32"/>
  </r>
  <r>
    <x v="13"/>
    <s v="HOUBS"/>
    <n v="210033"/>
    <s v="HOUBS"/>
    <n v="1282"/>
    <x v="5"/>
    <x v="951"/>
    <x v="15"/>
    <x v="0"/>
    <x v="47"/>
  </r>
  <r>
    <x v="13"/>
    <s v="MCISM"/>
    <n v="210035"/>
    <s v="MCISM"/>
    <n v="1283"/>
    <x v="5"/>
    <x v="952"/>
    <x v="15"/>
    <x v="0"/>
    <x v="18"/>
  </r>
  <r>
    <x v="13"/>
    <s v="DALFE"/>
    <n v="210037"/>
    <s v="DALFE"/>
    <n v="1284"/>
    <x v="5"/>
    <x v="953"/>
    <x v="15"/>
    <x v="0"/>
    <x v="20"/>
  </r>
  <r>
    <x v="13"/>
    <s v="DFWSU"/>
    <n v="210039"/>
    <s v="DFWSU"/>
    <n v="1285"/>
    <x v="5"/>
    <x v="954"/>
    <x v="15"/>
    <x v="0"/>
    <x v="51"/>
  </r>
  <r>
    <x v="13"/>
    <s v="HOUCO"/>
    <n v="210041"/>
    <s v="HOUCO"/>
    <n v="1286"/>
    <x v="5"/>
    <x v="955"/>
    <x v="15"/>
    <x v="0"/>
    <x v="25"/>
  </r>
  <r>
    <x v="13"/>
    <s v="MCILS"/>
    <n v="210043"/>
    <s v="MCILS"/>
    <n v="1287"/>
    <x v="5"/>
    <x v="956"/>
    <x v="15"/>
    <x v="0"/>
    <x v="171"/>
  </r>
  <r>
    <x v="13"/>
    <s v="DALNW"/>
    <n v="210045"/>
    <s v="DALNW"/>
    <n v="1288"/>
    <x v="5"/>
    <x v="957"/>
    <x v="15"/>
    <x v="0"/>
    <x v="59"/>
  </r>
  <r>
    <x v="13"/>
    <s v="DALRW"/>
    <n v="210047"/>
    <s v="DALRW"/>
    <n v="1289"/>
    <x v="5"/>
    <x v="958"/>
    <x v="15"/>
    <x v="0"/>
    <x v="40"/>
  </r>
  <r>
    <x v="13"/>
    <s v="DALIV"/>
    <n v="210049"/>
    <s v="DALIV"/>
    <n v="1290"/>
    <x v="5"/>
    <x v="959"/>
    <x v="15"/>
    <x v="0"/>
    <x v="56"/>
  </r>
  <r>
    <x v="13"/>
    <s v="DALPH"/>
    <n v="210051"/>
    <s v="DALPH"/>
    <n v="1291"/>
    <x v="5"/>
    <x v="960"/>
    <x v="15"/>
    <x v="0"/>
    <x v="1"/>
  </r>
  <r>
    <x v="13"/>
    <s v="TULFC"/>
    <n v="210053"/>
    <s v="TULFC"/>
    <n v="1292"/>
    <x v="5"/>
    <x v="961"/>
    <x v="15"/>
    <x v="0"/>
    <x v="92"/>
  </r>
  <r>
    <x v="13"/>
    <s v="DALFD"/>
    <n v="210055"/>
    <s v="DALFD"/>
    <n v="1294"/>
    <x v="5"/>
    <x v="962"/>
    <x v="15"/>
    <x v="0"/>
    <x v="11"/>
  </r>
  <r>
    <x v="13"/>
    <s v="MCISS"/>
    <n v="210057"/>
    <s v="MCISS"/>
    <n v="1295"/>
    <x v="5"/>
    <x v="963"/>
    <x v="15"/>
    <x v="0"/>
    <x v="16"/>
  </r>
  <r>
    <x v="13"/>
    <s v="HOUCN"/>
    <n v="210059"/>
    <s v="HOUCN"/>
    <n v="1296"/>
    <x v="5"/>
    <x v="964"/>
    <x v="15"/>
    <x v="0"/>
    <x v="24"/>
  </r>
  <r>
    <x v="13"/>
    <s v="HOUTW"/>
    <n v="210061"/>
    <s v="HOUTW"/>
    <n v="1297"/>
    <x v="5"/>
    <x v="965"/>
    <x v="15"/>
    <x v="0"/>
    <x v="23"/>
  </r>
  <r>
    <x v="13"/>
    <s v="DALAN"/>
    <n v="210063"/>
    <s v="DALAN"/>
    <n v="1299"/>
    <x v="5"/>
    <x v="966"/>
    <x v="15"/>
    <x v="0"/>
    <x v="172"/>
  </r>
  <r>
    <x v="13"/>
    <s v="SATCW"/>
    <n v="210065"/>
    <s v="SATCW"/>
    <n v="1300"/>
    <x v="5"/>
    <x v="967"/>
    <x v="15"/>
    <x v="0"/>
    <x v="116"/>
  </r>
  <r>
    <x v="13"/>
    <s v="DFWAC"/>
    <n v="210067"/>
    <s v="DFWAC"/>
    <n v="1301"/>
    <x v="5"/>
    <x v="968"/>
    <x v="15"/>
    <x v="0"/>
    <x v="173"/>
  </r>
  <r>
    <x v="13"/>
    <s v="HOUFM"/>
    <n v="210069"/>
    <s v="HOUFM"/>
    <n v="1302"/>
    <x v="5"/>
    <x v="969"/>
    <x v="15"/>
    <x v="0"/>
    <x v="34"/>
  </r>
  <r>
    <x v="13"/>
    <s v="HOUFE"/>
    <n v="210071"/>
    <s v="HOUFE"/>
    <n v="1303"/>
    <x v="5"/>
    <x v="970"/>
    <x v="15"/>
    <x v="0"/>
    <x v="74"/>
  </r>
  <r>
    <x v="13"/>
    <s v="DFWSH"/>
    <n v="210073"/>
    <s v="DFWSH"/>
    <n v="1304"/>
    <x v="5"/>
    <x v="971"/>
    <x v="15"/>
    <x v="0"/>
    <x v="60"/>
  </r>
  <r>
    <x v="13"/>
    <s v="DALMO"/>
    <n v="210075"/>
    <s v="DALMO"/>
    <n v="1305"/>
    <x v="5"/>
    <x v="972"/>
    <x v="15"/>
    <x v="0"/>
    <x v="59"/>
  </r>
  <r>
    <x v="13"/>
    <s v="DFWCY"/>
    <n v="210077"/>
    <s v="DFWCY"/>
    <n v="1306"/>
    <x v="5"/>
    <x v="973"/>
    <x v="15"/>
    <x v="0"/>
    <x v="36"/>
  </r>
  <r>
    <x v="13"/>
    <s v="IAHFW"/>
    <n v="210079"/>
    <s v="IAHFW"/>
    <n v="1307"/>
    <x v="5"/>
    <x v="974"/>
    <x v="15"/>
    <x v="0"/>
    <x v="78"/>
  </r>
  <r>
    <x v="13"/>
    <s v="PNCSH"/>
    <n v="210081"/>
    <s v="PNCSH"/>
    <n v="1308"/>
    <x v="5"/>
    <x v="975"/>
    <x v="15"/>
    <x v="0"/>
    <x v="10"/>
  </r>
  <r>
    <x v="13"/>
    <s v="DFWNO"/>
    <n v="210083"/>
    <s v="DFWNO"/>
    <n v="1309"/>
    <x v="5"/>
    <x v="976"/>
    <x v="15"/>
    <x v="0"/>
    <x v="12"/>
  </r>
  <r>
    <x v="13"/>
    <s v="WCOSW"/>
    <n v="210085"/>
    <s v="WCOSW"/>
    <n v="1310"/>
    <x v="5"/>
    <x v="977"/>
    <x v="15"/>
    <x v="0"/>
    <x v="68"/>
  </r>
  <r>
    <x v="13"/>
    <s v="DALDF"/>
    <n v="210087"/>
    <s v="DALDF"/>
    <n v="1311"/>
    <x v="5"/>
    <x v="978"/>
    <x v="15"/>
    <x v="0"/>
    <x v="52"/>
  </r>
  <r>
    <x v="13"/>
    <s v="DALFN"/>
    <n v="210089"/>
    <s v="DALFN"/>
    <n v="1312"/>
    <x v="5"/>
    <x v="979"/>
    <x v="15"/>
    <x v="0"/>
    <x v="31"/>
  </r>
  <r>
    <x v="13"/>
    <s v="STLXC"/>
    <n v="210091"/>
    <s v="STLXC"/>
    <n v="1313"/>
    <x v="5"/>
    <x v="980"/>
    <x v="15"/>
    <x v="0"/>
    <x v="24"/>
  </r>
  <r>
    <x v="13"/>
    <s v="HOURP"/>
    <n v="210093"/>
    <s v="HOURP"/>
    <n v="1314"/>
    <x v="5"/>
    <x v="981"/>
    <x v="15"/>
    <x v="0"/>
    <x v="136"/>
  </r>
  <r>
    <x v="13"/>
    <s v="DALSS"/>
    <n v="210095"/>
    <s v="DALSS"/>
    <n v="1315"/>
    <x v="5"/>
    <x v="982"/>
    <x v="15"/>
    <x v="0"/>
    <x v="13"/>
  </r>
  <r>
    <x v="13"/>
    <s v="DALEF"/>
    <n v="210097"/>
    <s v="DALEF"/>
    <n v="1316"/>
    <x v="5"/>
    <x v="983"/>
    <x v="15"/>
    <x v="0"/>
    <x v="94"/>
  </r>
  <r>
    <x v="13"/>
    <s v="STLFD"/>
    <n v="210099"/>
    <s v="STLFD"/>
    <n v="1317"/>
    <x v="5"/>
    <x v="984"/>
    <x v="15"/>
    <x v="0"/>
    <x v="74"/>
  </r>
  <r>
    <x v="13"/>
    <s v="HOUCR"/>
    <n v="210101"/>
    <s v="HOUCR"/>
    <n v="1318"/>
    <x v="5"/>
    <x v="985"/>
    <x v="15"/>
    <x v="0"/>
    <x v="60"/>
  </r>
  <r>
    <x v="13"/>
    <s v="DALSF"/>
    <n v="210103"/>
    <s v="DALSF"/>
    <n v="1319"/>
    <x v="5"/>
    <x v="986"/>
    <x v="15"/>
    <x v="0"/>
    <x v="86"/>
  </r>
  <r>
    <x v="13"/>
    <s v="DALWE"/>
    <n v="210105"/>
    <s v="DALWE"/>
    <n v="1320"/>
    <x v="5"/>
    <x v="987"/>
    <x v="15"/>
    <x v="0"/>
    <x v="52"/>
  </r>
  <r>
    <x v="13"/>
    <s v="HOUCF"/>
    <n v="210107"/>
    <s v="HOUCF"/>
    <n v="1321"/>
    <x v="5"/>
    <x v="988"/>
    <x v="15"/>
    <x v="0"/>
    <x v="104"/>
  </r>
  <r>
    <x v="13"/>
    <s v="MCIUN"/>
    <n v="210109"/>
    <s v="MCIUN"/>
    <n v="1323"/>
    <x v="5"/>
    <x v="989"/>
    <x v="15"/>
    <x v="0"/>
    <x v="0"/>
  </r>
  <r>
    <x v="13"/>
    <s v="CRPRP"/>
    <n v="210111"/>
    <s v="CRPRP"/>
    <n v="1324"/>
    <x v="5"/>
    <x v="990"/>
    <x v="15"/>
    <x v="0"/>
    <x v="12"/>
  </r>
  <r>
    <x v="13"/>
    <s v="HOUOX"/>
    <n v="210113"/>
    <s v="HOUOX"/>
    <n v="1325"/>
    <x v="5"/>
    <x v="991"/>
    <x v="15"/>
    <x v="0"/>
    <x v="38"/>
  </r>
  <r>
    <x v="13"/>
    <s v="SATDW"/>
    <n v="210115"/>
    <s v="SATDW"/>
    <n v="1326"/>
    <x v="5"/>
    <x v="992"/>
    <x v="15"/>
    <x v="0"/>
    <x v="17"/>
  </r>
  <r>
    <x v="13"/>
    <s v="SATDS"/>
    <n v="210115"/>
    <s v="SATDS"/>
    <n v="1363"/>
    <x v="5"/>
    <x v="993"/>
    <x v="15"/>
    <x v="0"/>
    <x v="38"/>
  </r>
  <r>
    <x v="13"/>
    <s v="HOURB"/>
    <n v="210117"/>
    <s v="HOURB"/>
    <n v="1327"/>
    <x v="5"/>
    <x v="994"/>
    <x v="15"/>
    <x v="0"/>
    <x v="38"/>
  </r>
  <r>
    <x v="13"/>
    <s v="DALCG"/>
    <n v="210119"/>
    <s v="DALCG"/>
    <n v="1328"/>
    <x v="5"/>
    <x v="995"/>
    <x v="15"/>
    <x v="0"/>
    <x v="22"/>
  </r>
  <r>
    <x v="13"/>
    <s v="DFWMS"/>
    <n v="210121"/>
    <s v="DFWMS"/>
    <n v="1329"/>
    <x v="5"/>
    <x v="996"/>
    <x v="15"/>
    <x v="0"/>
    <x v="174"/>
  </r>
  <r>
    <x v="13"/>
    <s v="HOUSS"/>
    <n v="210123"/>
    <s v="HOUSS"/>
    <n v="1330"/>
    <x v="5"/>
    <x v="997"/>
    <x v="15"/>
    <x v="0"/>
    <x v="49"/>
  </r>
  <r>
    <x v="13"/>
    <s v="DALCH"/>
    <n v="210125"/>
    <s v="DALCH"/>
    <n v="1331"/>
    <x v="5"/>
    <x v="998"/>
    <x v="15"/>
    <x v="0"/>
    <x v="91"/>
  </r>
  <r>
    <x v="13"/>
    <s v="DALGV"/>
    <n v="210127"/>
    <s v="DALGV"/>
    <n v="1332"/>
    <x v="5"/>
    <x v="999"/>
    <x v="15"/>
    <x v="0"/>
    <x v="29"/>
  </r>
  <r>
    <x v="13"/>
    <s v="HOUMD"/>
    <n v="210129"/>
    <s v="HOUMD"/>
    <n v="1333"/>
    <x v="5"/>
    <x v="1000"/>
    <x v="15"/>
    <x v="0"/>
    <x v="175"/>
  </r>
  <r>
    <x v="13"/>
    <s v="MCIMT"/>
    <n v="210131"/>
    <s v="MCIMT"/>
    <n v="1334"/>
    <x v="5"/>
    <x v="1001"/>
    <x v="15"/>
    <x v="0"/>
    <x v="13"/>
  </r>
  <r>
    <x v="13"/>
    <s v="DALTE"/>
    <n v="210133"/>
    <s v="DALTE"/>
    <n v="1335"/>
    <x v="5"/>
    <x v="1002"/>
    <x v="15"/>
    <x v="0"/>
    <x v="43"/>
  </r>
  <r>
    <x v="13"/>
    <s v="MTOEF"/>
    <n v="210135"/>
    <s v="MTOEF"/>
    <n v="1336"/>
    <x v="5"/>
    <x v="1003"/>
    <x v="15"/>
    <x v="0"/>
    <x v="176"/>
  </r>
  <r>
    <x v="13"/>
    <s v="MCICO"/>
    <n v="210137"/>
    <s v="MCICO"/>
    <n v="1337"/>
    <x v="5"/>
    <x v="1004"/>
    <x v="15"/>
    <x v="0"/>
    <x v="119"/>
  </r>
  <r>
    <x v="13"/>
    <s v="WCTNW"/>
    <n v="210139"/>
    <s v="WCTNW"/>
    <n v="1338"/>
    <x v="5"/>
    <x v="1005"/>
    <x v="15"/>
    <x v="0"/>
    <x v="5"/>
  </r>
  <r>
    <x v="13"/>
    <s v="DALFC"/>
    <n v="210141"/>
    <s v="DALFC"/>
    <n v="1339"/>
    <x v="5"/>
    <x v="1006"/>
    <x v="15"/>
    <x v="0"/>
    <x v="26"/>
  </r>
  <r>
    <x v="13"/>
    <s v="MCISN"/>
    <n v="210143"/>
    <s v="MCISN"/>
    <n v="1340"/>
    <x v="5"/>
    <x v="1007"/>
    <x v="15"/>
    <x v="0"/>
    <x v="79"/>
  </r>
  <r>
    <x v="13"/>
    <s v="DFWOS"/>
    <n v="210145"/>
    <s v="DFWOS"/>
    <n v="1343"/>
    <x v="5"/>
    <x v="1008"/>
    <x v="15"/>
    <x v="0"/>
    <x v="13"/>
  </r>
  <r>
    <x v="13"/>
    <s v="HOUSH"/>
    <n v="210147"/>
    <s v="HOUSH"/>
    <n v="1344"/>
    <x v="5"/>
    <x v="1009"/>
    <x v="15"/>
    <x v="0"/>
    <x v="48"/>
  </r>
  <r>
    <x v="13"/>
    <s v="MCIXA"/>
    <n v="210149"/>
    <s v="MCIXA"/>
    <n v="1345"/>
    <x v="5"/>
    <x v="1010"/>
    <x v="15"/>
    <x v="0"/>
    <x v="74"/>
  </r>
  <r>
    <x v="13"/>
    <s v="DALSX"/>
    <n v="210151"/>
    <s v="DALSX"/>
    <n v="1346"/>
    <x v="5"/>
    <x v="1011"/>
    <x v="15"/>
    <x v="0"/>
    <x v="71"/>
  </r>
  <r>
    <x v="13"/>
    <s v="DFWFI"/>
    <n v="210153"/>
    <s v="DFWFI"/>
    <n v="1347"/>
    <x v="5"/>
    <x v="1012"/>
    <x v="15"/>
    <x v="0"/>
    <x v="10"/>
  </r>
  <r>
    <x v="13"/>
    <s v="DFWFD"/>
    <n v="210155"/>
    <s v="DFWFD"/>
    <n v="1348"/>
    <x v="5"/>
    <x v="1013"/>
    <x v="15"/>
    <x v="0"/>
    <x v="22"/>
  </r>
  <r>
    <x v="13"/>
    <s v="MCIKW"/>
    <n v="210157"/>
    <s v="MCIKW"/>
    <n v="1349"/>
    <x v="5"/>
    <x v="1014"/>
    <x v="15"/>
    <x v="0"/>
    <x v="39"/>
  </r>
  <r>
    <x v="13"/>
    <s v="DFWBU"/>
    <n v="210159"/>
    <s v="DFWBU"/>
    <n v="1350"/>
    <x v="5"/>
    <x v="1015"/>
    <x v="15"/>
    <x v="0"/>
    <x v="43"/>
  </r>
  <r>
    <x v="13"/>
    <s v="MCINR"/>
    <n v="210161"/>
    <s v="MCINR"/>
    <n v="1351"/>
    <x v="5"/>
    <x v="1016"/>
    <x v="15"/>
    <x v="0"/>
    <x v="67"/>
  </r>
  <r>
    <x v="13"/>
    <s v="DFWSD"/>
    <n v="210163"/>
    <s v="DFWSD"/>
    <n v="1352"/>
    <x v="5"/>
    <x v="1017"/>
    <x v="15"/>
    <x v="0"/>
    <x v="41"/>
  </r>
  <r>
    <x v="13"/>
    <s v="DFWDE"/>
    <n v="210165"/>
    <s v="DFWDE"/>
    <n v="1353"/>
    <x v="5"/>
    <x v="1018"/>
    <x v="15"/>
    <x v="0"/>
    <x v="9"/>
  </r>
  <r>
    <x v="13"/>
    <s v="HOUSE"/>
    <n v="210167"/>
    <s v="HOUSE"/>
    <n v="1355"/>
    <x v="5"/>
    <x v="1019"/>
    <x v="15"/>
    <x v="0"/>
    <x v="86"/>
  </r>
  <r>
    <x v="13"/>
    <s v="HOUNA"/>
    <n v="210169"/>
    <s v="HOUNA"/>
    <n v="1356"/>
    <x v="5"/>
    <x v="1020"/>
    <x v="15"/>
    <x v="0"/>
    <x v="48"/>
  </r>
  <r>
    <x v="13"/>
    <s v="DFWFR"/>
    <n v="210171"/>
    <s v="DFWFR"/>
    <n v="1357"/>
    <x v="5"/>
    <x v="1021"/>
    <x v="15"/>
    <x v="0"/>
    <x v="98"/>
  </r>
  <r>
    <x v="13"/>
    <s v="PNCFI"/>
    <n v="210173"/>
    <s v="PNCFI"/>
    <n v="1358"/>
    <x v="5"/>
    <x v="1022"/>
    <x v="15"/>
    <x v="0"/>
    <x v="125"/>
  </r>
  <r>
    <x v="13"/>
    <s v="MCIFE"/>
    <n v="210175"/>
    <s v="MCIFE"/>
    <n v="1360"/>
    <x v="5"/>
    <x v="1023"/>
    <x v="15"/>
    <x v="0"/>
    <x v="43"/>
  </r>
  <r>
    <x v="13"/>
    <s v="DFWFN"/>
    <n v="210177"/>
    <s v="DFWFN"/>
    <n v="1361"/>
    <x v="5"/>
    <x v="1024"/>
    <x v="15"/>
    <x v="0"/>
    <x v="31"/>
  </r>
  <r>
    <x v="13"/>
    <s v="HOUFX"/>
    <n v="210179"/>
    <s v="HOUFX"/>
    <n v="1362"/>
    <x v="5"/>
    <x v="1025"/>
    <x v="15"/>
    <x v="0"/>
    <x v="20"/>
  </r>
  <r>
    <x v="13"/>
    <s v="LGVCY"/>
    <n v="210181"/>
    <s v="LGVCY"/>
    <n v="1365"/>
    <x v="5"/>
    <x v="1026"/>
    <x v="15"/>
    <x v="0"/>
    <x v="19"/>
  </r>
  <r>
    <x v="13"/>
    <s v="MCIFL"/>
    <n v="210183"/>
    <s v="MCIFL"/>
    <n v="1366"/>
    <x v="5"/>
    <x v="1027"/>
    <x v="15"/>
    <x v="0"/>
    <x v="86"/>
  </r>
  <r>
    <x v="13"/>
    <s v="DALFA"/>
    <n v="210185"/>
    <s v="DALFA"/>
    <n v="1367"/>
    <x v="5"/>
    <x v="1028"/>
    <x v="15"/>
    <x v="0"/>
    <x v="77"/>
  </r>
  <r>
    <x v="13"/>
    <s v="ELPFI"/>
    <n v="210187"/>
    <s v="ELPFI"/>
    <n v="1368"/>
    <x v="5"/>
    <x v="1029"/>
    <x v="15"/>
    <x v="0"/>
    <x v="26"/>
  </r>
  <r>
    <x v="13"/>
    <s v="YYCAD"/>
    <n v="210189"/>
    <s v="YYCAD"/>
    <n v="1369"/>
    <x v="5"/>
    <x v="1030"/>
    <x v="15"/>
    <x v="0"/>
    <x v="78"/>
  </r>
  <r>
    <x v="13"/>
    <s v="LRUCY"/>
    <n v="210191"/>
    <s v="LRUCY"/>
    <n v="1370"/>
    <x v="5"/>
    <x v="1031"/>
    <x v="15"/>
    <x v="0"/>
    <x v="3"/>
  </r>
  <r>
    <x v="13"/>
    <s v="SAFCY"/>
    <n v="210193"/>
    <s v="SAFCY"/>
    <n v="1371"/>
    <x v="5"/>
    <x v="1032"/>
    <x v="15"/>
    <x v="0"/>
    <x v="177"/>
  </r>
  <r>
    <x v="13"/>
    <s v="ABQFN"/>
    <n v="210195"/>
    <s v="ABQFN"/>
    <n v="1372"/>
    <x v="5"/>
    <x v="1033"/>
    <x v="15"/>
    <x v="0"/>
    <x v="5"/>
  </r>
  <r>
    <x v="13"/>
    <s v="SLCJO"/>
    <n v="210197"/>
    <s v="SLCJO"/>
    <n v="1373"/>
    <x v="5"/>
    <x v="1034"/>
    <x v="15"/>
    <x v="0"/>
    <x v="29"/>
  </r>
  <r>
    <x v="13"/>
    <s v="TUSAD"/>
    <n v="210199"/>
    <s v="TUSAD"/>
    <n v="1374"/>
    <x v="5"/>
    <x v="1035"/>
    <x v="15"/>
    <x v="0"/>
    <x v="74"/>
  </r>
  <r>
    <x v="13"/>
    <s v="ALSFI"/>
    <n v="210201"/>
    <s v="ALSFI"/>
    <n v="1375"/>
    <x v="5"/>
    <x v="1036"/>
    <x v="15"/>
    <x v="0"/>
    <x v="110"/>
  </r>
  <r>
    <x v="13"/>
    <s v="VBOFI"/>
    <n v="210203"/>
    <s v="VBOFI"/>
    <n v="1376"/>
    <x v="5"/>
    <x v="1037"/>
    <x v="15"/>
    <x v="0"/>
    <x v="26"/>
  </r>
  <r>
    <x v="13"/>
    <s v="PUBCY"/>
    <n v="210205"/>
    <s v="PUBCY"/>
    <n v="1377"/>
    <x v="5"/>
    <x v="1038"/>
    <x v="15"/>
    <x v="0"/>
    <x v="120"/>
  </r>
  <r>
    <x v="13"/>
    <s v="COSCS"/>
    <n v="210207"/>
    <s v="COSCS"/>
    <n v="1378"/>
    <x v="5"/>
    <x v="1039"/>
    <x v="15"/>
    <x v="0"/>
    <x v="18"/>
  </r>
  <r>
    <x v="13"/>
    <s v="RWLFI"/>
    <n v="210209"/>
    <s v="RWLFI"/>
    <n v="1379"/>
    <x v="5"/>
    <x v="1040"/>
    <x v="15"/>
    <x v="0"/>
    <x v="55"/>
  </r>
  <r>
    <x v="13"/>
    <s v="PHXAS"/>
    <n v="210211"/>
    <s v="PHXAS"/>
    <n v="1380"/>
    <x v="5"/>
    <x v="1041"/>
    <x v="15"/>
    <x v="0"/>
    <x v="37"/>
  </r>
  <r>
    <x v="13"/>
    <s v="ABQFA"/>
    <n v="210213"/>
    <s v="ABQFA"/>
    <n v="1381"/>
    <x v="5"/>
    <x v="1042"/>
    <x v="15"/>
    <x v="0"/>
    <x v="38"/>
  </r>
  <r>
    <x v="13"/>
    <s v="PRCSH"/>
    <n v="210215"/>
    <s v="PRCSH"/>
    <n v="1382"/>
    <x v="5"/>
    <x v="1043"/>
    <x v="15"/>
    <x v="0"/>
    <x v="40"/>
  </r>
  <r>
    <x v="13"/>
    <s v="DROFI"/>
    <n v="210217"/>
    <s v="DROFI"/>
    <n v="1383"/>
    <x v="5"/>
    <x v="1044"/>
    <x v="15"/>
    <x v="0"/>
    <x v="10"/>
  </r>
  <r>
    <x v="13"/>
    <s v="LAXCW"/>
    <n v="210219"/>
    <s v="LAXCW"/>
    <n v="1384"/>
    <x v="5"/>
    <x v="1045"/>
    <x v="15"/>
    <x v="0"/>
    <x v="42"/>
  </r>
  <r>
    <x v="13"/>
    <s v="SEADA"/>
    <n v="210221"/>
    <s v="SEADA"/>
    <n v="1385"/>
    <x v="5"/>
    <x v="1046"/>
    <x v="15"/>
    <x v="0"/>
    <x v="28"/>
  </r>
  <r>
    <x v="13"/>
    <s v="SEAXS"/>
    <n v="210223"/>
    <s v="SEAXS"/>
    <n v="1386"/>
    <x v="5"/>
    <x v="1047"/>
    <x v="15"/>
    <x v="0"/>
    <x v="117"/>
  </r>
  <r>
    <x v="13"/>
    <s v="FATHF"/>
    <n v="210225"/>
    <s v="FATHF"/>
    <n v="1387"/>
    <x v="5"/>
    <x v="1048"/>
    <x v="15"/>
    <x v="0"/>
    <x v="43"/>
  </r>
  <r>
    <x v="13"/>
    <s v="SNAAD"/>
    <n v="210227"/>
    <s v="SNAAD"/>
    <n v="1388"/>
    <x v="5"/>
    <x v="1049"/>
    <x v="15"/>
    <x v="0"/>
    <x v="84"/>
  </r>
  <r>
    <x v="13"/>
    <s v="LGBCL"/>
    <n v="210229"/>
    <s v="LGBCL"/>
    <n v="1389"/>
    <x v="5"/>
    <x v="1050"/>
    <x v="15"/>
    <x v="0"/>
    <x v="163"/>
  </r>
  <r>
    <x v="13"/>
    <s v="SEADT"/>
    <n v="210231"/>
    <s v="SEADT"/>
    <n v="1390"/>
    <x v="5"/>
    <x v="1051"/>
    <x v="15"/>
    <x v="0"/>
    <x v="146"/>
  </r>
  <r>
    <x v="13"/>
    <s v="SEAOX"/>
    <n v="210233"/>
    <s v="SEAOX"/>
    <n v="1391"/>
    <x v="5"/>
    <x v="1052"/>
    <x v="15"/>
    <x v="0"/>
    <x v="59"/>
  </r>
  <r>
    <x v="13"/>
    <s v="SFOFA"/>
    <n v="210235"/>
    <s v="SFOFA"/>
    <n v="1392"/>
    <x v="5"/>
    <x v="1053"/>
    <x v="15"/>
    <x v="0"/>
    <x v="71"/>
  </r>
  <r>
    <x v="13"/>
    <s v="PDXAC"/>
    <n v="210237"/>
    <s v="PDXAC"/>
    <n v="1393"/>
    <x v="5"/>
    <x v="1054"/>
    <x v="15"/>
    <x v="0"/>
    <x v="76"/>
  </r>
  <r>
    <x v="13"/>
    <s v="LAXSD"/>
    <n v="210239"/>
    <s v="LAXSD"/>
    <n v="1394"/>
    <x v="5"/>
    <x v="1055"/>
    <x v="15"/>
    <x v="0"/>
    <x v="63"/>
  </r>
  <r>
    <x v="13"/>
    <s v="BURPA"/>
    <n v="210241"/>
    <s v="BURPA"/>
    <n v="1395"/>
    <x v="5"/>
    <x v="1056"/>
    <x v="15"/>
    <x v="0"/>
    <x v="178"/>
  </r>
  <r>
    <x v="13"/>
    <s v="LASHD"/>
    <n v="210243"/>
    <s v="LASHD"/>
    <n v="1396"/>
    <x v="5"/>
    <x v="1057"/>
    <x v="15"/>
    <x v="0"/>
    <x v="22"/>
  </r>
  <r>
    <x v="13"/>
    <s v="ONTFC"/>
    <n v="210245"/>
    <s v="ONTFC"/>
    <n v="1397"/>
    <x v="5"/>
    <x v="1058"/>
    <x v="15"/>
    <x v="0"/>
    <x v="29"/>
  </r>
  <r>
    <x v="13"/>
    <s v="SEATC"/>
    <n v="210247"/>
    <s v="SEATC"/>
    <n v="1398"/>
    <x v="5"/>
    <x v="1059"/>
    <x v="15"/>
    <x v="0"/>
    <x v="76"/>
  </r>
  <r>
    <x v="13"/>
    <s v="LAXXL"/>
    <n v="210249"/>
    <s v="LAXXL"/>
    <n v="1399"/>
    <x v="5"/>
    <x v="1060"/>
    <x v="15"/>
    <x v="0"/>
    <x v="130"/>
  </r>
  <r>
    <x v="13"/>
    <s v="MFRAP"/>
    <n v="210251"/>
    <s v="MFRAP"/>
    <n v="1400"/>
    <x v="5"/>
    <x v="1061"/>
    <x v="15"/>
    <x v="0"/>
    <x v="51"/>
  </r>
  <r>
    <x v="13"/>
    <s v="SEAAR"/>
    <n v="210253"/>
    <s v="SEAAR"/>
    <n v="1401"/>
    <x v="5"/>
    <x v="1062"/>
    <x v="15"/>
    <x v="0"/>
    <x v="146"/>
  </r>
  <r>
    <x v="13"/>
    <s v="SEAWV"/>
    <n v="210255"/>
    <s v="SEAWV"/>
    <n v="1402"/>
    <x v="5"/>
    <x v="1063"/>
    <x v="15"/>
    <x v="0"/>
    <x v="179"/>
  </r>
  <r>
    <x v="13"/>
    <s v="SJCCR"/>
    <n v="210257"/>
    <s v="SJCCR"/>
    <n v="1403"/>
    <x v="5"/>
    <x v="1064"/>
    <x v="15"/>
    <x v="0"/>
    <x v="43"/>
  </r>
  <r>
    <x v="13"/>
    <s v="SNAFA"/>
    <n v="210259"/>
    <s v="SNAFA"/>
    <n v="1404"/>
    <x v="5"/>
    <x v="1065"/>
    <x v="15"/>
    <x v="0"/>
    <x v="30"/>
  </r>
  <r>
    <x v="13"/>
    <s v="LGBCP"/>
    <n v="210261"/>
    <s v="LGBCP"/>
    <n v="1405"/>
    <x v="5"/>
    <x v="1066"/>
    <x v="15"/>
    <x v="0"/>
    <x v="139"/>
  </r>
  <r>
    <x v="13"/>
    <s v="RALFM"/>
    <n v="210263"/>
    <s v="RALFM"/>
    <n v="1406"/>
    <x v="5"/>
    <x v="1067"/>
    <x v="15"/>
    <x v="0"/>
    <x v="32"/>
  </r>
  <r>
    <x v="13"/>
    <s v="OAKPS"/>
    <n v="210265"/>
    <s v="OAKPS"/>
    <n v="1407"/>
    <x v="5"/>
    <x v="1068"/>
    <x v="15"/>
    <x v="0"/>
    <x v="42"/>
  </r>
  <r>
    <x v="13"/>
    <s v="SEATA"/>
    <n v="210267"/>
    <s v="SEATA"/>
    <n v="1408"/>
    <x v="5"/>
    <x v="1069"/>
    <x v="15"/>
    <x v="0"/>
    <x v="59"/>
  </r>
  <r>
    <x v="13"/>
    <s v="SEAEV"/>
    <n v="210269"/>
    <s v="SEAEV"/>
    <n v="1409"/>
    <x v="5"/>
    <x v="1070"/>
    <x v="15"/>
    <x v="0"/>
    <x v="108"/>
  </r>
  <r>
    <x v="13"/>
    <s v="FATMD"/>
    <n v="210271"/>
    <s v="FATMD"/>
    <n v="1410"/>
    <x v="5"/>
    <x v="1071"/>
    <x v="15"/>
    <x v="0"/>
    <x v="86"/>
  </r>
  <r>
    <x v="13"/>
    <s v="SEANG"/>
    <n v="210273"/>
    <s v="SEANG"/>
    <n v="1411"/>
    <x v="5"/>
    <x v="1072"/>
    <x v="15"/>
    <x v="0"/>
    <x v="63"/>
  </r>
  <r>
    <x v="13"/>
    <s v="SNAAP"/>
    <n v="210275"/>
    <s v="SNAAP"/>
    <n v="1412"/>
    <x v="5"/>
    <x v="1073"/>
    <x v="15"/>
    <x v="0"/>
    <x v="1"/>
  </r>
  <r>
    <x v="13"/>
    <s v="SEAFQ"/>
    <n v="210277"/>
    <s v="SEAFQ"/>
    <n v="1413"/>
    <x v="5"/>
    <x v="1074"/>
    <x v="15"/>
    <x v="0"/>
    <x v="47"/>
  </r>
  <r>
    <x v="13"/>
    <s v="LASVN"/>
    <n v="210279"/>
    <s v="LASVN"/>
    <n v="1414"/>
    <x v="5"/>
    <x v="1075"/>
    <x v="15"/>
    <x v="0"/>
    <x v="49"/>
  </r>
  <r>
    <x v="13"/>
    <s v="SFOBC"/>
    <n v="210281"/>
    <s v="SFOBC"/>
    <n v="1415"/>
    <x v="5"/>
    <x v="1076"/>
    <x v="15"/>
    <x v="0"/>
    <x v="4"/>
  </r>
  <r>
    <x v="13"/>
    <s v="SNAVO"/>
    <n v="210283"/>
    <s v="SNAVO"/>
    <n v="1416"/>
    <x v="5"/>
    <x v="1077"/>
    <x v="15"/>
    <x v="0"/>
    <x v="7"/>
  </r>
  <r>
    <x v="13"/>
    <s v="OAKSP"/>
    <n v="210285"/>
    <s v="OAKSP"/>
    <n v="1417"/>
    <x v="5"/>
    <x v="1078"/>
    <x v="15"/>
    <x v="0"/>
    <x v="46"/>
  </r>
  <r>
    <x v="13"/>
    <s v="SEALN"/>
    <n v="210287"/>
    <s v="SEALN"/>
    <n v="1418"/>
    <x v="5"/>
    <x v="1079"/>
    <x v="15"/>
    <x v="0"/>
    <x v="118"/>
  </r>
  <r>
    <x v="13"/>
    <s v="BURCY"/>
    <n v="210289"/>
    <s v="BURCY"/>
    <n v="1419"/>
    <x v="5"/>
    <x v="1080"/>
    <x v="15"/>
    <x v="0"/>
    <x v="136"/>
  </r>
  <r>
    <x v="13"/>
    <s v="SEAAA"/>
    <n v="210291"/>
    <s v="SEAAA"/>
    <n v="1420"/>
    <x v="5"/>
    <x v="1081"/>
    <x v="15"/>
    <x v="0"/>
    <x v="180"/>
  </r>
  <r>
    <x v="13"/>
    <s v="MFRSH"/>
    <n v="210293"/>
    <s v="MFRSH"/>
    <n v="1421"/>
    <x v="5"/>
    <x v="1082"/>
    <x v="15"/>
    <x v="0"/>
    <x v="45"/>
  </r>
  <r>
    <x v="13"/>
    <s v="YLWFE"/>
    <n v="210295"/>
    <s v="YLWFE"/>
    <n v="1422"/>
    <x v="5"/>
    <x v="1083"/>
    <x v="15"/>
    <x v="0"/>
    <x v="67"/>
  </r>
  <r>
    <x v="13"/>
    <s v="PDXVS"/>
    <n v="210297"/>
    <s v="PDXVS"/>
    <n v="1423"/>
    <x v="5"/>
    <x v="1084"/>
    <x v="15"/>
    <x v="0"/>
    <x v="119"/>
  </r>
  <r>
    <x v="13"/>
    <s v="LAXCV"/>
    <n v="210299"/>
    <s v="LAXCV"/>
    <n v="1424"/>
    <x v="5"/>
    <x v="1085"/>
    <x v="15"/>
    <x v="0"/>
    <x v="181"/>
  </r>
  <r>
    <x v="13"/>
    <s v="PDXOX"/>
    <n v="210301"/>
    <s v="PDXOX"/>
    <n v="1425"/>
    <x v="5"/>
    <x v="1086"/>
    <x v="15"/>
    <x v="0"/>
    <x v="175"/>
  </r>
  <r>
    <x v="13"/>
    <s v="LAXFR"/>
    <n v="210303"/>
    <s v="LAXFR"/>
    <n v="1426"/>
    <x v="5"/>
    <x v="1087"/>
    <x v="15"/>
    <x v="0"/>
    <x v="111"/>
  </r>
  <r>
    <x v="13"/>
    <s v="SNAOG"/>
    <n v="210305"/>
    <s v="SNAOG"/>
    <n v="1427"/>
    <x v="5"/>
    <x v="1088"/>
    <x v="15"/>
    <x v="0"/>
    <x v="113"/>
  </r>
  <r>
    <x v="13"/>
    <s v="SEAFC"/>
    <n v="210307"/>
    <s v="SEAFC"/>
    <n v="1428"/>
    <x v="5"/>
    <x v="1089"/>
    <x v="15"/>
    <x v="0"/>
    <x v="28"/>
  </r>
  <r>
    <x v="13"/>
    <s v="SACWN"/>
    <n v="210309"/>
    <s v="SACWN"/>
    <n v="1429"/>
    <x v="5"/>
    <x v="1090"/>
    <x v="15"/>
    <x v="0"/>
    <x v="78"/>
  </r>
  <r>
    <x v="13"/>
    <s v="SFOLV"/>
    <n v="210311"/>
    <s v="SFOLV"/>
    <n v="1430"/>
    <x v="5"/>
    <x v="1091"/>
    <x v="15"/>
    <x v="0"/>
    <x v="29"/>
  </r>
  <r>
    <x v="13"/>
    <s v="SNASF"/>
    <n v="210313"/>
    <s v="SNASF"/>
    <n v="1431"/>
    <x v="5"/>
    <x v="1092"/>
    <x v="15"/>
    <x v="0"/>
    <x v="16"/>
  </r>
  <r>
    <x v="13"/>
    <s v="SEAFO"/>
    <n v="210315"/>
    <s v="SEAFO"/>
    <n v="1432"/>
    <x v="5"/>
    <x v="1093"/>
    <x v="15"/>
    <x v="0"/>
    <x v="21"/>
  </r>
  <r>
    <x v="13"/>
    <s v="LASSA"/>
    <n v="210317"/>
    <s v="LASSA"/>
    <n v="1433"/>
    <x v="5"/>
    <x v="1094"/>
    <x v="15"/>
    <x v="0"/>
    <x v="66"/>
  </r>
  <r>
    <x v="13"/>
    <s v="RNODT"/>
    <n v="210319"/>
    <s v="RNODT"/>
    <n v="1434"/>
    <x v="5"/>
    <x v="1095"/>
    <x v="15"/>
    <x v="0"/>
    <x v="104"/>
  </r>
  <r>
    <x v="14"/>
    <s v="ABICY"/>
    <n v="211017"/>
    <s v="ABICY"/>
    <n v="1602"/>
    <x v="6"/>
    <x v="1096"/>
    <x v="27"/>
    <x v="0"/>
    <x v="47"/>
  </r>
  <r>
    <x v="14"/>
    <s v="ABQNJ"/>
    <n v="211023"/>
    <s v="ABQNJ"/>
    <n v="1605"/>
    <x v="6"/>
    <x v="1097"/>
    <x v="27"/>
    <x v="0"/>
    <x v="49"/>
  </r>
  <r>
    <x v="14"/>
    <s v="AMACY"/>
    <n v="211001"/>
    <s v="AMACY"/>
    <n v="1591"/>
    <x v="6"/>
    <x v="1098"/>
    <x v="27"/>
    <x v="0"/>
    <x v="5"/>
  </r>
  <r>
    <x v="14"/>
    <s v="AMAFI"/>
    <n v="211013"/>
    <s v="AMAFI"/>
    <n v="1597"/>
    <x v="6"/>
    <x v="1099"/>
    <x v="27"/>
    <x v="0"/>
    <x v="95"/>
  </r>
  <r>
    <x v="14"/>
    <s v="AUSAT"/>
    <n v="211009"/>
    <s v="AUSAT"/>
    <n v="1595"/>
    <x v="6"/>
    <x v="1100"/>
    <x v="27"/>
    <x v="0"/>
    <x v="104"/>
  </r>
  <r>
    <x v="14"/>
    <s v="AUSFI"/>
    <n v="211005"/>
    <s v="AUSFI"/>
    <n v="1593"/>
    <x v="6"/>
    <x v="1101"/>
    <x v="27"/>
    <x v="0"/>
    <x v="100"/>
  </r>
  <r>
    <x v="14"/>
    <s v="BMICY"/>
    <n v="211007"/>
    <s v="BMICY"/>
    <n v="1594"/>
    <x v="6"/>
    <x v="1102"/>
    <x v="27"/>
    <x v="0"/>
    <x v="39"/>
  </r>
  <r>
    <x v="14"/>
    <s v="CNYFI"/>
    <n v="211019"/>
    <s v="CNYFI"/>
    <n v="1603"/>
    <x v="6"/>
    <x v="1103"/>
    <x v="27"/>
    <x v="0"/>
    <x v="5"/>
  </r>
  <r>
    <x v="14"/>
    <s v="CNYMS"/>
    <n v="211025"/>
    <s v="CNYMS"/>
    <n v="1606"/>
    <x v="6"/>
    <x v="1104"/>
    <x v="27"/>
    <x v="0"/>
    <x v="17"/>
  </r>
  <r>
    <x v="14"/>
    <s v="GJTFI"/>
    <n v="211027"/>
    <s v="GJTFI"/>
    <n v="1607"/>
    <x v="6"/>
    <x v="1105"/>
    <x v="27"/>
    <x v="0"/>
    <x v="111"/>
  </r>
  <r>
    <x v="14"/>
    <s v="GJTSH"/>
    <n v="211021"/>
    <s v="GJTSH"/>
    <n v="1604"/>
    <x v="6"/>
    <x v="1106"/>
    <x v="27"/>
    <x v="0"/>
    <x v="47"/>
  </r>
  <r>
    <x v="14"/>
    <s v="MLUCY"/>
    <n v="211011"/>
    <s v="MLUCY"/>
    <n v="1596"/>
    <x v="6"/>
    <x v="1107"/>
    <x v="27"/>
    <x v="0"/>
    <x v="18"/>
  </r>
  <r>
    <x v="14"/>
    <s v="OLMRO"/>
    <n v="211039"/>
    <s v="OLMRO"/>
    <n v="1613"/>
    <x v="6"/>
    <x v="1108"/>
    <x v="27"/>
    <x v="0"/>
    <x v="86"/>
  </r>
  <r>
    <x v="14"/>
    <s v="ONTRT"/>
    <n v="211035"/>
    <s v="ONTRT"/>
    <n v="1611"/>
    <x v="6"/>
    <x v="1109"/>
    <x v="27"/>
    <x v="0"/>
    <x v="49"/>
  </r>
  <r>
    <x v="14"/>
    <s v="ONTST"/>
    <n v="211037"/>
    <s v="ONTST"/>
    <n v="1612"/>
    <x v="6"/>
    <x v="1110"/>
    <x v="27"/>
    <x v="0"/>
    <x v="46"/>
  </r>
  <r>
    <x v="14"/>
    <s v="PDXCA"/>
    <n v="211029"/>
    <s v="PDXCA"/>
    <n v="1608"/>
    <x v="6"/>
    <x v="1111"/>
    <x v="27"/>
    <x v="0"/>
    <x v="76"/>
  </r>
  <r>
    <x v="14"/>
    <s v="PDXFI"/>
    <n v="211031"/>
    <s v="PDXFI"/>
    <n v="1609"/>
    <x v="6"/>
    <x v="1112"/>
    <x v="27"/>
    <x v="0"/>
    <x v="79"/>
  </r>
  <r>
    <x v="14"/>
    <s v="RDMFI"/>
    <n v="211043"/>
    <s v="RDMFI"/>
    <n v="1615"/>
    <x v="6"/>
    <x v="1113"/>
    <x v="27"/>
    <x v="0"/>
    <x v="48"/>
  </r>
  <r>
    <x v="14"/>
    <s v="SATCY"/>
    <n v="211015"/>
    <s v="SATCY"/>
    <n v="1600"/>
    <x v="6"/>
    <x v="1114"/>
    <x v="27"/>
    <x v="0"/>
    <x v="39"/>
  </r>
  <r>
    <x v="14"/>
    <s v="SATFA"/>
    <n v="211003"/>
    <s v="SATFA"/>
    <n v="1592"/>
    <x v="6"/>
    <x v="1115"/>
    <x v="27"/>
    <x v="0"/>
    <x v="22"/>
  </r>
  <r>
    <x v="14"/>
    <s v="STSUK"/>
    <n v="211041"/>
    <s v="STSUK"/>
    <n v="1614"/>
    <x v="6"/>
    <x v="1116"/>
    <x v="27"/>
    <x v="0"/>
    <x v="161"/>
  </r>
  <r>
    <x v="14"/>
    <s v="WMCFI"/>
    <n v="211033"/>
    <s v="WMCFI"/>
    <n v="1610"/>
    <x v="6"/>
    <x v="1117"/>
    <x v="27"/>
    <x v="0"/>
    <x v="48"/>
  </r>
  <r>
    <x v="14"/>
    <s v="ALOCY"/>
    <n v="112289"/>
    <s v="ALOCY"/>
    <n v="1598"/>
    <x v="7"/>
    <x v="1118"/>
    <x v="27"/>
    <x v="0"/>
    <x v="120"/>
  </r>
  <r>
    <x v="14"/>
    <s v="BDLWL"/>
    <n v="112119"/>
    <s v="BDLWL"/>
    <n v="1500"/>
    <x v="7"/>
    <x v="1119"/>
    <x v="27"/>
    <x v="0"/>
    <x v="119"/>
  </r>
  <r>
    <x v="14"/>
    <s v="BOSBR"/>
    <n v="112163"/>
    <s v="BOSBR"/>
    <n v="1522"/>
    <x v="7"/>
    <x v="1120"/>
    <x v="27"/>
    <x v="0"/>
    <x v="67"/>
  </r>
  <r>
    <x v="14"/>
    <s v="BTLFI"/>
    <n v="112273"/>
    <s v="BTLFI"/>
    <n v="1577"/>
    <x v="7"/>
    <x v="1121"/>
    <x v="27"/>
    <x v="0"/>
    <x v="95"/>
  </r>
  <r>
    <x v="14"/>
    <s v="BTVAC"/>
    <n v="112113"/>
    <s v="BTVAC"/>
    <n v="1497"/>
    <x v="7"/>
    <x v="1122"/>
    <x v="27"/>
    <x v="0"/>
    <x v="58"/>
  </r>
  <r>
    <x v="14"/>
    <s v="BTVWB"/>
    <n v="112103"/>
    <s v="BTVWB"/>
    <n v="1492"/>
    <x v="7"/>
    <x v="1123"/>
    <x v="27"/>
    <x v="0"/>
    <x v="20"/>
  </r>
  <r>
    <x v="14"/>
    <s v="BUFCY"/>
    <n v="112221"/>
    <s v="BUFCY"/>
    <n v="1551"/>
    <x v="7"/>
    <x v="1124"/>
    <x v="27"/>
    <x v="0"/>
    <x v="30"/>
  </r>
  <r>
    <x v="14"/>
    <s v="BWIAB"/>
    <n v="112011"/>
    <s v="BWIAB"/>
    <n v="1446"/>
    <x v="7"/>
    <x v="1125"/>
    <x v="27"/>
    <x v="0"/>
    <x v="14"/>
  </r>
  <r>
    <x v="14"/>
    <s v="BWIDT"/>
    <n v="112073"/>
    <s v="BWIDT"/>
    <n v="1477"/>
    <x v="7"/>
    <x v="1126"/>
    <x v="27"/>
    <x v="0"/>
    <x v="182"/>
  </r>
  <r>
    <x v="14"/>
    <s v="CAEFS"/>
    <n v="112185"/>
    <s v="CAEFS"/>
    <n v="1533"/>
    <x v="7"/>
    <x v="1127"/>
    <x v="27"/>
    <x v="0"/>
    <x v="13"/>
  </r>
  <r>
    <x v="14"/>
    <s v="CAEMT"/>
    <n v="112095"/>
    <s v="CAEMT"/>
    <n v="1488"/>
    <x v="7"/>
    <x v="1128"/>
    <x v="27"/>
    <x v="0"/>
    <x v="11"/>
  </r>
  <r>
    <x v="14"/>
    <s v="CAKDT"/>
    <n v="112287"/>
    <s v="CAKDT"/>
    <n v="1584"/>
    <x v="7"/>
    <x v="1129"/>
    <x v="27"/>
    <x v="0"/>
    <x v="59"/>
  </r>
  <r>
    <x v="14"/>
    <s v="CAKFC"/>
    <n v="112059"/>
    <s v="CAKFC"/>
    <n v="1470"/>
    <x v="7"/>
    <x v="1130"/>
    <x v="27"/>
    <x v="0"/>
    <x v="17"/>
  </r>
  <r>
    <x v="14"/>
    <s v="CHADL"/>
    <n v="112029"/>
    <s v="CHADL"/>
    <n v="1455"/>
    <x v="7"/>
    <x v="1131"/>
    <x v="27"/>
    <x v="0"/>
    <x v="78"/>
  </r>
  <r>
    <x v="14"/>
    <s v="CHASE"/>
    <n v="112077"/>
    <s v="CHASE"/>
    <n v="1479"/>
    <x v="7"/>
    <x v="1132"/>
    <x v="27"/>
    <x v="0"/>
    <x v="81"/>
  </r>
  <r>
    <x v="14"/>
    <s v="CHATF"/>
    <n v="112247"/>
    <s v="CHATF"/>
    <n v="1564"/>
    <x v="7"/>
    <x v="1133"/>
    <x v="27"/>
    <x v="0"/>
    <x v="18"/>
  </r>
  <r>
    <x v="14"/>
    <s v="CHODT"/>
    <n v="112055"/>
    <s v="CHODT"/>
    <n v="1468"/>
    <x v="7"/>
    <x v="1134"/>
    <x v="27"/>
    <x v="0"/>
    <x v="109"/>
  </r>
  <r>
    <x v="14"/>
    <s v="CHSCO"/>
    <n v="112223"/>
    <s v="CHSCO"/>
    <n v="1552"/>
    <x v="7"/>
    <x v="1135"/>
    <x v="27"/>
    <x v="0"/>
    <x v="96"/>
  </r>
  <r>
    <x v="14"/>
    <s v="CHSFD"/>
    <n v="112195"/>
    <s v="CHSFD"/>
    <n v="1538"/>
    <x v="7"/>
    <x v="1136"/>
    <x v="27"/>
    <x v="0"/>
    <x v="41"/>
  </r>
  <r>
    <x v="14"/>
    <s v="CHSMT"/>
    <n v="112115"/>
    <s v="CHSMT"/>
    <n v="1498"/>
    <x v="7"/>
    <x v="1137"/>
    <x v="27"/>
    <x v="0"/>
    <x v="77"/>
  </r>
  <r>
    <x v="14"/>
    <s v="CLEAV"/>
    <n v="112003"/>
    <s v="CLEAV"/>
    <n v="1442"/>
    <x v="7"/>
    <x v="1138"/>
    <x v="27"/>
    <x v="0"/>
    <x v="43"/>
  </r>
  <r>
    <x v="14"/>
    <s v="CLEIP"/>
    <n v="112085"/>
    <s v="CLEIP"/>
    <n v="1483"/>
    <x v="7"/>
    <x v="1139"/>
    <x v="27"/>
    <x v="0"/>
    <x v="60"/>
  </r>
  <r>
    <x v="14"/>
    <s v="CLTBL"/>
    <n v="112265"/>
    <s v="CLTBL"/>
    <n v="1573"/>
    <x v="7"/>
    <x v="1140"/>
    <x v="27"/>
    <x v="0"/>
    <x v="18"/>
  </r>
  <r>
    <x v="14"/>
    <s v="CLTGS"/>
    <n v="112161"/>
    <s v="CLTGS"/>
    <n v="1521"/>
    <x v="7"/>
    <x v="1141"/>
    <x v="27"/>
    <x v="0"/>
    <x v="18"/>
  </r>
  <r>
    <x v="14"/>
    <s v="CLTSO"/>
    <n v="112171"/>
    <s v="CLTSO"/>
    <n v="1526"/>
    <x v="7"/>
    <x v="1142"/>
    <x v="27"/>
    <x v="0"/>
    <x v="99"/>
  </r>
  <r>
    <x v="14"/>
    <s v="CMHCY"/>
    <n v="112177"/>
    <s v="CMHCY"/>
    <n v="1529"/>
    <x v="7"/>
    <x v="1143"/>
    <x v="27"/>
    <x v="0"/>
    <x v="76"/>
  </r>
  <r>
    <x v="14"/>
    <s v="CMHDF"/>
    <n v="112111"/>
    <s v="CMHDF"/>
    <n v="1496"/>
    <x v="7"/>
    <x v="1144"/>
    <x v="27"/>
    <x v="0"/>
    <x v="23"/>
  </r>
  <r>
    <x v="14"/>
    <s v="CMHRY"/>
    <n v="112157"/>
    <s v="CMHRY"/>
    <n v="1519"/>
    <x v="7"/>
    <x v="1145"/>
    <x v="27"/>
    <x v="0"/>
    <x v="23"/>
  </r>
  <r>
    <x v="14"/>
    <s v="CMHWG"/>
    <n v="112203"/>
    <s v="CMHWG"/>
    <n v="1542"/>
    <x v="7"/>
    <x v="1146"/>
    <x v="27"/>
    <x v="0"/>
    <x v="104"/>
  </r>
  <r>
    <x v="14"/>
    <s v="CMHWS"/>
    <n v="112281"/>
    <s v="CMHWS"/>
    <n v="1581"/>
    <x v="7"/>
    <x v="1147"/>
    <x v="27"/>
    <x v="0"/>
    <x v="48"/>
  </r>
  <r>
    <x v="14"/>
    <s v="CSGCH"/>
    <n v="112233"/>
    <s v="CSGCH"/>
    <n v="1557"/>
    <x v="7"/>
    <x v="191"/>
    <x v="27"/>
    <x v="0"/>
    <x v="4"/>
  </r>
  <r>
    <x v="14"/>
    <s v="CSGFI"/>
    <n v="112039"/>
    <s v="CSGFI"/>
    <n v="1460"/>
    <x v="7"/>
    <x v="193"/>
    <x v="27"/>
    <x v="0"/>
    <x v="81"/>
  </r>
  <r>
    <x v="14"/>
    <s v="CSGLG"/>
    <n v="112261"/>
    <s v="CSGLG"/>
    <n v="1571"/>
    <x v="7"/>
    <x v="1148"/>
    <x v="27"/>
    <x v="0"/>
    <x v="18"/>
  </r>
  <r>
    <x v="14"/>
    <s v="CVGCI"/>
    <n v="112237"/>
    <s v="CVGCI"/>
    <n v="1559"/>
    <x v="7"/>
    <x v="1149"/>
    <x v="27"/>
    <x v="0"/>
    <x v="94"/>
  </r>
  <r>
    <x v="14"/>
    <s v="CVGFL"/>
    <n v="112167"/>
    <s v="CVGFL"/>
    <n v="1524"/>
    <x v="7"/>
    <x v="1150"/>
    <x v="27"/>
    <x v="0"/>
    <x v="39"/>
  </r>
  <r>
    <x v="14"/>
    <s v="CVGFP"/>
    <n v="112275"/>
    <s v="CVGFP"/>
    <n v="1578"/>
    <x v="7"/>
    <x v="1151"/>
    <x v="27"/>
    <x v="0"/>
    <x v="99"/>
  </r>
  <r>
    <x v="14"/>
    <s v="CVGOF"/>
    <n v="112121"/>
    <s v="CVGOF"/>
    <n v="1501"/>
    <x v="7"/>
    <x v="1152"/>
    <x v="27"/>
    <x v="0"/>
    <x v="9"/>
  </r>
  <r>
    <x v="14"/>
    <s v="CVGSF"/>
    <n v="112127"/>
    <s v="CVGSF"/>
    <n v="1504"/>
    <x v="7"/>
    <x v="1153"/>
    <x v="27"/>
    <x v="0"/>
    <x v="21"/>
  </r>
  <r>
    <x v="14"/>
    <s v="DAYCL"/>
    <n v="112145"/>
    <s v="DAYCL"/>
    <n v="1513"/>
    <x v="7"/>
    <x v="1154"/>
    <x v="27"/>
    <x v="0"/>
    <x v="17"/>
  </r>
  <r>
    <x v="14"/>
    <s v="DAYCN"/>
    <n v="112019"/>
    <s v="DAYCN"/>
    <n v="1450"/>
    <x v="7"/>
    <x v="1155"/>
    <x v="27"/>
    <x v="0"/>
    <x v="39"/>
  </r>
  <r>
    <x v="14"/>
    <s v="DTWAS"/>
    <n v="112125"/>
    <s v="DTWAS"/>
    <n v="1503"/>
    <x v="7"/>
    <x v="1156"/>
    <x v="27"/>
    <x v="0"/>
    <x v="38"/>
  </r>
  <r>
    <x v="14"/>
    <s v="DTWSS"/>
    <n v="112091"/>
    <s v="DTWSS"/>
    <n v="1486"/>
    <x v="7"/>
    <x v="1157"/>
    <x v="27"/>
    <x v="0"/>
    <x v="26"/>
  </r>
  <r>
    <x v="14"/>
    <s v="ERIFI"/>
    <n v="112193"/>
    <s v="ERIFI"/>
    <n v="1537"/>
    <x v="7"/>
    <x v="1158"/>
    <x v="27"/>
    <x v="0"/>
    <x v="81"/>
  </r>
  <r>
    <x v="14"/>
    <s v="ESNFI"/>
    <n v="112031"/>
    <s v="ESNFI"/>
    <n v="1456"/>
    <x v="7"/>
    <x v="1159"/>
    <x v="27"/>
    <x v="0"/>
    <x v="43"/>
  </r>
  <r>
    <x v="14"/>
    <s v="EWNSH"/>
    <n v="112023"/>
    <s v="EWNSH"/>
    <n v="1452"/>
    <x v="7"/>
    <x v="1160"/>
    <x v="27"/>
    <x v="0"/>
    <x v="31"/>
  </r>
  <r>
    <x v="14"/>
    <s v="EWRFB"/>
    <n v="112227"/>
    <s v="EWRFB"/>
    <n v="1554"/>
    <x v="7"/>
    <x v="1161"/>
    <x v="27"/>
    <x v="0"/>
    <x v="81"/>
  </r>
  <r>
    <x v="14"/>
    <s v="FAYSH"/>
    <n v="112207"/>
    <s v="FAYSH"/>
    <n v="1544"/>
    <x v="7"/>
    <x v="1162"/>
    <x v="27"/>
    <x v="0"/>
    <x v="37"/>
  </r>
  <r>
    <x v="14"/>
    <s v="FKBFI"/>
    <n v="112053"/>
    <s v="FKBFI"/>
    <n v="1467"/>
    <x v="7"/>
    <x v="1163"/>
    <x v="27"/>
    <x v="0"/>
    <x v="87"/>
  </r>
  <r>
    <x v="14"/>
    <s v="GONSH"/>
    <n v="112079"/>
    <s v="GONSH"/>
    <n v="1480"/>
    <x v="7"/>
    <x v="1164"/>
    <x v="27"/>
    <x v="0"/>
    <x v="48"/>
  </r>
  <r>
    <x v="14"/>
    <s v="GRRCY"/>
    <n v="112051"/>
    <s v="GRRCY"/>
    <n v="1466"/>
    <x v="7"/>
    <x v="1165"/>
    <x v="27"/>
    <x v="0"/>
    <x v="20"/>
  </r>
  <r>
    <x v="14"/>
    <s v="GRRDT"/>
    <n v="112139"/>
    <s v="GRRDT"/>
    <n v="1510"/>
    <x v="7"/>
    <x v="1166"/>
    <x v="27"/>
    <x v="0"/>
    <x v="179"/>
  </r>
  <r>
    <x v="14"/>
    <s v="GRRSL"/>
    <n v="112191"/>
    <s v="GRRSL"/>
    <n v="1536"/>
    <x v="7"/>
    <x v="1167"/>
    <x v="27"/>
    <x v="0"/>
    <x v="47"/>
  </r>
  <r>
    <x v="14"/>
    <s v="GSOBR"/>
    <n v="112239"/>
    <s v="GSOBR"/>
    <n v="1560"/>
    <x v="7"/>
    <x v="347"/>
    <x v="27"/>
    <x v="0"/>
    <x v="42"/>
  </r>
  <r>
    <x v="14"/>
    <s v="GSOHH"/>
    <n v="112149"/>
    <s v="GSOHH"/>
    <n v="1515"/>
    <x v="7"/>
    <x v="1168"/>
    <x v="27"/>
    <x v="0"/>
    <x v="71"/>
  </r>
  <r>
    <x v="14"/>
    <s v="GSPPF"/>
    <n v="112093"/>
    <s v="GSPPF"/>
    <n v="1487"/>
    <x v="7"/>
    <x v="1169"/>
    <x v="27"/>
    <x v="0"/>
    <x v="12"/>
  </r>
  <r>
    <x v="14"/>
    <s v="GSPPR"/>
    <n v="112001"/>
    <s v="GSPPR"/>
    <n v="1441"/>
    <x v="7"/>
    <x v="1170"/>
    <x v="27"/>
    <x v="0"/>
    <x v="49"/>
  </r>
  <r>
    <x v="14"/>
    <s v="HARNC"/>
    <n v="112213"/>
    <s v="HARNC"/>
    <n v="1547"/>
    <x v="7"/>
    <x v="1171"/>
    <x v="27"/>
    <x v="0"/>
    <x v="23"/>
  </r>
  <r>
    <x v="14"/>
    <s v="HARSB"/>
    <n v="112231"/>
    <s v="HARSB"/>
    <n v="1556"/>
    <x v="7"/>
    <x v="1172"/>
    <x v="27"/>
    <x v="0"/>
    <x v="77"/>
  </r>
  <r>
    <x v="14"/>
    <s v="HARWM"/>
    <n v="112229"/>
    <s v="HARWM"/>
    <n v="1555"/>
    <x v="7"/>
    <x v="1173"/>
    <x v="27"/>
    <x v="0"/>
    <x v="11"/>
  </r>
  <r>
    <x v="14"/>
    <s v="HHHHS"/>
    <n v="112135"/>
    <s v="HHHHS"/>
    <n v="1508"/>
    <x v="7"/>
    <x v="1174"/>
    <x v="27"/>
    <x v="0"/>
    <x v="26"/>
  </r>
  <r>
    <x v="14"/>
    <s v="HVNCO"/>
    <n v="112219"/>
    <s v="HVNCO"/>
    <n v="1550"/>
    <x v="7"/>
    <x v="1175"/>
    <x v="27"/>
    <x v="0"/>
    <x v="60"/>
  </r>
  <r>
    <x v="14"/>
    <s v="HVNCY"/>
    <n v="112045"/>
    <s v="HVNCY"/>
    <n v="1463"/>
    <x v="7"/>
    <x v="1176"/>
    <x v="27"/>
    <x v="0"/>
    <x v="151"/>
  </r>
  <r>
    <x v="14"/>
    <s v="HYACY"/>
    <n v="112097"/>
    <s v="HYACY"/>
    <n v="1489"/>
    <x v="7"/>
    <x v="1177"/>
    <x v="27"/>
    <x v="0"/>
    <x v="119"/>
  </r>
  <r>
    <x v="14"/>
    <s v="ILMCB"/>
    <n v="112151"/>
    <s v="ILMCB"/>
    <n v="1516"/>
    <x v="7"/>
    <x v="1178"/>
    <x v="27"/>
    <x v="0"/>
    <x v="25"/>
  </r>
  <r>
    <x v="14"/>
    <s v="ILMWE"/>
    <n v="112197"/>
    <s v="ILMWE"/>
    <n v="1539"/>
    <x v="7"/>
    <x v="1179"/>
    <x v="27"/>
    <x v="0"/>
    <x v="42"/>
  </r>
  <r>
    <x v="14"/>
    <s v="INDTH"/>
    <n v="112087"/>
    <s v="INDTH"/>
    <n v="1484"/>
    <x v="7"/>
    <x v="1180"/>
    <x v="27"/>
    <x v="0"/>
    <x v="82"/>
  </r>
  <r>
    <x v="14"/>
    <s v="INTJE"/>
    <n v="112089"/>
    <s v="INTJE"/>
    <n v="1485"/>
    <x v="7"/>
    <x v="1181"/>
    <x v="27"/>
    <x v="0"/>
    <x v="20"/>
  </r>
  <r>
    <x v="14"/>
    <s v="IPTLH"/>
    <n v="112199"/>
    <s v="IPTLH"/>
    <n v="1540"/>
    <x v="7"/>
    <x v="1182"/>
    <x v="27"/>
    <x v="0"/>
    <x v="127"/>
  </r>
  <r>
    <x v="14"/>
    <s v="ISPSH"/>
    <n v="112159"/>
    <s v="ISPSH"/>
    <n v="1520"/>
    <x v="7"/>
    <x v="1183"/>
    <x v="27"/>
    <x v="0"/>
    <x v="71"/>
  </r>
  <r>
    <x v="14"/>
    <s v="ITHFI"/>
    <n v="112269"/>
    <s v="ITHFI"/>
    <n v="1575"/>
    <x v="7"/>
    <x v="1184"/>
    <x v="27"/>
    <x v="0"/>
    <x v="32"/>
  </r>
  <r>
    <x v="14"/>
    <s v="JAXCB"/>
    <n v="112259"/>
    <s v="JAXCB"/>
    <n v="1570"/>
    <x v="7"/>
    <x v="1185"/>
    <x v="27"/>
    <x v="0"/>
    <x v="183"/>
  </r>
  <r>
    <x v="14"/>
    <s v="JAXCP"/>
    <n v="112005"/>
    <s v="JAXCP"/>
    <n v="1443"/>
    <x v="7"/>
    <x v="1186"/>
    <x v="27"/>
    <x v="0"/>
    <x v="5"/>
  </r>
  <r>
    <x v="14"/>
    <s v="JXNCY"/>
    <n v="112099"/>
    <s v="JXNCY"/>
    <n v="1490"/>
    <x v="7"/>
    <x v="1187"/>
    <x v="27"/>
    <x v="0"/>
    <x v="79"/>
  </r>
  <r>
    <x v="14"/>
    <s v="LAFCY"/>
    <n v="112211"/>
    <s v="LAFCY"/>
    <n v="1546"/>
    <x v="7"/>
    <x v="1188"/>
    <x v="27"/>
    <x v="0"/>
    <x v="42"/>
  </r>
  <r>
    <x v="14"/>
    <s v="LAFFI"/>
    <n v="112175"/>
    <s v="LAFFI"/>
    <n v="1528"/>
    <x v="7"/>
    <x v="1189"/>
    <x v="27"/>
    <x v="0"/>
    <x v="39"/>
  </r>
  <r>
    <x v="14"/>
    <s v="LANCL"/>
    <n v="112205"/>
    <s v="LANCL"/>
    <n v="1543"/>
    <x v="7"/>
    <x v="1190"/>
    <x v="27"/>
    <x v="0"/>
    <x v="42"/>
  </r>
  <r>
    <x v="14"/>
    <s v="LEXKN"/>
    <n v="112063"/>
    <s v="LEXKN"/>
    <n v="1472"/>
    <x v="7"/>
    <x v="1191"/>
    <x v="27"/>
    <x v="0"/>
    <x v="79"/>
  </r>
  <r>
    <x v="14"/>
    <s v="LWBFI"/>
    <n v="112143"/>
    <s v="LWBFI"/>
    <n v="1512"/>
    <x v="7"/>
    <x v="49"/>
    <x v="27"/>
    <x v="0"/>
    <x v="10"/>
  </r>
  <r>
    <x v="14"/>
    <s v="LYHFI"/>
    <n v="112267"/>
    <s v="LYHFI"/>
    <n v="1574"/>
    <x v="7"/>
    <x v="1192"/>
    <x v="27"/>
    <x v="0"/>
    <x v="60"/>
  </r>
  <r>
    <x v="14"/>
    <s v="MBSFI"/>
    <n v="112271"/>
    <s v="MBSFI"/>
    <n v="1576"/>
    <x v="7"/>
    <x v="1193"/>
    <x v="27"/>
    <x v="0"/>
    <x v="95"/>
  </r>
  <r>
    <x v="14"/>
    <s v="MCNSH"/>
    <n v="112037"/>
    <s v="MCNSH"/>
    <n v="1459"/>
    <x v="7"/>
    <x v="1194"/>
    <x v="27"/>
    <x v="0"/>
    <x v="60"/>
  </r>
  <r>
    <x v="14"/>
    <s v="MCNWR"/>
    <n v="112189"/>
    <s v="MCNWR"/>
    <n v="1535"/>
    <x v="7"/>
    <x v="1195"/>
    <x v="27"/>
    <x v="0"/>
    <x v="95"/>
  </r>
  <r>
    <x v="14"/>
    <s v="MCOFV"/>
    <n v="112021"/>
    <s v="MCOFV"/>
    <n v="1451"/>
    <x v="7"/>
    <x v="1196"/>
    <x v="27"/>
    <x v="0"/>
    <x v="147"/>
  </r>
  <r>
    <x v="14"/>
    <s v="MCOKK"/>
    <n v="112165"/>
    <s v="MCOKK"/>
    <n v="1523"/>
    <x v="7"/>
    <x v="1197"/>
    <x v="27"/>
    <x v="0"/>
    <x v="76"/>
  </r>
  <r>
    <x v="14"/>
    <s v="MCOLL"/>
    <n v="112009"/>
    <s v="MCOLL"/>
    <n v="1445"/>
    <x v="7"/>
    <x v="1198"/>
    <x v="27"/>
    <x v="0"/>
    <x v="24"/>
  </r>
  <r>
    <x v="14"/>
    <s v="MCOLM"/>
    <n v="112235"/>
    <s v="MCOLM"/>
    <n v="1558"/>
    <x v="7"/>
    <x v="1199"/>
    <x v="27"/>
    <x v="0"/>
    <x v="23"/>
  </r>
  <r>
    <x v="14"/>
    <s v="MCOOF"/>
    <n v="112279"/>
    <s v="MCOOF"/>
    <n v="1580"/>
    <x v="7"/>
    <x v="1200"/>
    <x v="27"/>
    <x v="0"/>
    <x v="48"/>
  </r>
  <r>
    <x v="14"/>
    <s v="MCOSA"/>
    <n v="112283"/>
    <s v="MCOSA"/>
    <n v="1582"/>
    <x v="7"/>
    <x v="1201"/>
    <x v="27"/>
    <x v="0"/>
    <x v="94"/>
  </r>
  <r>
    <x v="14"/>
    <s v="MCOSH"/>
    <n v="112049"/>
    <s v="MCOSH"/>
    <n v="1465"/>
    <x v="7"/>
    <x v="1202"/>
    <x v="27"/>
    <x v="0"/>
    <x v="40"/>
  </r>
  <r>
    <x v="14"/>
    <s v="MHTHO"/>
    <n v="112069"/>
    <s v="MHTHO"/>
    <n v="1475"/>
    <x v="7"/>
    <x v="1203"/>
    <x v="27"/>
    <x v="0"/>
    <x v="101"/>
  </r>
  <r>
    <x v="14"/>
    <s v="MIAFH"/>
    <n v="112257"/>
    <s v="MIAFH"/>
    <n v="1569"/>
    <x v="7"/>
    <x v="1204"/>
    <x v="27"/>
    <x v="0"/>
    <x v="1"/>
  </r>
  <r>
    <x v="14"/>
    <s v="MKGNS"/>
    <n v="112183"/>
    <s v="MKGNS"/>
    <n v="1532"/>
    <x v="7"/>
    <x v="1205"/>
    <x v="27"/>
    <x v="0"/>
    <x v="23"/>
  </r>
  <r>
    <x v="14"/>
    <s v="MLBFV"/>
    <n v="112061"/>
    <s v="MLBFV"/>
    <n v="1471"/>
    <x v="7"/>
    <x v="1206"/>
    <x v="27"/>
    <x v="0"/>
    <x v="62"/>
  </r>
  <r>
    <x v="14"/>
    <s v="MLBSC"/>
    <n v="112033"/>
    <s v="MLBSC"/>
    <n v="1457"/>
    <x v="7"/>
    <x v="1207"/>
    <x v="27"/>
    <x v="0"/>
    <x v="88"/>
  </r>
  <r>
    <x v="14"/>
    <s v="MNZCY"/>
    <n v="112131"/>
    <s v="MNZCY"/>
    <n v="1506"/>
    <x v="7"/>
    <x v="1208"/>
    <x v="27"/>
    <x v="0"/>
    <x v="67"/>
  </r>
  <r>
    <x v="14"/>
    <s v="MNZFS"/>
    <n v="112215"/>
    <s v="MNZFS"/>
    <n v="1548"/>
    <x v="7"/>
    <x v="1209"/>
    <x v="27"/>
    <x v="0"/>
    <x v="26"/>
  </r>
  <r>
    <x v="14"/>
    <s v="MOBSF"/>
    <n v="112291"/>
    <s v="MOBSF"/>
    <n v="1599"/>
    <x v="7"/>
    <x v="1210"/>
    <x v="27"/>
    <x v="0"/>
    <x v="11"/>
  </r>
  <r>
    <x v="14"/>
    <s v="MOBSP"/>
    <n v="112293"/>
    <s v="MOBSP"/>
    <n v="1601"/>
    <x v="7"/>
    <x v="1211"/>
    <x v="27"/>
    <x v="0"/>
    <x v="23"/>
  </r>
  <r>
    <x v="14"/>
    <s v="ORFFV"/>
    <n v="112147"/>
    <s v="ORFFV"/>
    <n v="1514"/>
    <x v="7"/>
    <x v="1212"/>
    <x v="27"/>
    <x v="0"/>
    <x v="40"/>
  </r>
  <r>
    <x v="14"/>
    <s v="ORFVO"/>
    <n v="112187"/>
    <s v="ORFVO"/>
    <n v="1534"/>
    <x v="7"/>
    <x v="1213"/>
    <x v="27"/>
    <x v="0"/>
    <x v="8"/>
  </r>
  <r>
    <x v="14"/>
    <s v="ORFVX"/>
    <n v="112081"/>
    <s v="ORFVX"/>
    <n v="1481"/>
    <x v="7"/>
    <x v="1214"/>
    <x v="27"/>
    <x v="0"/>
    <x v="46"/>
  </r>
  <r>
    <x v="14"/>
    <s v="PBICP"/>
    <n v="112245"/>
    <s v="PBICP"/>
    <n v="1563"/>
    <x v="7"/>
    <x v="1215"/>
    <x v="27"/>
    <x v="0"/>
    <x v="20"/>
  </r>
  <r>
    <x v="14"/>
    <s v="PBIST"/>
    <n v="112071"/>
    <s v="PBIST"/>
    <n v="1476"/>
    <x v="7"/>
    <x v="1216"/>
    <x v="27"/>
    <x v="0"/>
    <x v="22"/>
  </r>
  <r>
    <x v="14"/>
    <s v="PGVWF"/>
    <n v="112241"/>
    <s v="PGVWF"/>
    <n v="1561"/>
    <x v="7"/>
    <x v="1217"/>
    <x v="27"/>
    <x v="0"/>
    <x v="50"/>
  </r>
  <r>
    <x v="14"/>
    <s v="PITHW"/>
    <n v="112117"/>
    <s v="PITHW"/>
    <n v="1499"/>
    <x v="7"/>
    <x v="1218"/>
    <x v="27"/>
    <x v="0"/>
    <x v="49"/>
  </r>
  <r>
    <x v="14"/>
    <s v="PITSR"/>
    <n v="112057"/>
    <s v="PITSR"/>
    <n v="1469"/>
    <x v="7"/>
    <x v="1219"/>
    <x v="27"/>
    <x v="0"/>
    <x v="99"/>
  </r>
  <r>
    <x v="14"/>
    <s v="PITWH"/>
    <n v="112013"/>
    <s v="PITWH"/>
    <n v="1447"/>
    <x v="7"/>
    <x v="1220"/>
    <x v="27"/>
    <x v="0"/>
    <x v="0"/>
  </r>
  <r>
    <x v="14"/>
    <s v="PITWS"/>
    <n v="112201"/>
    <s v="PITWS"/>
    <n v="1541"/>
    <x v="7"/>
    <x v="1221"/>
    <x v="27"/>
    <x v="0"/>
    <x v="45"/>
  </r>
  <r>
    <x v="14"/>
    <s v="PLNCY"/>
    <n v="112225"/>
    <s v="PLNCY"/>
    <n v="1553"/>
    <x v="7"/>
    <x v="1222"/>
    <x v="27"/>
    <x v="0"/>
    <x v="109"/>
  </r>
  <r>
    <x v="14"/>
    <s v="PSMCY"/>
    <n v="112123"/>
    <s v="PSMCY"/>
    <n v="1502"/>
    <x v="7"/>
    <x v="1223"/>
    <x v="27"/>
    <x v="0"/>
    <x v="83"/>
  </r>
  <r>
    <x v="14"/>
    <s v="PSMFI"/>
    <n v="112109"/>
    <s v="PSMFI"/>
    <n v="1495"/>
    <x v="7"/>
    <x v="1224"/>
    <x v="27"/>
    <x v="0"/>
    <x v="21"/>
  </r>
  <r>
    <x v="14"/>
    <s v="PSMSH"/>
    <n v="112133"/>
    <s v="PSMSH"/>
    <n v="1507"/>
    <x v="7"/>
    <x v="1225"/>
    <x v="27"/>
    <x v="0"/>
    <x v="79"/>
  </r>
  <r>
    <x v="14"/>
    <s v="PVDAP"/>
    <n v="112101"/>
    <s v="PVDAP"/>
    <n v="1491"/>
    <x v="7"/>
    <x v="1226"/>
    <x v="27"/>
    <x v="0"/>
    <x v="9"/>
  </r>
  <r>
    <x v="14"/>
    <s v="PWMBW"/>
    <n v="112137"/>
    <s v="PWMBW"/>
    <n v="1509"/>
    <x v="7"/>
    <x v="1227"/>
    <x v="27"/>
    <x v="0"/>
    <x v="10"/>
  </r>
  <r>
    <x v="14"/>
    <s v="RDUCH"/>
    <n v="112155"/>
    <s v="RDUCH"/>
    <n v="1518"/>
    <x v="7"/>
    <x v="1228"/>
    <x v="27"/>
    <x v="0"/>
    <x v="169"/>
  </r>
  <r>
    <x v="14"/>
    <s v="RDUSF"/>
    <n v="112285"/>
    <s v="RDUSF"/>
    <n v="1583"/>
    <x v="7"/>
    <x v="1229"/>
    <x v="27"/>
    <x v="0"/>
    <x v="5"/>
  </r>
  <r>
    <x v="14"/>
    <s v="RICFI"/>
    <n v="112007"/>
    <s v="RICFI"/>
    <n v="1444"/>
    <x v="7"/>
    <x v="1230"/>
    <x v="27"/>
    <x v="0"/>
    <x v="23"/>
  </r>
  <r>
    <x v="14"/>
    <s v="RICGA"/>
    <n v="112173"/>
    <s v="RICGA"/>
    <n v="1527"/>
    <x v="7"/>
    <x v="1231"/>
    <x v="27"/>
    <x v="0"/>
    <x v="76"/>
  </r>
  <r>
    <x v="14"/>
    <s v="RICRA"/>
    <n v="112251"/>
    <s v="RICRA"/>
    <n v="1566"/>
    <x v="7"/>
    <x v="1232"/>
    <x v="27"/>
    <x v="0"/>
    <x v="79"/>
  </r>
  <r>
    <x v="14"/>
    <s v="RICSC"/>
    <n v="112263"/>
    <s v="RICSC"/>
    <n v="1572"/>
    <x v="7"/>
    <x v="1233"/>
    <x v="27"/>
    <x v="0"/>
    <x v="42"/>
  </r>
  <r>
    <x v="14"/>
    <s v="RSWCH"/>
    <n v="112243"/>
    <s v="RSWCH"/>
    <n v="1562"/>
    <x v="7"/>
    <x v="1234"/>
    <x v="27"/>
    <x v="0"/>
    <x v="103"/>
  </r>
  <r>
    <x v="14"/>
    <s v="RSWFS"/>
    <n v="112025"/>
    <s v="RSWFS"/>
    <n v="1453"/>
    <x v="7"/>
    <x v="1235"/>
    <x v="27"/>
    <x v="0"/>
    <x v="31"/>
  </r>
  <r>
    <x v="14"/>
    <s v="SBNCB"/>
    <n v="112179"/>
    <s v="SBNCB"/>
    <n v="1530"/>
    <x v="7"/>
    <x v="1236"/>
    <x v="27"/>
    <x v="0"/>
    <x v="19"/>
  </r>
  <r>
    <x v="14"/>
    <s v="SBNCD"/>
    <n v="112141"/>
    <s v="SBNCD"/>
    <n v="1511"/>
    <x v="7"/>
    <x v="1237"/>
    <x v="27"/>
    <x v="0"/>
    <x v="63"/>
  </r>
  <r>
    <x v="14"/>
    <s v="SBNSD"/>
    <n v="112249"/>
    <s v="SBNSD"/>
    <n v="1565"/>
    <x v="7"/>
    <x v="1238"/>
    <x v="27"/>
    <x v="0"/>
    <x v="9"/>
  </r>
  <r>
    <x v="14"/>
    <s v="SBYCI"/>
    <n v="112075"/>
    <s v="SBYCI"/>
    <n v="1478"/>
    <x v="7"/>
    <x v="1239"/>
    <x v="27"/>
    <x v="0"/>
    <x v="9"/>
  </r>
  <r>
    <x v="14"/>
    <s v="SBYFS"/>
    <n v="112253"/>
    <s v="SBYFS"/>
    <n v="1567"/>
    <x v="7"/>
    <x v="1240"/>
    <x v="27"/>
    <x v="0"/>
    <x v="45"/>
  </r>
  <r>
    <x v="14"/>
    <s v="SCECY"/>
    <n v="112047"/>
    <s v="SCECY"/>
    <n v="1464"/>
    <x v="7"/>
    <x v="1241"/>
    <x v="27"/>
    <x v="0"/>
    <x v="39"/>
  </r>
  <r>
    <x v="14"/>
    <s v="SDFFB"/>
    <n v="112067"/>
    <s v="SDFFB"/>
    <n v="1474"/>
    <x v="7"/>
    <x v="1242"/>
    <x v="27"/>
    <x v="0"/>
    <x v="9"/>
  </r>
  <r>
    <x v="14"/>
    <s v="SDFFY"/>
    <n v="112153"/>
    <s v="SDFFY"/>
    <n v="1517"/>
    <x v="7"/>
    <x v="1243"/>
    <x v="27"/>
    <x v="0"/>
    <x v="43"/>
  </r>
  <r>
    <x v="14"/>
    <s v="SEGFI"/>
    <n v="112217"/>
    <s v="SEGFI"/>
    <n v="1549"/>
    <x v="7"/>
    <x v="1244"/>
    <x v="27"/>
    <x v="0"/>
    <x v="111"/>
  </r>
  <r>
    <x v="14"/>
    <s v="SHDFS"/>
    <n v="112041"/>
    <s v="SHDFS"/>
    <n v="1461"/>
    <x v="7"/>
    <x v="1245"/>
    <x v="27"/>
    <x v="0"/>
    <x v="67"/>
  </r>
  <r>
    <x v="14"/>
    <s v="SMEFI"/>
    <n v="112027"/>
    <s v="SMEFI"/>
    <n v="1454"/>
    <x v="7"/>
    <x v="1246"/>
    <x v="27"/>
    <x v="0"/>
    <x v="129"/>
  </r>
  <r>
    <x v="14"/>
    <s v="SRQSR"/>
    <n v="112105"/>
    <s v="SRQSR"/>
    <n v="1493"/>
    <x v="7"/>
    <x v="1247"/>
    <x v="27"/>
    <x v="0"/>
    <x v="51"/>
  </r>
  <r>
    <x v="14"/>
    <s v="SWFCY"/>
    <n v="112209"/>
    <s v="SWFCY"/>
    <n v="1545"/>
    <x v="7"/>
    <x v="1248"/>
    <x v="27"/>
    <x v="0"/>
    <x v="46"/>
  </r>
  <r>
    <x v="14"/>
    <s v="TLHCT"/>
    <n v="112277"/>
    <s v="TLHCT"/>
    <n v="1579"/>
    <x v="7"/>
    <x v="1249"/>
    <x v="27"/>
    <x v="0"/>
    <x v="32"/>
  </r>
  <r>
    <x v="14"/>
    <s v="TOLBG"/>
    <n v="112017"/>
    <s v="TOLBG"/>
    <n v="1449"/>
    <x v="7"/>
    <x v="1250"/>
    <x v="27"/>
    <x v="0"/>
    <x v="20"/>
  </r>
  <r>
    <x v="14"/>
    <s v="TPAEF"/>
    <n v="112043"/>
    <s v="TPAEF"/>
    <n v="1462"/>
    <x v="7"/>
    <x v="1251"/>
    <x v="27"/>
    <x v="0"/>
    <x v="67"/>
  </r>
  <r>
    <x v="14"/>
    <s v="TPAMB"/>
    <n v="112181"/>
    <s v="TPAMB"/>
    <n v="1531"/>
    <x v="7"/>
    <x v="1252"/>
    <x v="27"/>
    <x v="0"/>
    <x v="13"/>
  </r>
  <r>
    <x v="14"/>
    <s v="TPASN"/>
    <n v="112065"/>
    <s v="TPASN"/>
    <n v="1473"/>
    <x v="7"/>
    <x v="1253"/>
    <x v="27"/>
    <x v="0"/>
    <x v="86"/>
  </r>
  <r>
    <x v="14"/>
    <s v="TYSCP"/>
    <n v="112169"/>
    <s v="TYSCP"/>
    <n v="1525"/>
    <x v="7"/>
    <x v="1254"/>
    <x v="27"/>
    <x v="0"/>
    <x v="4"/>
  </r>
  <r>
    <x v="14"/>
    <s v="TYSFN"/>
    <n v="112015"/>
    <s v="TYSFN"/>
    <n v="1448"/>
    <x v="7"/>
    <x v="1255"/>
    <x v="27"/>
    <x v="0"/>
    <x v="18"/>
  </r>
  <r>
    <x v="14"/>
    <s v="VLDCY"/>
    <n v="112035"/>
    <s v="VLDCY"/>
    <n v="1458"/>
    <x v="7"/>
    <x v="1256"/>
    <x v="27"/>
    <x v="0"/>
    <x v="20"/>
  </r>
  <r>
    <x v="14"/>
    <s v="YGKFI"/>
    <n v="112129"/>
    <s v="YGKFI"/>
    <n v="1505"/>
    <x v="7"/>
    <x v="1257"/>
    <x v="27"/>
    <x v="0"/>
    <x v="44"/>
  </r>
  <r>
    <x v="14"/>
    <s v="YNGCY"/>
    <n v="112083"/>
    <s v="YNGCY"/>
    <n v="1482"/>
    <x v="7"/>
    <x v="1258"/>
    <x v="27"/>
    <x v="0"/>
    <x v="77"/>
  </r>
  <r>
    <x v="14"/>
    <s v="YNGFI"/>
    <n v="112107"/>
    <s v="YNGFI"/>
    <n v="1494"/>
    <x v="7"/>
    <x v="1259"/>
    <x v="27"/>
    <x v="0"/>
    <x v="92"/>
  </r>
  <r>
    <x v="14"/>
    <s v="YYZFO"/>
    <n v="112255"/>
    <s v="YYZFO"/>
    <n v="1568"/>
    <x v="7"/>
    <x v="1260"/>
    <x v="27"/>
    <x v="0"/>
    <x v="47"/>
  </r>
  <r>
    <x v="15"/>
    <s v="AUSSA"/>
    <n v="211049"/>
    <s v="AUSSA"/>
    <n v="1636"/>
    <x v="6"/>
    <x v="1261"/>
    <x v="28"/>
    <x v="0"/>
    <x v="104"/>
  </r>
  <r>
    <x v="15"/>
    <s v="DENAL"/>
    <n v="211055"/>
    <s v="DENAL"/>
    <n v="1643"/>
    <x v="6"/>
    <x v="1262"/>
    <x v="28"/>
    <x v="0"/>
    <x v="109"/>
  </r>
  <r>
    <x v="15"/>
    <s v="DENAN"/>
    <n v="211057"/>
    <s v="DENAN"/>
    <n v="1644"/>
    <x v="6"/>
    <x v="1263"/>
    <x v="28"/>
    <x v="0"/>
    <x v="22"/>
  </r>
  <r>
    <x v="15"/>
    <s v="ELPAL"/>
    <n v="211059"/>
    <s v="ELPAL"/>
    <n v="1645"/>
    <x v="6"/>
    <x v="1264"/>
    <x v="28"/>
    <x v="0"/>
    <x v="5"/>
  </r>
  <r>
    <x v="15"/>
    <s v="LASHA"/>
    <n v="211061"/>
    <s v="LASHA"/>
    <n v="1646"/>
    <x v="6"/>
    <x v="1265"/>
    <x v="28"/>
    <x v="0"/>
    <x v="74"/>
  </r>
  <r>
    <x v="15"/>
    <s v="MFEAL"/>
    <n v="211051"/>
    <s v="MFEAL"/>
    <n v="1637"/>
    <x v="6"/>
    <x v="1266"/>
    <x v="28"/>
    <x v="0"/>
    <x v="25"/>
  </r>
  <r>
    <x v="15"/>
    <s v="OKCAQ"/>
    <n v="211053"/>
    <s v="OKCAQ"/>
    <n v="1641"/>
    <x v="6"/>
    <x v="1267"/>
    <x v="28"/>
    <x v="0"/>
    <x v="19"/>
  </r>
  <r>
    <x v="15"/>
    <s v="SATNA"/>
    <n v="211047"/>
    <s v="SATNA"/>
    <n v="1635"/>
    <x v="6"/>
    <x v="1268"/>
    <x v="28"/>
    <x v="0"/>
    <x v="74"/>
  </r>
  <r>
    <x v="15"/>
    <s v="YYFFP"/>
    <n v="211063"/>
    <s v="YYFFP"/>
    <n v="1647"/>
    <x v="6"/>
    <x v="1269"/>
    <x v="28"/>
    <x v="0"/>
    <x v="60"/>
  </r>
  <r>
    <x v="15"/>
    <s v="ATWFP"/>
    <n v="112317"/>
    <s v="ATWFP"/>
    <n v="1639"/>
    <x v="7"/>
    <x v="1270"/>
    <x v="28"/>
    <x v="0"/>
    <x v="48"/>
  </r>
  <r>
    <x v="15"/>
    <s v="BHMAL"/>
    <n v="112319"/>
    <s v="BHMAL"/>
    <n v="1640"/>
    <x v="7"/>
    <x v="1271"/>
    <x v="28"/>
    <x v="0"/>
    <x v="29"/>
  </r>
  <r>
    <x v="15"/>
    <s v="CLTAL"/>
    <n v="112307"/>
    <s v="CLTAL"/>
    <n v="1631"/>
    <x v="7"/>
    <x v="1272"/>
    <x v="28"/>
    <x v="0"/>
    <x v="74"/>
  </r>
  <r>
    <x v="15"/>
    <s v="CLTUL"/>
    <n v="112299"/>
    <s v="CLTUL"/>
    <n v="1627"/>
    <x v="7"/>
    <x v="1273"/>
    <x v="28"/>
    <x v="0"/>
    <x v="64"/>
  </r>
  <r>
    <x v="15"/>
    <s v="FLLAA"/>
    <n v="112309"/>
    <s v="FLLAA"/>
    <n v="1632"/>
    <x v="7"/>
    <x v="1274"/>
    <x v="28"/>
    <x v="0"/>
    <x v="96"/>
  </r>
  <r>
    <x v="15"/>
    <s v="GNVAL"/>
    <n v="112301"/>
    <s v="GNVAL"/>
    <n v="1628"/>
    <x v="7"/>
    <x v="1275"/>
    <x v="28"/>
    <x v="0"/>
    <x v="59"/>
  </r>
  <r>
    <x v="15"/>
    <s v="INDAL"/>
    <n v="112313"/>
    <s v="INDAL"/>
    <n v="1634"/>
    <x v="7"/>
    <x v="1276"/>
    <x v="28"/>
    <x v="0"/>
    <x v="71"/>
  </r>
  <r>
    <x v="15"/>
    <s v="MKEAL"/>
    <n v="112321"/>
    <s v="MKEAL"/>
    <n v="1642"/>
    <x v="7"/>
    <x v="1277"/>
    <x v="28"/>
    <x v="0"/>
    <x v="53"/>
  </r>
  <r>
    <x v="15"/>
    <s v="MKEFP"/>
    <n v="112315"/>
    <s v="MKEFP"/>
    <n v="1638"/>
    <x v="7"/>
    <x v="1278"/>
    <x v="28"/>
    <x v="0"/>
    <x v="76"/>
  </r>
  <r>
    <x v="15"/>
    <s v="PWMAL"/>
    <n v="112311"/>
    <s v="PWMAL"/>
    <n v="1633"/>
    <x v="7"/>
    <x v="1279"/>
    <x v="28"/>
    <x v="0"/>
    <x v="2"/>
  </r>
  <r>
    <x v="15"/>
    <s v="RDULA"/>
    <n v="112305"/>
    <s v="RDULA"/>
    <n v="1630"/>
    <x v="7"/>
    <x v="1280"/>
    <x v="28"/>
    <x v="0"/>
    <x v="43"/>
  </r>
  <r>
    <x v="15"/>
    <s v="SBYAL"/>
    <n v="112303"/>
    <s v="SBYAL"/>
    <n v="1629"/>
    <x v="7"/>
    <x v="1281"/>
    <x v="28"/>
    <x v="0"/>
    <x v="22"/>
  </r>
  <r>
    <x v="15"/>
    <s v="TYSAL"/>
    <n v="112297"/>
    <s v="TYSAL"/>
    <n v="1626"/>
    <x v="7"/>
    <x v="1282"/>
    <x v="28"/>
    <x v="0"/>
    <x v="37"/>
  </r>
  <r>
    <x v="16"/>
    <s v="COSFI"/>
    <n v="212075"/>
    <s v="COSFI"/>
    <n v="1755"/>
    <x v="8"/>
    <x v="1283"/>
    <x v="29"/>
    <x v="0"/>
    <x v="127"/>
  </r>
  <r>
    <x v="16"/>
    <s v="DENDA"/>
    <n v="212071"/>
    <s v="DENDA"/>
    <n v="1753"/>
    <x v="8"/>
    <x v="1284"/>
    <x v="29"/>
    <x v="0"/>
    <x v="6"/>
  </r>
  <r>
    <x v="16"/>
    <s v="DENFA"/>
    <n v="212069"/>
    <s v="DENFA"/>
    <n v="1750"/>
    <x v="8"/>
    <x v="1285"/>
    <x v="29"/>
    <x v="0"/>
    <x v="53"/>
  </r>
  <r>
    <x v="16"/>
    <s v="FTCGR"/>
    <n v="212079"/>
    <s v="FTCGR"/>
    <n v="1757"/>
    <x v="8"/>
    <x v="1286"/>
    <x v="29"/>
    <x v="0"/>
    <x v="82"/>
  </r>
  <r>
    <x v="16"/>
    <s v="GEGFA"/>
    <n v="212165"/>
    <s v="GEGFA"/>
    <n v="1802"/>
    <x v="8"/>
    <x v="1287"/>
    <x v="29"/>
    <x v="0"/>
    <x v="78"/>
  </r>
  <r>
    <x v="16"/>
    <s v="GEGSH"/>
    <n v="212181"/>
    <s v="GEGSH"/>
    <n v="1810"/>
    <x v="8"/>
    <x v="1288"/>
    <x v="29"/>
    <x v="0"/>
    <x v="31"/>
  </r>
  <r>
    <x v="16"/>
    <s v="LAWDU"/>
    <n v="212017"/>
    <s v="LAWDU"/>
    <n v="1706"/>
    <x v="8"/>
    <x v="1289"/>
    <x v="29"/>
    <x v="0"/>
    <x v="48"/>
  </r>
  <r>
    <x v="16"/>
    <s v="LBBCY"/>
    <n v="212001"/>
    <s v="LBBCY"/>
    <n v="1692"/>
    <x v="8"/>
    <x v="1290"/>
    <x v="29"/>
    <x v="0"/>
    <x v="39"/>
  </r>
  <r>
    <x v="16"/>
    <s v="LBBDT"/>
    <n v="212043"/>
    <s v="LBBDT"/>
    <n v="1733"/>
    <x v="8"/>
    <x v="1291"/>
    <x v="29"/>
    <x v="0"/>
    <x v="79"/>
  </r>
  <r>
    <x v="16"/>
    <s v="LCHSH"/>
    <n v="212027"/>
    <s v="LCHSH"/>
    <n v="1720"/>
    <x v="8"/>
    <x v="1292"/>
    <x v="29"/>
    <x v="0"/>
    <x v="30"/>
  </r>
  <r>
    <x v="16"/>
    <s v="LFKCY"/>
    <n v="212029"/>
    <s v="LFKCY"/>
    <n v="1721"/>
    <x v="8"/>
    <x v="1293"/>
    <x v="29"/>
    <x v="0"/>
    <x v="21"/>
  </r>
  <r>
    <x v="16"/>
    <s v="LFTCY"/>
    <n v="212033"/>
    <s v="LFTCY"/>
    <n v="1724"/>
    <x v="8"/>
    <x v="1294"/>
    <x v="29"/>
    <x v="0"/>
    <x v="5"/>
  </r>
  <r>
    <x v="16"/>
    <s v="LGVFS"/>
    <n v="212039"/>
    <s v="LGVFS"/>
    <n v="1730"/>
    <x v="8"/>
    <x v="1295"/>
    <x v="29"/>
    <x v="0"/>
    <x v="23"/>
  </r>
  <r>
    <x v="16"/>
    <s v="LITDT"/>
    <n v="212009"/>
    <s v="LITDT"/>
    <n v="1699"/>
    <x v="8"/>
    <x v="1296"/>
    <x v="29"/>
    <x v="0"/>
    <x v="22"/>
  </r>
  <r>
    <x v="16"/>
    <s v="LJNCY"/>
    <n v="212005"/>
    <s v="LJNCY"/>
    <n v="1696"/>
    <x v="8"/>
    <x v="1297"/>
    <x v="29"/>
    <x v="0"/>
    <x v="62"/>
  </r>
  <r>
    <x v="16"/>
    <s v="MLUWM"/>
    <n v="212025"/>
    <s v="MLUWM"/>
    <n v="1716"/>
    <x v="8"/>
    <x v="1298"/>
    <x v="29"/>
    <x v="0"/>
    <x v="20"/>
  </r>
  <r>
    <x v="16"/>
    <s v="MSYFD"/>
    <n v="212015"/>
    <s v="MSYFD"/>
    <n v="1704"/>
    <x v="8"/>
    <x v="1299"/>
    <x v="29"/>
    <x v="0"/>
    <x v="79"/>
  </r>
  <r>
    <x v="16"/>
    <s v="MSYFM"/>
    <n v="212037"/>
    <s v="MSYFM"/>
    <n v="1728"/>
    <x v="8"/>
    <x v="1300"/>
    <x v="29"/>
    <x v="0"/>
    <x v="99"/>
  </r>
  <r>
    <x v="16"/>
    <s v="MSYGR"/>
    <n v="212019"/>
    <s v="MSYGR"/>
    <n v="1707"/>
    <x v="8"/>
    <x v="1301"/>
    <x v="29"/>
    <x v="0"/>
    <x v="68"/>
  </r>
  <r>
    <x v="16"/>
    <s v="MSYLL"/>
    <n v="212035"/>
    <s v="MSYLL"/>
    <n v="1725"/>
    <x v="8"/>
    <x v="1302"/>
    <x v="29"/>
    <x v="0"/>
    <x v="93"/>
  </r>
  <r>
    <x v="16"/>
    <s v="OMALV"/>
    <n v="212003"/>
    <s v="OMALV"/>
    <n v="1694"/>
    <x v="8"/>
    <x v="1303"/>
    <x v="29"/>
    <x v="0"/>
    <x v="184"/>
  </r>
  <r>
    <x v="16"/>
    <s v="OMAOX"/>
    <n v="212013"/>
    <s v="OMAOX"/>
    <n v="1703"/>
    <x v="8"/>
    <x v="1304"/>
    <x v="29"/>
    <x v="0"/>
    <x v="80"/>
  </r>
  <r>
    <x v="16"/>
    <s v="PDXFH"/>
    <n v="212173"/>
    <s v="PDXFH"/>
    <n v="1806"/>
    <x v="8"/>
    <x v="1305"/>
    <x v="29"/>
    <x v="0"/>
    <x v="32"/>
  </r>
  <r>
    <x v="16"/>
    <s v="PDXOW"/>
    <n v="212169"/>
    <s v="PDXOW"/>
    <n v="1804"/>
    <x v="8"/>
    <x v="1306"/>
    <x v="29"/>
    <x v="0"/>
    <x v="99"/>
  </r>
  <r>
    <x v="16"/>
    <s v="PHXCF"/>
    <n v="212135"/>
    <s v="PHX2"/>
    <n v="1829"/>
    <x v="8"/>
    <x v="1307"/>
    <x v="29"/>
    <x v="0"/>
    <x v="76"/>
  </r>
  <r>
    <x v="16"/>
    <s v="PHXFF"/>
    <n v="212135"/>
    <s v="PHX2"/>
    <n v="1787"/>
    <x v="8"/>
    <x v="1308"/>
    <x v="29"/>
    <x v="0"/>
    <x v="77"/>
  </r>
  <r>
    <x v="16"/>
    <s v="PNXCY"/>
    <n v="212051"/>
    <s v="PNXCY"/>
    <n v="1739"/>
    <x v="8"/>
    <x v="1309"/>
    <x v="29"/>
    <x v="0"/>
    <x v="14"/>
  </r>
  <r>
    <x v="16"/>
    <s v="RDDRE"/>
    <n v="212111"/>
    <s v="RDDRE"/>
    <n v="1775"/>
    <x v="8"/>
    <x v="1310"/>
    <x v="29"/>
    <x v="0"/>
    <x v="34"/>
  </r>
  <r>
    <x v="16"/>
    <s v="RFDCH"/>
    <n v="212031"/>
    <s v="RFDCH"/>
    <n v="1723"/>
    <x v="8"/>
    <x v="1311"/>
    <x v="29"/>
    <x v="0"/>
    <x v="135"/>
  </r>
  <r>
    <x v="16"/>
    <s v="RFDRF"/>
    <n v="212041"/>
    <s v="RFDRF"/>
    <n v="1732"/>
    <x v="8"/>
    <x v="1312"/>
    <x v="29"/>
    <x v="0"/>
    <x v="32"/>
  </r>
  <r>
    <x v="16"/>
    <s v="RNOCC"/>
    <n v="212137"/>
    <s v="RNOCC"/>
    <n v="1788"/>
    <x v="8"/>
    <x v="1313"/>
    <x v="29"/>
    <x v="0"/>
    <x v="47"/>
  </r>
  <r>
    <x v="16"/>
    <s v="RNOCS"/>
    <n v="212215"/>
    <s v="RNOCS"/>
    <n v="1827"/>
    <x v="8"/>
    <x v="1314"/>
    <x v="29"/>
    <x v="0"/>
    <x v="66"/>
  </r>
  <r>
    <x v="16"/>
    <s v="RNOCY"/>
    <n v="212105"/>
    <s v="RNOCY"/>
    <n v="1772"/>
    <x v="8"/>
    <x v="1315"/>
    <x v="29"/>
    <x v="0"/>
    <x v="14"/>
  </r>
  <r>
    <x v="16"/>
    <s v="RNOFI"/>
    <n v="212211"/>
    <s v="RNOFI"/>
    <n v="1825"/>
    <x v="8"/>
    <x v="1316"/>
    <x v="29"/>
    <x v="0"/>
    <x v="86"/>
  </r>
  <r>
    <x v="16"/>
    <s v="RNOSO"/>
    <n v="212121"/>
    <s v="RNOSO"/>
    <n v="1780"/>
    <x v="8"/>
    <x v="1317"/>
    <x v="29"/>
    <x v="0"/>
    <x v="14"/>
  </r>
  <r>
    <x v="16"/>
    <s v="RNOSU"/>
    <n v="212201"/>
    <s v="RNOSU"/>
    <n v="1820"/>
    <x v="8"/>
    <x v="1318"/>
    <x v="29"/>
    <x v="0"/>
    <x v="44"/>
  </r>
  <r>
    <x v="16"/>
    <s v="ROGFI"/>
    <n v="212007"/>
    <s v="ROGFI"/>
    <n v="1698"/>
    <x v="8"/>
    <x v="1319"/>
    <x v="29"/>
    <x v="0"/>
    <x v="17"/>
  </r>
  <r>
    <x v="16"/>
    <s v="SACCY"/>
    <n v="212183"/>
    <s v="SACCY"/>
    <n v="1811"/>
    <x v="8"/>
    <x v="1320"/>
    <x v="29"/>
    <x v="0"/>
    <x v="109"/>
  </r>
  <r>
    <x v="16"/>
    <s v="SACFL"/>
    <n v="212103"/>
    <s v="SACFL"/>
    <n v="1771"/>
    <x v="8"/>
    <x v="1321"/>
    <x v="29"/>
    <x v="0"/>
    <x v="50"/>
  </r>
  <r>
    <x v="16"/>
    <s v="SACFS"/>
    <n v="212167"/>
    <s v="SACFS"/>
    <n v="1803"/>
    <x v="8"/>
    <x v="1322"/>
    <x v="29"/>
    <x v="0"/>
    <x v="19"/>
  </r>
  <r>
    <x v="16"/>
    <s v="SACSH"/>
    <n v="212151"/>
    <s v="SACSH"/>
    <n v="1795"/>
    <x v="8"/>
    <x v="1323"/>
    <x v="29"/>
    <x v="0"/>
    <x v="13"/>
  </r>
  <r>
    <x v="16"/>
    <s v="SACSR"/>
    <n v="212127"/>
    <s v="SACSR"/>
    <n v="1783"/>
    <x v="8"/>
    <x v="1324"/>
    <x v="29"/>
    <x v="0"/>
    <x v="99"/>
  </r>
  <r>
    <x v="16"/>
    <s v="SACSW"/>
    <n v="212185"/>
    <s v="SACSW"/>
    <n v="1812"/>
    <x v="8"/>
    <x v="1325"/>
    <x v="29"/>
    <x v="0"/>
    <x v="50"/>
  </r>
  <r>
    <x v="16"/>
    <s v="SACVA"/>
    <n v="212209"/>
    <s v="SACVA"/>
    <n v="1824"/>
    <x v="8"/>
    <x v="1326"/>
    <x v="29"/>
    <x v="0"/>
    <x v="66"/>
  </r>
  <r>
    <x v="16"/>
    <s v="SACWI"/>
    <n v="212153"/>
    <s v="SACWI"/>
    <n v="1796"/>
    <x v="8"/>
    <x v="1327"/>
    <x v="29"/>
    <x v="0"/>
    <x v="98"/>
  </r>
  <r>
    <x v="16"/>
    <s v="SACWO"/>
    <n v="212139"/>
    <s v="SACWO"/>
    <n v="1789"/>
    <x v="8"/>
    <x v="1328"/>
    <x v="29"/>
    <x v="0"/>
    <x v="98"/>
  </r>
  <r>
    <x v="16"/>
    <s v="SAFFE"/>
    <n v="212055"/>
    <s v="SAFFE"/>
    <n v="1743"/>
    <x v="8"/>
    <x v="1329"/>
    <x v="29"/>
    <x v="0"/>
    <x v="10"/>
  </r>
  <r>
    <x v="16"/>
    <s v="SANAL"/>
    <n v="212199"/>
    <s v="SANAL"/>
    <n v="1819"/>
    <x v="8"/>
    <x v="1330"/>
    <x v="29"/>
    <x v="0"/>
    <x v="28"/>
  </r>
  <r>
    <x v="16"/>
    <s v="SANCD"/>
    <n v="212197"/>
    <s v="SANCD"/>
    <n v="1818"/>
    <x v="8"/>
    <x v="1331"/>
    <x v="29"/>
    <x v="0"/>
    <x v="154"/>
  </r>
  <r>
    <x v="16"/>
    <s v="SANCG"/>
    <n v="212107"/>
    <s v="SANCG"/>
    <n v="1773"/>
    <x v="8"/>
    <x v="1332"/>
    <x v="29"/>
    <x v="0"/>
    <x v="18"/>
  </r>
  <r>
    <x v="16"/>
    <s v="SANCM"/>
    <n v="212175"/>
    <s v="SANCM"/>
    <n v="1807"/>
    <x v="8"/>
    <x v="1333"/>
    <x v="29"/>
    <x v="0"/>
    <x v="185"/>
  </r>
  <r>
    <x v="16"/>
    <s v="SANCR"/>
    <n v="212203"/>
    <s v="SANCR"/>
    <n v="1821"/>
    <x v="8"/>
    <x v="1334"/>
    <x v="29"/>
    <x v="0"/>
    <x v="113"/>
  </r>
  <r>
    <x v="16"/>
    <s v="SANCS"/>
    <n v="212119"/>
    <s v="SANCS"/>
    <n v="1779"/>
    <x v="8"/>
    <x v="1335"/>
    <x v="29"/>
    <x v="0"/>
    <x v="117"/>
  </r>
  <r>
    <x v="16"/>
    <s v="SANCY"/>
    <n v="212143"/>
    <s v="SANCY"/>
    <n v="1791"/>
    <x v="8"/>
    <x v="1336"/>
    <x v="29"/>
    <x v="0"/>
    <x v="154"/>
  </r>
  <r>
    <x v="16"/>
    <s v="SANEC"/>
    <n v="212179"/>
    <s v="SANEC"/>
    <n v="1809"/>
    <x v="8"/>
    <x v="1337"/>
    <x v="29"/>
    <x v="0"/>
    <x v="22"/>
  </r>
  <r>
    <x v="16"/>
    <s v="SANES"/>
    <n v="212171"/>
    <s v="SANES"/>
    <n v="1805"/>
    <x v="8"/>
    <x v="1338"/>
    <x v="29"/>
    <x v="0"/>
    <x v="62"/>
  </r>
  <r>
    <x v="16"/>
    <s v="SANFD"/>
    <n v="212149"/>
    <s v="SANFD"/>
    <n v="1794"/>
    <x v="8"/>
    <x v="1339"/>
    <x v="29"/>
    <x v="0"/>
    <x v="47"/>
  </r>
  <r>
    <x v="16"/>
    <s v="SANFI"/>
    <n v="212207"/>
    <s v="SANFI"/>
    <n v="1823"/>
    <x v="8"/>
    <x v="1340"/>
    <x v="29"/>
    <x v="0"/>
    <x v="6"/>
  </r>
  <r>
    <x v="16"/>
    <s v="SANOD"/>
    <n v="212109"/>
    <s v="SANOD"/>
    <n v="1774"/>
    <x v="8"/>
    <x v="1341"/>
    <x v="29"/>
    <x v="0"/>
    <x v="103"/>
  </r>
  <r>
    <x v="16"/>
    <s v="SANOT"/>
    <n v="212141"/>
    <s v="SANOT"/>
    <n v="1790"/>
    <x v="8"/>
    <x v="1342"/>
    <x v="29"/>
    <x v="0"/>
    <x v="137"/>
  </r>
  <r>
    <x v="16"/>
    <s v="SANOX"/>
    <n v="212217"/>
    <s v="SANOX"/>
    <n v="1828"/>
    <x v="8"/>
    <x v="1343"/>
    <x v="29"/>
    <x v="0"/>
    <x v="3"/>
  </r>
  <r>
    <x v="16"/>
    <s v="SANSB"/>
    <n v="212189"/>
    <s v="SANSB"/>
    <n v="1814"/>
    <x v="8"/>
    <x v="1344"/>
    <x v="29"/>
    <x v="0"/>
    <x v="22"/>
  </r>
  <r>
    <x v="16"/>
    <s v="SANSC"/>
    <n v="212123"/>
    <s v="SANSC"/>
    <n v="1781"/>
    <x v="8"/>
    <x v="1345"/>
    <x v="29"/>
    <x v="0"/>
    <x v="19"/>
  </r>
  <r>
    <x v="16"/>
    <s v="SANSD"/>
    <n v="212157"/>
    <s v="SANSD"/>
    <n v="1798"/>
    <x v="8"/>
    <x v="1346"/>
    <x v="29"/>
    <x v="0"/>
    <x v="37"/>
  </r>
  <r>
    <x v="16"/>
    <s v="SANSM"/>
    <n v="212161"/>
    <s v="SANSM"/>
    <n v="1800"/>
    <x v="8"/>
    <x v="1347"/>
    <x v="29"/>
    <x v="0"/>
    <x v="104"/>
  </r>
  <r>
    <x v="16"/>
    <s v="SATBF"/>
    <n v="212045"/>
    <s v="SATBF"/>
    <n v="1734"/>
    <x v="8"/>
    <x v="1348"/>
    <x v="29"/>
    <x v="0"/>
    <x v="5"/>
  </r>
  <r>
    <x v="16"/>
    <s v="SATFM"/>
    <n v="212011"/>
    <s v="SATFM"/>
    <n v="1702"/>
    <x v="8"/>
    <x v="1349"/>
    <x v="29"/>
    <x v="0"/>
    <x v="32"/>
  </r>
  <r>
    <x v="16"/>
    <s v="SATNB"/>
    <n v="212021"/>
    <s v="SATNB"/>
    <n v="1710"/>
    <x v="8"/>
    <x v="1350"/>
    <x v="29"/>
    <x v="0"/>
    <x v="6"/>
  </r>
  <r>
    <x v="16"/>
    <s v="SBPAF"/>
    <n v="212155"/>
    <s v="SBPAF"/>
    <n v="1797"/>
    <x v="8"/>
    <x v="1351"/>
    <x v="29"/>
    <x v="0"/>
    <x v="95"/>
  </r>
  <r>
    <x v="16"/>
    <s v="SBPPR"/>
    <n v="212129"/>
    <s v="SBPPR"/>
    <n v="1784"/>
    <x v="8"/>
    <x v="1352"/>
    <x v="29"/>
    <x v="0"/>
    <x v="94"/>
  </r>
  <r>
    <x v="16"/>
    <s v="SBPSH"/>
    <n v="212195"/>
    <s v="SBPSH"/>
    <n v="1817"/>
    <x v="8"/>
    <x v="1353"/>
    <x v="29"/>
    <x v="0"/>
    <x v="94"/>
  </r>
  <r>
    <x v="16"/>
    <s v="SCKFI"/>
    <n v="212213"/>
    <s v="SCKFI"/>
    <n v="1826"/>
    <x v="8"/>
    <x v="1354"/>
    <x v="29"/>
    <x v="0"/>
    <x v="98"/>
  </r>
  <r>
    <x v="16"/>
    <s v="SCKLF"/>
    <n v="212125"/>
    <s v="SCKLF"/>
    <n v="1782"/>
    <x v="8"/>
    <x v="1355"/>
    <x v="29"/>
    <x v="0"/>
    <x v="50"/>
  </r>
  <r>
    <x v="16"/>
    <s v="SFOAC"/>
    <n v="212159"/>
    <s v="SFOAC"/>
    <n v="1799"/>
    <x v="8"/>
    <x v="1356"/>
    <x v="29"/>
    <x v="0"/>
    <x v="48"/>
  </r>
  <r>
    <x v="16"/>
    <s v="SFONS"/>
    <n v="212163"/>
    <s v="SFONS"/>
    <n v="1801"/>
    <x v="8"/>
    <x v="1357"/>
    <x v="29"/>
    <x v="0"/>
    <x v="47"/>
  </r>
  <r>
    <x v="16"/>
    <s v="SFOVL"/>
    <n v="212205"/>
    <s v="SFOVL"/>
    <n v="1822"/>
    <x v="8"/>
    <x v="1358"/>
    <x v="29"/>
    <x v="0"/>
    <x v="61"/>
  </r>
  <r>
    <x v="16"/>
    <s v="SGUFI"/>
    <n v="212073"/>
    <s v="SGUFI"/>
    <n v="1754"/>
    <x v="8"/>
    <x v="1359"/>
    <x v="29"/>
    <x v="0"/>
    <x v="67"/>
  </r>
  <r>
    <x v="16"/>
    <s v="SGUZI"/>
    <n v="212065"/>
    <s v="SGUZI"/>
    <n v="1748"/>
    <x v="8"/>
    <x v="1360"/>
    <x v="29"/>
    <x v="0"/>
    <x v="44"/>
  </r>
  <r>
    <x v="16"/>
    <s v="SLCAD"/>
    <n v="212087"/>
    <s v="SLCAD"/>
    <n v="1761"/>
    <x v="8"/>
    <x v="1361"/>
    <x v="29"/>
    <x v="0"/>
    <x v="118"/>
  </r>
  <r>
    <x v="16"/>
    <s v="SLCAP"/>
    <n v="212077"/>
    <s v="SLCAP"/>
    <n v="1756"/>
    <x v="8"/>
    <x v="1362"/>
    <x v="29"/>
    <x v="0"/>
    <x v="56"/>
  </r>
  <r>
    <x v="16"/>
    <s v="SLCCL"/>
    <n v="212089"/>
    <s v="SLCCL"/>
    <n v="1762"/>
    <x v="8"/>
    <x v="1363"/>
    <x v="29"/>
    <x v="0"/>
    <x v="77"/>
  </r>
  <r>
    <x v="16"/>
    <s v="SLCFD"/>
    <n v="212083"/>
    <s v="SLCFD"/>
    <n v="1759"/>
    <x v="8"/>
    <x v="1364"/>
    <x v="29"/>
    <x v="0"/>
    <x v="22"/>
  </r>
  <r>
    <x v="16"/>
    <s v="SLCFI"/>
    <n v="212095"/>
    <s v="SLCFI"/>
    <n v="1767"/>
    <x v="8"/>
    <x v="1365"/>
    <x v="29"/>
    <x v="0"/>
    <x v="82"/>
  </r>
  <r>
    <x v="16"/>
    <s v="SLCFR"/>
    <n v="212101"/>
    <s v="SLCFR"/>
    <n v="1770"/>
    <x v="8"/>
    <x v="1366"/>
    <x v="29"/>
    <x v="0"/>
    <x v="127"/>
  </r>
  <r>
    <x v="16"/>
    <s v="SLCFW"/>
    <n v="212067"/>
    <s v="SLCFW"/>
    <n v="1749"/>
    <x v="8"/>
    <x v="1367"/>
    <x v="29"/>
    <x v="0"/>
    <x v="32"/>
  </r>
  <r>
    <x v="16"/>
    <s v="SLCLG"/>
    <n v="212059"/>
    <s v="SLCLG"/>
    <n v="1745"/>
    <x v="8"/>
    <x v="1368"/>
    <x v="29"/>
    <x v="0"/>
    <x v="0"/>
  </r>
  <r>
    <x v="16"/>
    <s v="SLCOP"/>
    <n v="212061"/>
    <s v="SLCOP"/>
    <n v="1746"/>
    <x v="8"/>
    <x v="1369"/>
    <x v="29"/>
    <x v="0"/>
    <x v="63"/>
  </r>
  <r>
    <x v="16"/>
    <s v="SLCSA"/>
    <n v="212097"/>
    <s v="SLCSA"/>
    <n v="1768"/>
    <x v="8"/>
    <x v="1370"/>
    <x v="29"/>
    <x v="0"/>
    <x v="7"/>
  </r>
  <r>
    <x v="16"/>
    <s v="SLCSD"/>
    <n v="212085"/>
    <s v="SLCSD"/>
    <n v="1760"/>
    <x v="8"/>
    <x v="1371"/>
    <x v="29"/>
    <x v="0"/>
    <x v="68"/>
  </r>
  <r>
    <x v="16"/>
    <s v="SLCSH"/>
    <n v="212091"/>
    <s v="SLCSH"/>
    <n v="1764"/>
    <x v="8"/>
    <x v="1372"/>
    <x v="29"/>
    <x v="0"/>
    <x v="45"/>
  </r>
  <r>
    <x v="16"/>
    <s v="SLCSO"/>
    <n v="212099"/>
    <s v="SLCSO"/>
    <n v="1769"/>
    <x v="8"/>
    <x v="1373"/>
    <x v="29"/>
    <x v="0"/>
    <x v="6"/>
  </r>
  <r>
    <x v="16"/>
    <s v="SMFAC"/>
    <n v="212113"/>
    <s v="SMFAC"/>
    <n v="1776"/>
    <x v="8"/>
    <x v="1374"/>
    <x v="29"/>
    <x v="0"/>
    <x v="116"/>
  </r>
  <r>
    <x v="16"/>
    <s v="SMFWC"/>
    <n v="212131"/>
    <s v="SMFWC"/>
    <n v="1785"/>
    <x v="8"/>
    <x v="1375"/>
    <x v="29"/>
    <x v="0"/>
    <x v="31"/>
  </r>
  <r>
    <x v="16"/>
    <s v="STLCA"/>
    <n v="212023"/>
    <s v="STLCA"/>
    <n v="1711"/>
    <x v="8"/>
    <x v="1376"/>
    <x v="29"/>
    <x v="0"/>
    <x v="71"/>
  </r>
  <r>
    <x v="16"/>
    <s v="STSCY"/>
    <n v="212145"/>
    <s v="STSCY"/>
    <n v="1792"/>
    <x v="8"/>
    <x v="1377"/>
    <x v="29"/>
    <x v="0"/>
    <x v="96"/>
  </r>
  <r>
    <x v="16"/>
    <s v="STSFI"/>
    <n v="212187"/>
    <s v="STSFI"/>
    <n v="1813"/>
    <x v="8"/>
    <x v="1378"/>
    <x v="29"/>
    <x v="0"/>
    <x v="47"/>
  </r>
  <r>
    <x v="16"/>
    <s v="TCCFI"/>
    <n v="212093"/>
    <s v="TCCFI"/>
    <n v="1766"/>
    <x v="8"/>
    <x v="1379"/>
    <x v="29"/>
    <x v="0"/>
    <x v="18"/>
  </r>
  <r>
    <x v="16"/>
    <s v="VISVT"/>
    <n v="212191"/>
    <s v="VISVT"/>
    <n v="1815"/>
    <x v="8"/>
    <x v="1380"/>
    <x v="29"/>
    <x v="0"/>
    <x v="81"/>
  </r>
  <r>
    <x v="16"/>
    <s v="WCOCY"/>
    <n v="212047"/>
    <s v="WCOCY"/>
    <n v="1735"/>
    <x v="8"/>
    <x v="1381"/>
    <x v="29"/>
    <x v="0"/>
    <x v="36"/>
  </r>
  <r>
    <x v="16"/>
    <s v="WJFFI"/>
    <n v="212117"/>
    <s v="WJFFI"/>
    <n v="1778"/>
    <x v="8"/>
    <x v="1382"/>
    <x v="29"/>
    <x v="0"/>
    <x v="32"/>
  </r>
  <r>
    <x v="16"/>
    <s v="XNAFX"/>
    <n v="212049"/>
    <s v="XNAFX"/>
    <n v="1736"/>
    <x v="8"/>
    <x v="1383"/>
    <x v="29"/>
    <x v="0"/>
    <x v="51"/>
  </r>
  <r>
    <x v="16"/>
    <s v="YCDCY"/>
    <n v="212177"/>
    <s v="YCDCY"/>
    <n v="1808"/>
    <x v="8"/>
    <x v="1384"/>
    <x v="29"/>
    <x v="0"/>
    <x v="61"/>
  </r>
  <r>
    <x v="16"/>
    <s v="YEGCY"/>
    <n v="212063"/>
    <s v="YEGCY"/>
    <n v="1747"/>
    <x v="8"/>
    <x v="1385"/>
    <x v="29"/>
    <x v="0"/>
    <x v="186"/>
  </r>
  <r>
    <x v="16"/>
    <s v="YEGFA"/>
    <n v="212081"/>
    <s v="YEGFA"/>
    <n v="1758"/>
    <x v="8"/>
    <x v="1386"/>
    <x v="29"/>
    <x v="0"/>
    <x v="104"/>
  </r>
  <r>
    <x v="16"/>
    <s v="YEGFI"/>
    <n v="212053"/>
    <s v="YEGFI"/>
    <n v="1742"/>
    <x v="8"/>
    <x v="1387"/>
    <x v="29"/>
    <x v="0"/>
    <x v="16"/>
  </r>
  <r>
    <x v="16"/>
    <s v="YKAFI"/>
    <n v="212115"/>
    <s v="YKAFI"/>
    <n v="1777"/>
    <x v="8"/>
    <x v="1388"/>
    <x v="29"/>
    <x v="0"/>
    <x v="44"/>
  </r>
  <r>
    <x v="16"/>
    <s v="YLWFI"/>
    <n v="212147"/>
    <s v="YLWFI"/>
    <n v="1793"/>
    <x v="8"/>
    <x v="1389"/>
    <x v="29"/>
    <x v="0"/>
    <x v="108"/>
  </r>
  <r>
    <x v="16"/>
    <s v="YLWFW"/>
    <n v="212133"/>
    <s v="YLWFW"/>
    <n v="1786"/>
    <x v="8"/>
    <x v="1390"/>
    <x v="29"/>
    <x v="0"/>
    <x v="17"/>
  </r>
  <r>
    <x v="16"/>
    <s v="YUMFI"/>
    <n v="212193"/>
    <s v="YUMFI"/>
    <n v="1816"/>
    <x v="8"/>
    <x v="1391"/>
    <x v="29"/>
    <x v="0"/>
    <x v="75"/>
  </r>
  <r>
    <x v="16"/>
    <s v="YYCBM"/>
    <n v="212057"/>
    <s v="YYCBM"/>
    <n v="1744"/>
    <x v="8"/>
    <x v="1392"/>
    <x v="29"/>
    <x v="0"/>
    <x v="31"/>
  </r>
  <r>
    <x v="16"/>
    <s v="BDLCW"/>
    <n v="120025"/>
    <s v="BDLCW"/>
    <n v="1671"/>
    <x v="9"/>
    <x v="1393"/>
    <x v="29"/>
    <x v="0"/>
    <x v="60"/>
  </r>
  <r>
    <x v="16"/>
    <s v="BDLHO"/>
    <n v="120029"/>
    <s v="BDLHO"/>
    <n v="1673"/>
    <x v="9"/>
    <x v="1394"/>
    <x v="29"/>
    <x v="0"/>
    <x v="26"/>
  </r>
  <r>
    <x v="16"/>
    <s v="BNACV"/>
    <n v="120109"/>
    <s v="BNACV"/>
    <n v="1738"/>
    <x v="9"/>
    <x v="1395"/>
    <x v="29"/>
    <x v="0"/>
    <x v="34"/>
  </r>
  <r>
    <x v="16"/>
    <s v="BNAVL"/>
    <n v="120105"/>
    <s v="BNAVL"/>
    <n v="1731"/>
    <x v="9"/>
    <x v="1396"/>
    <x v="29"/>
    <x v="0"/>
    <x v="11"/>
  </r>
  <r>
    <x v="16"/>
    <s v="DAYAC"/>
    <n v="120065"/>
    <s v="DAYAC"/>
    <n v="1691"/>
    <x v="9"/>
    <x v="1397"/>
    <x v="29"/>
    <x v="0"/>
    <x v="46"/>
  </r>
  <r>
    <x v="16"/>
    <s v="DAYFD"/>
    <n v="120005"/>
    <s v="DAYFD"/>
    <n v="1661"/>
    <x v="9"/>
    <x v="1398"/>
    <x v="29"/>
    <x v="0"/>
    <x v="67"/>
  </r>
  <r>
    <x v="16"/>
    <s v="DAYSF"/>
    <n v="120023"/>
    <s v="DAYSF"/>
    <n v="1670"/>
    <x v="9"/>
    <x v="1399"/>
    <x v="29"/>
    <x v="0"/>
    <x v="48"/>
  </r>
  <r>
    <x v="16"/>
    <s v="FARSH"/>
    <n v="120099"/>
    <s v="FARSH"/>
    <n v="1726"/>
    <x v="9"/>
    <x v="1400"/>
    <x v="29"/>
    <x v="0"/>
    <x v="71"/>
  </r>
  <r>
    <x v="16"/>
    <s v="HGRFI"/>
    <n v="120007"/>
    <s v="HGRFI"/>
    <n v="1662"/>
    <x v="9"/>
    <x v="1401"/>
    <x v="29"/>
    <x v="0"/>
    <x v="13"/>
  </r>
  <r>
    <x v="16"/>
    <s v="IADGV"/>
    <n v="120027"/>
    <s v="IADGV"/>
    <n v="1672"/>
    <x v="9"/>
    <x v="1402"/>
    <x v="29"/>
    <x v="0"/>
    <x v="77"/>
  </r>
  <r>
    <x v="16"/>
    <s v="MEMAH"/>
    <n v="120101"/>
    <s v="MEMAH"/>
    <n v="1727"/>
    <x v="9"/>
    <x v="1403"/>
    <x v="29"/>
    <x v="0"/>
    <x v="99"/>
  </r>
  <r>
    <x v="16"/>
    <s v="MEMFA"/>
    <n v="120089"/>
    <s v="MEMFA"/>
    <n v="1715"/>
    <x v="9"/>
    <x v="1404"/>
    <x v="29"/>
    <x v="0"/>
    <x v="77"/>
  </r>
  <r>
    <x v="16"/>
    <s v="MEMLX"/>
    <n v="120107"/>
    <s v="MEMLX"/>
    <n v="1737"/>
    <x v="9"/>
    <x v="1405"/>
    <x v="29"/>
    <x v="0"/>
    <x v="13"/>
  </r>
  <r>
    <x v="16"/>
    <s v="MEMOX"/>
    <n v="120067"/>
    <s v="MEMOX"/>
    <n v="1693"/>
    <x v="9"/>
    <x v="1406"/>
    <x v="29"/>
    <x v="0"/>
    <x v="119"/>
  </r>
  <r>
    <x v="16"/>
    <s v="MGMSP"/>
    <n v="120111"/>
    <s v="MGMSP"/>
    <n v="1740"/>
    <x v="9"/>
    <x v="1407"/>
    <x v="29"/>
    <x v="0"/>
    <x v="49"/>
  </r>
  <r>
    <x v="16"/>
    <s v="MKEAP"/>
    <n v="120071"/>
    <s v="MKEAP"/>
    <n v="1697"/>
    <x v="9"/>
    <x v="1408"/>
    <x v="29"/>
    <x v="0"/>
    <x v="119"/>
  </r>
  <r>
    <x v="16"/>
    <s v="MKEFB"/>
    <n v="120077"/>
    <s v="MKEFB"/>
    <n v="1705"/>
    <x v="9"/>
    <x v="1409"/>
    <x v="29"/>
    <x v="0"/>
    <x v="96"/>
  </r>
  <r>
    <x v="16"/>
    <s v="MKEFI"/>
    <n v="120073"/>
    <s v="MKEFI"/>
    <n v="1700"/>
    <x v="9"/>
    <x v="1410"/>
    <x v="29"/>
    <x v="0"/>
    <x v="20"/>
  </r>
  <r>
    <x v="16"/>
    <s v="MKESK"/>
    <n v="120091"/>
    <s v="MKESK"/>
    <n v="1717"/>
    <x v="9"/>
    <x v="1411"/>
    <x v="29"/>
    <x v="0"/>
    <x v="49"/>
  </r>
  <r>
    <x v="16"/>
    <s v="MKLCY"/>
    <n v="120081"/>
    <s v="MKLCY"/>
    <n v="1709"/>
    <x v="9"/>
    <x v="1187"/>
    <x v="29"/>
    <x v="0"/>
    <x v="49"/>
  </r>
  <r>
    <x v="16"/>
    <s v="MLIBH"/>
    <n v="120075"/>
    <s v="MLIBH"/>
    <n v="1701"/>
    <x v="9"/>
    <x v="1412"/>
    <x v="29"/>
    <x v="0"/>
    <x v="45"/>
  </r>
  <r>
    <x v="16"/>
    <s v="MPOFI"/>
    <n v="120019"/>
    <s v="MPOFI"/>
    <n v="1668"/>
    <x v="9"/>
    <x v="1413"/>
    <x v="29"/>
    <x v="0"/>
    <x v="20"/>
  </r>
  <r>
    <x v="16"/>
    <s v="MSNBF"/>
    <n v="120093"/>
    <s v="MSNBF"/>
    <n v="1718"/>
    <x v="9"/>
    <x v="1414"/>
    <x v="29"/>
    <x v="0"/>
    <x v="50"/>
  </r>
  <r>
    <x v="16"/>
    <s v="MSNHW"/>
    <n v="120085"/>
    <s v="MSNHW"/>
    <n v="1713"/>
    <x v="9"/>
    <x v="1415"/>
    <x v="29"/>
    <x v="0"/>
    <x v="187"/>
  </r>
  <r>
    <x v="16"/>
    <s v="PAHFI"/>
    <n v="120095"/>
    <s v="PAHFI"/>
    <n v="1719"/>
    <x v="9"/>
    <x v="1416"/>
    <x v="29"/>
    <x v="0"/>
    <x v="43"/>
  </r>
  <r>
    <x v="16"/>
    <s v="PHFYT"/>
    <n v="120039"/>
    <s v="PHFYT"/>
    <n v="1678"/>
    <x v="9"/>
    <x v="1417"/>
    <x v="29"/>
    <x v="0"/>
    <x v="18"/>
  </r>
  <r>
    <x v="16"/>
    <s v="PHLMF"/>
    <n v="120059"/>
    <s v="PHLMF"/>
    <n v="1688"/>
    <x v="9"/>
    <x v="1418"/>
    <x v="29"/>
    <x v="0"/>
    <x v="18"/>
  </r>
  <r>
    <x v="16"/>
    <s v="PNSFO"/>
    <n v="120097"/>
    <s v="PNSFO"/>
    <n v="1722"/>
    <x v="9"/>
    <x v="1419"/>
    <x v="29"/>
    <x v="0"/>
    <x v="37"/>
  </r>
  <r>
    <x v="16"/>
    <s v="PNSPC"/>
    <n v="120087"/>
    <s v="PNSPC"/>
    <n v="1714"/>
    <x v="9"/>
    <x v="1420"/>
    <x v="29"/>
    <x v="0"/>
    <x v="22"/>
  </r>
  <r>
    <x v="16"/>
    <s v="PNSPS"/>
    <n v="120069"/>
    <s v="PNSPS"/>
    <n v="1695"/>
    <x v="9"/>
    <x v="1421"/>
    <x v="29"/>
    <x v="0"/>
    <x v="32"/>
  </r>
  <r>
    <x v="16"/>
    <s v="PSMEX"/>
    <n v="120037"/>
    <s v="PSMEX"/>
    <n v="1677"/>
    <x v="9"/>
    <x v="1422"/>
    <x v="29"/>
    <x v="0"/>
    <x v="129"/>
  </r>
  <r>
    <x v="16"/>
    <s v="PWMLO"/>
    <n v="120017"/>
    <s v="PWMLO"/>
    <n v="1667"/>
    <x v="9"/>
    <x v="1111"/>
    <x v="29"/>
    <x v="0"/>
    <x v="9"/>
  </r>
  <r>
    <x v="16"/>
    <s v="RAPCY"/>
    <n v="120115"/>
    <s v="RAPCY"/>
    <n v="1751"/>
    <x v="9"/>
    <x v="1423"/>
    <x v="29"/>
    <x v="0"/>
    <x v="84"/>
  </r>
  <r>
    <x v="16"/>
    <s v="RAPFI"/>
    <n v="120119"/>
    <s v="RAPFI"/>
    <n v="1763"/>
    <x v="9"/>
    <x v="1424"/>
    <x v="29"/>
    <x v="0"/>
    <x v="25"/>
  </r>
  <r>
    <x v="16"/>
    <s v="RAPSP"/>
    <n v="120117"/>
    <s v="RAPSP"/>
    <n v="1752"/>
    <x v="9"/>
    <x v="1425"/>
    <x v="29"/>
    <x v="0"/>
    <x v="171"/>
  </r>
  <r>
    <x v="16"/>
    <s v="RICCN"/>
    <n v="120013"/>
    <s v="RICCN"/>
    <n v="1665"/>
    <x v="9"/>
    <x v="1426"/>
    <x v="29"/>
    <x v="0"/>
    <x v="71"/>
  </r>
  <r>
    <x v="16"/>
    <s v="RNZFI"/>
    <n v="120113"/>
    <s v="RNZFI"/>
    <n v="1741"/>
    <x v="9"/>
    <x v="1427"/>
    <x v="29"/>
    <x v="0"/>
    <x v="17"/>
  </r>
  <r>
    <x v="16"/>
    <s v="RSWNS"/>
    <n v="120057"/>
    <s v="RSWNS"/>
    <n v="1687"/>
    <x v="9"/>
    <x v="1428"/>
    <x v="29"/>
    <x v="0"/>
    <x v="16"/>
  </r>
  <r>
    <x v="16"/>
    <s v="RWIFR"/>
    <n v="120035"/>
    <s v="RWIFR"/>
    <n v="1676"/>
    <x v="9"/>
    <x v="1429"/>
    <x v="29"/>
    <x v="0"/>
    <x v="11"/>
  </r>
  <r>
    <x v="16"/>
    <s v="SAVAC"/>
    <n v="120051"/>
    <s v="SAVAC"/>
    <n v="1684"/>
    <x v="9"/>
    <x v="1430"/>
    <x v="29"/>
    <x v="0"/>
    <x v="147"/>
  </r>
  <r>
    <x v="16"/>
    <s v="SBNSN"/>
    <n v="120015"/>
    <s v="SBNSN"/>
    <n v="1666"/>
    <x v="9"/>
    <x v="1431"/>
    <x v="29"/>
    <x v="0"/>
    <x v="9"/>
  </r>
  <r>
    <x v="16"/>
    <s v="SDFSH"/>
    <n v="120021"/>
    <s v="SDFSH"/>
    <n v="1669"/>
    <x v="9"/>
    <x v="1432"/>
    <x v="29"/>
    <x v="0"/>
    <x v="65"/>
  </r>
  <r>
    <x v="16"/>
    <s v="SEGBL"/>
    <n v="120033"/>
    <s v="SEGBL"/>
    <n v="1675"/>
    <x v="9"/>
    <x v="1433"/>
    <x v="29"/>
    <x v="0"/>
    <x v="18"/>
  </r>
  <r>
    <x v="16"/>
    <s v="SYRVR"/>
    <n v="120041"/>
    <s v="SYRVR"/>
    <n v="1679"/>
    <x v="9"/>
    <x v="1434"/>
    <x v="29"/>
    <x v="0"/>
    <x v="78"/>
  </r>
  <r>
    <x v="16"/>
    <s v="TCLAC"/>
    <n v="120079"/>
    <s v="TCLAC"/>
    <n v="1708"/>
    <x v="9"/>
    <x v="1435"/>
    <x v="29"/>
    <x v="0"/>
    <x v="22"/>
  </r>
  <r>
    <x v="16"/>
    <s v="TFOSH"/>
    <n v="120011"/>
    <s v="TFOSH"/>
    <n v="1664"/>
    <x v="9"/>
    <x v="1436"/>
    <x v="29"/>
    <x v="0"/>
    <x v="19"/>
  </r>
  <r>
    <x v="16"/>
    <s v="TLHSE"/>
    <n v="120003"/>
    <s v="TLHSE"/>
    <n v="1660"/>
    <x v="9"/>
    <x v="1437"/>
    <x v="29"/>
    <x v="0"/>
    <x v="86"/>
  </r>
  <r>
    <x v="16"/>
    <s v="TOLFI"/>
    <n v="120001"/>
    <s v="TOLFI"/>
    <n v="1659"/>
    <x v="9"/>
    <x v="1438"/>
    <x v="29"/>
    <x v="0"/>
    <x v="171"/>
  </r>
  <r>
    <x v="16"/>
    <s v="TOLNO"/>
    <n v="120047"/>
    <s v="TOLNO"/>
    <n v="1682"/>
    <x v="9"/>
    <x v="1439"/>
    <x v="29"/>
    <x v="0"/>
    <x v="50"/>
  </r>
  <r>
    <x v="16"/>
    <s v="TPANP"/>
    <n v="120043"/>
    <s v="TPANP"/>
    <n v="1680"/>
    <x v="9"/>
    <x v="1440"/>
    <x v="29"/>
    <x v="0"/>
    <x v="66"/>
  </r>
  <r>
    <x v="16"/>
    <s v="TPANW"/>
    <n v="120049"/>
    <s v="TPANW"/>
    <n v="1683"/>
    <x v="9"/>
    <x v="1441"/>
    <x v="29"/>
    <x v="0"/>
    <x v="71"/>
  </r>
  <r>
    <x v="16"/>
    <s v="TRIFB"/>
    <n v="120053"/>
    <s v="TRIFB"/>
    <n v="1685"/>
    <x v="9"/>
    <x v="1442"/>
    <x v="29"/>
    <x v="0"/>
    <x v="67"/>
  </r>
  <r>
    <x v="16"/>
    <s v="TYSKX"/>
    <n v="120063"/>
    <s v="TYSKX"/>
    <n v="1690"/>
    <x v="9"/>
    <x v="1443"/>
    <x v="29"/>
    <x v="0"/>
    <x v="26"/>
  </r>
  <r>
    <x v="16"/>
    <s v="TYSSP"/>
    <n v="120031"/>
    <s v="TYSSP"/>
    <n v="1674"/>
    <x v="9"/>
    <x v="1444"/>
    <x v="29"/>
    <x v="0"/>
    <x v="24"/>
  </r>
  <r>
    <x v="16"/>
    <s v="VLDFV"/>
    <n v="120045"/>
    <s v="VLDFV"/>
    <n v="1681"/>
    <x v="9"/>
    <x v="1445"/>
    <x v="29"/>
    <x v="0"/>
    <x v="1"/>
  </r>
  <r>
    <x v="16"/>
    <s v="VPSCY"/>
    <n v="120103"/>
    <s v="VPSCY"/>
    <n v="1729"/>
    <x v="9"/>
    <x v="1446"/>
    <x v="29"/>
    <x v="0"/>
    <x v="134"/>
  </r>
  <r>
    <x v="16"/>
    <s v="VPSWF"/>
    <n v="120083"/>
    <s v="VPSWF"/>
    <n v="1712"/>
    <x v="9"/>
    <x v="1447"/>
    <x v="29"/>
    <x v="0"/>
    <x v="95"/>
  </r>
  <r>
    <x v="16"/>
    <s v="WASFK"/>
    <n v="120055"/>
    <s v="WASFK"/>
    <n v="1686"/>
    <x v="9"/>
    <x v="1448"/>
    <x v="29"/>
    <x v="0"/>
    <x v="38"/>
  </r>
  <r>
    <x v="16"/>
    <s v="YOWAC"/>
    <n v="120009"/>
    <s v="YOWAC"/>
    <n v="1663"/>
    <x v="9"/>
    <x v="1449"/>
    <x v="29"/>
    <x v="0"/>
    <x v="163"/>
  </r>
  <r>
    <x v="16"/>
    <s v="YQAGF"/>
    <n v="120061"/>
    <s v="YQAGF"/>
    <n v="1689"/>
    <x v="9"/>
    <x v="1450"/>
    <x v="29"/>
    <x v="0"/>
    <x v="16"/>
  </r>
  <r>
    <x v="16"/>
    <s v="YXECY"/>
    <n v="120121"/>
    <s v="YXECY"/>
    <n v="1765"/>
    <x v="9"/>
    <x v="1451"/>
    <x v="29"/>
    <x v="0"/>
    <x v="63"/>
  </r>
  <r>
    <x v="17"/>
    <s v="BTMFI"/>
    <n v="121067"/>
    <s v="BTMFI"/>
    <n v="1961"/>
    <x v="10"/>
    <x v="1452"/>
    <x v="30"/>
    <x v="0"/>
    <x v="142"/>
  </r>
  <r>
    <x v="17"/>
    <s v="BTRSH"/>
    <n v="213099"/>
    <s v="BTRSH"/>
    <n v="1904"/>
    <x v="11"/>
    <x v="1453"/>
    <x v="30"/>
    <x v="0"/>
    <x v="142"/>
  </r>
  <r>
    <x v="17"/>
    <s v="CAEOD"/>
    <n v="121005"/>
    <s v="CAEOD"/>
    <n v="1854"/>
    <x v="10"/>
    <x v="1454"/>
    <x v="30"/>
    <x v="0"/>
    <x v="142"/>
  </r>
  <r>
    <x v="17"/>
    <s v="CGIFI"/>
    <n v="213071"/>
    <s v="CGIFI"/>
    <n v="1883"/>
    <x v="11"/>
    <x v="1455"/>
    <x v="30"/>
    <x v="0"/>
    <x v="142"/>
  </r>
  <r>
    <x v="17"/>
    <s v="CHACC"/>
    <n v="121007"/>
    <s v="CHACC"/>
    <n v="1856"/>
    <x v="10"/>
    <x v="1456"/>
    <x v="30"/>
    <x v="0"/>
    <x v="142"/>
  </r>
  <r>
    <x v="17"/>
    <s v="CHIBL"/>
    <n v="213107"/>
    <s v="CHIBL"/>
    <n v="1908"/>
    <x v="11"/>
    <x v="1457"/>
    <x v="30"/>
    <x v="0"/>
    <x v="142"/>
  </r>
  <r>
    <x v="17"/>
    <s v="CHIGV"/>
    <n v="213051"/>
    <s v="CHIGV"/>
    <n v="1868"/>
    <x v="11"/>
    <x v="1458"/>
    <x v="30"/>
    <x v="0"/>
    <x v="142"/>
  </r>
  <r>
    <x v="17"/>
    <s v="CIDCI"/>
    <n v="121015"/>
    <s v="CIDCI"/>
    <n v="1875"/>
    <x v="10"/>
    <x v="1459"/>
    <x v="30"/>
    <x v="0"/>
    <x v="142"/>
  </r>
  <r>
    <x v="17"/>
    <s v="CIDFN"/>
    <n v="121049"/>
    <s v="CIDFN"/>
    <n v="1917"/>
    <x v="10"/>
    <x v="1460"/>
    <x v="30"/>
    <x v="0"/>
    <x v="142"/>
  </r>
  <r>
    <x v="17"/>
    <s v="CIDSH"/>
    <n v="121025"/>
    <s v="CIDSH"/>
    <n v="1885"/>
    <x v="10"/>
    <x v="1461"/>
    <x v="30"/>
    <x v="0"/>
    <x v="142"/>
  </r>
  <r>
    <x v="17"/>
    <s v="CPRCY"/>
    <n v="213201"/>
    <s v="CPRCY"/>
    <n v="1971"/>
    <x v="11"/>
    <x v="1462"/>
    <x v="30"/>
    <x v="0"/>
    <x v="142"/>
  </r>
  <r>
    <x v="17"/>
    <s v="CYSSW"/>
    <n v="213191"/>
    <s v="CYSSW"/>
    <n v="1966"/>
    <x v="11"/>
    <x v="1463"/>
    <x v="30"/>
    <x v="0"/>
    <x v="142"/>
  </r>
  <r>
    <x v="17"/>
    <s v="DENAF"/>
    <n v="213203"/>
    <s v="DENAF"/>
    <n v="1972"/>
    <x v="11"/>
    <x v="1464"/>
    <x v="30"/>
    <x v="0"/>
    <x v="142"/>
  </r>
  <r>
    <x v="17"/>
    <s v="DENAS"/>
    <n v="213185"/>
    <s v="DENAS"/>
    <n v="1962"/>
    <x v="11"/>
    <x v="1465"/>
    <x v="30"/>
    <x v="0"/>
    <x v="142"/>
  </r>
  <r>
    <x v="17"/>
    <s v="DENAU"/>
    <n v="213163"/>
    <s v="DENAU"/>
    <n v="1950"/>
    <x v="11"/>
    <x v="1466"/>
    <x v="30"/>
    <x v="0"/>
    <x v="142"/>
  </r>
  <r>
    <x v="17"/>
    <s v="DENBL"/>
    <n v="213157"/>
    <s v="DENBL"/>
    <n v="1947"/>
    <x v="11"/>
    <x v="1467"/>
    <x v="30"/>
    <x v="0"/>
    <x v="142"/>
  </r>
  <r>
    <x v="17"/>
    <s v="DENCD"/>
    <n v="213175"/>
    <s v="DENCD"/>
    <n v="1956"/>
    <x v="11"/>
    <x v="1468"/>
    <x v="30"/>
    <x v="0"/>
    <x v="142"/>
  </r>
  <r>
    <x v="17"/>
    <s v="DENFD"/>
    <n v="213143"/>
    <s v="DENFD"/>
    <n v="1939"/>
    <x v="11"/>
    <x v="1469"/>
    <x v="30"/>
    <x v="0"/>
    <x v="142"/>
  </r>
  <r>
    <x v="17"/>
    <s v="DENFS"/>
    <n v="213173"/>
    <s v="DENFS"/>
    <n v="1955"/>
    <x v="11"/>
    <x v="1470"/>
    <x v="30"/>
    <x v="0"/>
    <x v="142"/>
  </r>
  <r>
    <x v="17"/>
    <s v="DENFY"/>
    <n v="213221"/>
    <s v="DENFY"/>
    <n v="1981"/>
    <x v="11"/>
    <x v="1471"/>
    <x v="30"/>
    <x v="0"/>
    <x v="142"/>
  </r>
  <r>
    <x v="17"/>
    <s v="DENLG"/>
    <n v="213167"/>
    <s v="DENLG"/>
    <n v="1952"/>
    <x v="11"/>
    <x v="1472"/>
    <x v="30"/>
    <x v="0"/>
    <x v="142"/>
  </r>
  <r>
    <x v="17"/>
    <s v="DENLS"/>
    <n v="213225"/>
    <s v="DENLS"/>
    <n v="1983"/>
    <x v="11"/>
    <x v="1473"/>
    <x v="30"/>
    <x v="0"/>
    <x v="142"/>
  </r>
  <r>
    <x v="17"/>
    <s v="DENLT"/>
    <n v="213151"/>
    <s v="DENLT"/>
    <n v="1944"/>
    <x v="11"/>
    <x v="1474"/>
    <x v="30"/>
    <x v="0"/>
    <x v="142"/>
  </r>
  <r>
    <x v="17"/>
    <s v="DENNW"/>
    <n v="213145"/>
    <s v="DENNW"/>
    <n v="1940"/>
    <x v="11"/>
    <x v="1475"/>
    <x v="30"/>
    <x v="0"/>
    <x v="142"/>
  </r>
  <r>
    <x v="17"/>
    <s v="DENOX"/>
    <n v="213177"/>
    <s v="DENOX"/>
    <n v="1957"/>
    <x v="11"/>
    <x v="1476"/>
    <x v="30"/>
    <x v="0"/>
    <x v="142"/>
  </r>
  <r>
    <x v="17"/>
    <s v="DENPK"/>
    <n v="213183"/>
    <s v="DENPK"/>
    <n v="1960"/>
    <x v="11"/>
    <x v="1477"/>
    <x v="30"/>
    <x v="0"/>
    <x v="142"/>
  </r>
  <r>
    <x v="17"/>
    <s v="DENSD"/>
    <n v="213199"/>
    <s v="DENSD"/>
    <n v="1970"/>
    <x v="11"/>
    <x v="1478"/>
    <x v="30"/>
    <x v="0"/>
    <x v="142"/>
  </r>
  <r>
    <x v="17"/>
    <s v="DENSV"/>
    <n v="213213"/>
    <s v="DENSV"/>
    <n v="1977"/>
    <x v="11"/>
    <x v="1479"/>
    <x v="30"/>
    <x v="0"/>
    <x v="142"/>
  </r>
  <r>
    <x v="17"/>
    <s v="DENUC"/>
    <n v="213141"/>
    <s v="DENUC"/>
    <n v="1938"/>
    <x v="11"/>
    <x v="1480"/>
    <x v="30"/>
    <x v="0"/>
    <x v="142"/>
  </r>
  <r>
    <x v="17"/>
    <s v="DENWM"/>
    <n v="213209"/>
    <s v="DENWM"/>
    <n v="1975"/>
    <x v="11"/>
    <x v="1481"/>
    <x v="30"/>
    <x v="0"/>
    <x v="142"/>
  </r>
  <r>
    <x v="17"/>
    <s v="DENWO"/>
    <n v="213171"/>
    <s v="DENWO"/>
    <n v="1954"/>
    <x v="11"/>
    <x v="1482"/>
    <x v="30"/>
    <x v="0"/>
    <x v="142"/>
  </r>
  <r>
    <x v="17"/>
    <s v="DENWT"/>
    <n v="213159"/>
    <s v="DENWT"/>
    <n v="1948"/>
    <x v="11"/>
    <x v="1483"/>
    <x v="30"/>
    <x v="0"/>
    <x v="142"/>
  </r>
  <r>
    <x v="17"/>
    <s v="DENXN"/>
    <n v="213153"/>
    <s v="DENXN"/>
    <n v="1945"/>
    <x v="11"/>
    <x v="1484"/>
    <x v="30"/>
    <x v="0"/>
    <x v="142"/>
  </r>
  <r>
    <x v="17"/>
    <s v="DHNET"/>
    <n v="121035"/>
    <s v="DHNET"/>
    <n v="1896"/>
    <x v="10"/>
    <x v="1485"/>
    <x v="30"/>
    <x v="0"/>
    <x v="142"/>
  </r>
  <r>
    <x v="17"/>
    <s v="DSMCM"/>
    <n v="121039"/>
    <s v="DSMCM"/>
    <n v="1909"/>
    <x v="10"/>
    <x v="1486"/>
    <x v="30"/>
    <x v="0"/>
    <x v="142"/>
  </r>
  <r>
    <x v="17"/>
    <s v="EGEFA"/>
    <n v="213215"/>
    <s v="EGEFA"/>
    <n v="1978"/>
    <x v="11"/>
    <x v="1487"/>
    <x v="30"/>
    <x v="0"/>
    <x v="142"/>
  </r>
  <r>
    <x v="17"/>
    <s v="ELPCE"/>
    <n v="213211"/>
    <s v="ELPCE"/>
    <n v="1976"/>
    <x v="11"/>
    <x v="1488"/>
    <x v="30"/>
    <x v="0"/>
    <x v="142"/>
  </r>
  <r>
    <x v="17"/>
    <s v="ELPCV"/>
    <n v="213195"/>
    <s v="ELPCV"/>
    <n v="1968"/>
    <x v="11"/>
    <x v="1489"/>
    <x v="30"/>
    <x v="0"/>
    <x v="142"/>
  </r>
  <r>
    <x v="17"/>
    <s v="ELPCY"/>
    <n v="213161"/>
    <s v="ELPCY"/>
    <n v="1949"/>
    <x v="11"/>
    <x v="1490"/>
    <x v="30"/>
    <x v="0"/>
    <x v="142"/>
  </r>
  <r>
    <x v="17"/>
    <s v="ELPHA"/>
    <n v="213217"/>
    <s v="ELPHA"/>
    <n v="1979"/>
    <x v="11"/>
    <x v="1491"/>
    <x v="30"/>
    <x v="0"/>
    <x v="142"/>
  </r>
  <r>
    <x v="17"/>
    <s v="ELPSE"/>
    <n v="213197"/>
    <s v="ELPSE"/>
    <n v="1969"/>
    <x v="11"/>
    <x v="1492"/>
    <x v="30"/>
    <x v="0"/>
    <x v="142"/>
  </r>
  <r>
    <x v="17"/>
    <s v="FLGCY"/>
    <n v="213241"/>
    <s v="FLGCY"/>
    <n v="1993"/>
    <x v="11"/>
    <x v="1493"/>
    <x v="30"/>
    <x v="0"/>
    <x v="142"/>
  </r>
  <r>
    <x v="17"/>
    <s v="FLGFF"/>
    <n v="213227"/>
    <s v="FLGFF"/>
    <n v="1984"/>
    <x v="11"/>
    <x v="1494"/>
    <x v="30"/>
    <x v="0"/>
    <x v="142"/>
  </r>
  <r>
    <x v="17"/>
    <s v="FMNFI"/>
    <n v="213181"/>
    <s v="FMNFI"/>
    <n v="1959"/>
    <x v="11"/>
    <x v="1495"/>
    <x v="30"/>
    <x v="0"/>
    <x v="142"/>
  </r>
  <r>
    <x v="17"/>
    <s v="FTCCY"/>
    <n v="213147"/>
    <s v="FTCCY"/>
    <n v="1941"/>
    <x v="11"/>
    <x v="1496"/>
    <x v="30"/>
    <x v="0"/>
    <x v="142"/>
  </r>
  <r>
    <x v="17"/>
    <s v="FTCFF"/>
    <n v="213149"/>
    <s v="FTCFF"/>
    <n v="1943"/>
    <x v="11"/>
    <x v="1497"/>
    <x v="30"/>
    <x v="0"/>
    <x v="142"/>
  </r>
  <r>
    <x v="17"/>
    <s v="FTCSH"/>
    <n v="213187"/>
    <s v="FTCSH"/>
    <n v="1964"/>
    <x v="11"/>
    <x v="1498"/>
    <x v="30"/>
    <x v="0"/>
    <x v="142"/>
  </r>
  <r>
    <x v="17"/>
    <s v="FWASO"/>
    <n v="121001"/>
    <s v="FWASO"/>
    <n v="1844"/>
    <x v="10"/>
    <x v="1499"/>
    <x v="30"/>
    <x v="0"/>
    <x v="142"/>
  </r>
  <r>
    <x v="17"/>
    <s v="FWASW"/>
    <n v="121003"/>
    <s v="FWASW"/>
    <n v="1846"/>
    <x v="10"/>
    <x v="1500"/>
    <x v="30"/>
    <x v="0"/>
    <x v="142"/>
  </r>
  <r>
    <x v="17"/>
    <s v="GCCFI"/>
    <n v="213179"/>
    <s v="GCCFI"/>
    <n v="1958"/>
    <x v="11"/>
    <x v="1501"/>
    <x v="30"/>
    <x v="0"/>
    <x v="142"/>
  </r>
  <r>
    <x v="17"/>
    <s v="GJTCY"/>
    <n v="213193"/>
    <s v="GJTCY"/>
    <n v="1967"/>
    <x v="11"/>
    <x v="1502"/>
    <x v="30"/>
    <x v="0"/>
    <x v="142"/>
  </r>
  <r>
    <x v="17"/>
    <s v="GLSSH"/>
    <n v="213109"/>
    <s v="GLSSH"/>
    <n v="1910"/>
    <x v="11"/>
    <x v="1503"/>
    <x v="30"/>
    <x v="0"/>
    <x v="142"/>
  </r>
  <r>
    <x v="17"/>
    <s v="GPTBN"/>
    <n v="121031"/>
    <s v="GPTBN"/>
    <n v="1893"/>
    <x v="10"/>
    <x v="1504"/>
    <x v="30"/>
    <x v="0"/>
    <x v="142"/>
  </r>
  <r>
    <x v="17"/>
    <s v="GRISH"/>
    <n v="213113"/>
    <s v="GRISH"/>
    <n v="1916"/>
    <x v="11"/>
    <x v="1505"/>
    <x v="30"/>
    <x v="0"/>
    <x v="142"/>
  </r>
  <r>
    <x v="17"/>
    <s v="GTFSH"/>
    <n v="121069"/>
    <s v="GTFSH"/>
    <n v="1963"/>
    <x v="10"/>
    <x v="1506"/>
    <x v="30"/>
    <x v="0"/>
    <x v="142"/>
  </r>
  <r>
    <x v="17"/>
    <s v="GUPFI"/>
    <n v="213189"/>
    <s v="GUPFI"/>
    <n v="1965"/>
    <x v="11"/>
    <x v="1507"/>
    <x v="30"/>
    <x v="0"/>
    <x v="142"/>
  </r>
  <r>
    <x v="17"/>
    <s v="GUPSH"/>
    <n v="213165"/>
    <s v="GUPSH"/>
    <n v="1951"/>
    <x v="11"/>
    <x v="1508"/>
    <x v="30"/>
    <x v="0"/>
    <x v="142"/>
  </r>
  <r>
    <x v="17"/>
    <s v="HDCCY"/>
    <n v="213077"/>
    <s v="HDCCY"/>
    <n v="1887"/>
    <x v="11"/>
    <x v="1509"/>
    <x v="30"/>
    <x v="0"/>
    <x v="142"/>
  </r>
  <r>
    <x v="17"/>
    <s v="HLNFN"/>
    <n v="121065"/>
    <s v="HLNFN"/>
    <n v="1942"/>
    <x v="10"/>
    <x v="1510"/>
    <x v="30"/>
    <x v="0"/>
    <x v="142"/>
  </r>
  <r>
    <x v="17"/>
    <s v="HOBFI"/>
    <n v="213219"/>
    <s v="HOBFI"/>
    <n v="1980"/>
    <x v="11"/>
    <x v="1511"/>
    <x v="30"/>
    <x v="0"/>
    <x v="142"/>
  </r>
  <r>
    <x v="17"/>
    <s v="HRLCY"/>
    <n v="213061"/>
    <s v="HRLCY"/>
    <n v="1873"/>
    <x v="11"/>
    <x v="1512"/>
    <x v="30"/>
    <x v="0"/>
    <x v="142"/>
  </r>
  <r>
    <x v="17"/>
    <s v="HRLFI"/>
    <n v="213067"/>
    <s v="HRLFI"/>
    <n v="1878"/>
    <x v="11"/>
    <x v="1513"/>
    <x v="30"/>
    <x v="0"/>
    <x v="142"/>
  </r>
  <r>
    <x v="17"/>
    <s v="HSVCH"/>
    <n v="121033"/>
    <s v="HSVCH"/>
    <n v="1895"/>
    <x v="10"/>
    <x v="1514"/>
    <x v="30"/>
    <x v="0"/>
    <x v="142"/>
  </r>
  <r>
    <x v="17"/>
    <s v="HSVDC"/>
    <n v="121045"/>
    <s v="HSVDC"/>
    <n v="1914"/>
    <x v="10"/>
    <x v="1515"/>
    <x v="30"/>
    <x v="0"/>
    <x v="142"/>
  </r>
  <r>
    <x v="17"/>
    <s v="HSVSH"/>
    <n v="121059"/>
    <s v="HSVSH"/>
    <n v="1928"/>
    <x v="10"/>
    <x v="1516"/>
    <x v="30"/>
    <x v="0"/>
    <x v="142"/>
  </r>
  <r>
    <x v="17"/>
    <s v="IAHCS"/>
    <n v="213093"/>
    <s v="IAHCS"/>
    <n v="1900"/>
    <x v="11"/>
    <x v="1517"/>
    <x v="30"/>
    <x v="0"/>
    <x v="142"/>
  </r>
  <r>
    <x v="17"/>
    <s v="ICTAD"/>
    <n v="213137"/>
    <s v="ICTAD"/>
    <n v="1936"/>
    <x v="11"/>
    <x v="1518"/>
    <x v="30"/>
    <x v="0"/>
    <x v="142"/>
  </r>
  <r>
    <x v="17"/>
    <s v="ICTHU"/>
    <n v="213111"/>
    <s v="ICTHU"/>
    <n v="1911"/>
    <x v="11"/>
    <x v="1519"/>
    <x v="30"/>
    <x v="0"/>
    <x v="142"/>
  </r>
  <r>
    <x v="17"/>
    <s v="ICTWW"/>
    <n v="213083"/>
    <s v="ICTWW"/>
    <n v="1892"/>
    <x v="11"/>
    <x v="1520"/>
    <x v="30"/>
    <x v="0"/>
    <x v="142"/>
  </r>
  <r>
    <x v="17"/>
    <s v="IDAFP"/>
    <n v="213205"/>
    <s v="IDAFP"/>
    <n v="1973"/>
    <x v="11"/>
    <x v="1521"/>
    <x v="30"/>
    <x v="0"/>
    <x v="142"/>
  </r>
  <r>
    <x v="17"/>
    <s v="IDAPC"/>
    <n v="213223"/>
    <s v="IDAPC"/>
    <n v="1982"/>
    <x v="11"/>
    <x v="1522"/>
    <x v="30"/>
    <x v="0"/>
    <x v="142"/>
  </r>
  <r>
    <x v="17"/>
    <s v="IDASL"/>
    <n v="213155"/>
    <s v="IDASL"/>
    <n v="1946"/>
    <x v="11"/>
    <x v="1523"/>
    <x v="30"/>
    <x v="0"/>
    <x v="142"/>
  </r>
  <r>
    <x v="17"/>
    <s v="ILEFI"/>
    <n v="213103"/>
    <s v="ILEFI"/>
    <n v="1906"/>
    <x v="11"/>
    <x v="1524"/>
    <x v="30"/>
    <x v="0"/>
    <x v="142"/>
  </r>
  <r>
    <x v="17"/>
    <s v="JBRCY"/>
    <n v="213055"/>
    <s v="JBRCY"/>
    <n v="1870"/>
    <x v="11"/>
    <x v="1525"/>
    <x v="30"/>
    <x v="0"/>
    <x v="142"/>
  </r>
  <r>
    <x v="17"/>
    <s v="JBRFI"/>
    <n v="213131"/>
    <s v="JBRFI"/>
    <n v="1933"/>
    <x v="11"/>
    <x v="1526"/>
    <x v="30"/>
    <x v="0"/>
    <x v="142"/>
  </r>
  <r>
    <x v="17"/>
    <s v="LARFI"/>
    <n v="213207"/>
    <s v="LARFI"/>
    <n v="1974"/>
    <x v="11"/>
    <x v="1527"/>
    <x v="30"/>
    <x v="0"/>
    <x v="142"/>
  </r>
  <r>
    <x v="17"/>
    <s v="LFTSH"/>
    <n v="213129"/>
    <s v="LFTSH"/>
    <n v="1932"/>
    <x v="11"/>
    <x v="1528"/>
    <x v="30"/>
    <x v="0"/>
    <x v="142"/>
  </r>
  <r>
    <x v="17"/>
    <s v="LITCH"/>
    <n v="213085"/>
    <s v="LITCH"/>
    <n v="1894"/>
    <x v="11"/>
    <x v="1529"/>
    <x v="30"/>
    <x v="0"/>
    <x v="142"/>
  </r>
  <r>
    <x v="17"/>
    <s v="MAFFI"/>
    <n v="213089"/>
    <s v="MAFFI"/>
    <n v="1898"/>
    <x v="11"/>
    <x v="1530"/>
    <x v="30"/>
    <x v="0"/>
    <x v="142"/>
  </r>
  <r>
    <x v="17"/>
    <s v="MAFFO"/>
    <n v="213097"/>
    <s v="MAFFO"/>
    <n v="1903"/>
    <x v="11"/>
    <x v="1531"/>
    <x v="30"/>
    <x v="0"/>
    <x v="142"/>
  </r>
  <r>
    <x v="17"/>
    <s v="MCETH"/>
    <n v="213229"/>
    <s v="MCETH"/>
    <n v="1985"/>
    <x v="11"/>
    <x v="1532"/>
    <x v="30"/>
    <x v="0"/>
    <x v="142"/>
  </r>
  <r>
    <x v="17"/>
    <s v="MEMCD"/>
    <n v="121043"/>
    <s v="MEMCD"/>
    <n v="1913"/>
    <x v="10"/>
    <x v="1533"/>
    <x v="30"/>
    <x v="0"/>
    <x v="142"/>
  </r>
  <r>
    <x v="17"/>
    <s v="MEMFG"/>
    <n v="121023"/>
    <s v="MEMFG"/>
    <n v="1882"/>
    <x v="10"/>
    <x v="1534"/>
    <x v="30"/>
    <x v="0"/>
    <x v="142"/>
  </r>
  <r>
    <x v="17"/>
    <s v="MEMMP"/>
    <n v="121061"/>
    <s v="MEMMP"/>
    <n v="1929"/>
    <x v="10"/>
    <x v="1535"/>
    <x v="30"/>
    <x v="0"/>
    <x v="142"/>
  </r>
  <r>
    <x v="17"/>
    <s v="MEMVL"/>
    <n v="121017"/>
    <s v="MEMVL"/>
    <n v="1876"/>
    <x v="10"/>
    <x v="1536"/>
    <x v="30"/>
    <x v="0"/>
    <x v="142"/>
  </r>
  <r>
    <x v="17"/>
    <s v="MGMMA"/>
    <n v="121029"/>
    <s v="MGMMA"/>
    <n v="1891"/>
    <x v="10"/>
    <x v="1537"/>
    <x v="30"/>
    <x v="0"/>
    <x v="142"/>
  </r>
  <r>
    <x v="17"/>
    <s v="MGMPC"/>
    <n v="121055"/>
    <s v="MGMPC"/>
    <n v="1924"/>
    <x v="10"/>
    <x v="1538"/>
    <x v="30"/>
    <x v="0"/>
    <x v="142"/>
  </r>
  <r>
    <x v="17"/>
    <s v="MKLJK"/>
    <n v="121051"/>
    <s v="MKLJK"/>
    <n v="1919"/>
    <x v="10"/>
    <x v="1539"/>
    <x v="30"/>
    <x v="0"/>
    <x v="142"/>
  </r>
  <r>
    <x v="17"/>
    <s v="MSNCW"/>
    <n v="121021"/>
    <s v="MSNCW"/>
    <n v="1881"/>
    <x v="10"/>
    <x v="1540"/>
    <x v="30"/>
    <x v="0"/>
    <x v="142"/>
  </r>
  <r>
    <x v="17"/>
    <s v="MSNFS"/>
    <n v="121047"/>
    <s v="MSNFS"/>
    <n v="1915"/>
    <x v="10"/>
    <x v="1541"/>
    <x v="30"/>
    <x v="0"/>
    <x v="142"/>
  </r>
  <r>
    <x v="17"/>
    <s v="MSPAR"/>
    <n v="121041"/>
    <s v="MSPAR"/>
    <n v="1912"/>
    <x v="10"/>
    <x v="1542"/>
    <x v="30"/>
    <x v="0"/>
    <x v="142"/>
  </r>
  <r>
    <x v="17"/>
    <s v="MSPCE"/>
    <n v="121063"/>
    <s v="MSPCE"/>
    <n v="1931"/>
    <x v="10"/>
    <x v="1543"/>
    <x v="30"/>
    <x v="0"/>
    <x v="142"/>
  </r>
  <r>
    <x v="17"/>
    <s v="MSPCY"/>
    <n v="121037"/>
    <s v="MSPCY"/>
    <n v="1901"/>
    <x v="10"/>
    <x v="1544"/>
    <x v="30"/>
    <x v="0"/>
    <x v="142"/>
  </r>
  <r>
    <x v="17"/>
    <s v="MSPSU"/>
    <n v="121019"/>
    <s v="MSPSU"/>
    <n v="1879"/>
    <x v="10"/>
    <x v="1545"/>
    <x v="30"/>
    <x v="0"/>
    <x v="142"/>
  </r>
  <r>
    <x v="17"/>
    <s v="OKCCA"/>
    <n v="213053"/>
    <s v="OKCCA"/>
    <n v="1869"/>
    <x v="11"/>
    <x v="1546"/>
    <x v="30"/>
    <x v="0"/>
    <x v="142"/>
  </r>
  <r>
    <x v="17"/>
    <s v="OKCFI"/>
    <n v="213123"/>
    <s v="OKCFI"/>
    <n v="1925"/>
    <x v="11"/>
    <x v="1547"/>
    <x v="30"/>
    <x v="0"/>
    <x v="142"/>
  </r>
  <r>
    <x v="17"/>
    <s v="OKCNO"/>
    <n v="213059"/>
    <s v="OKCNO"/>
    <n v="1872"/>
    <x v="11"/>
    <x v="1548"/>
    <x v="30"/>
    <x v="0"/>
    <x v="142"/>
  </r>
  <r>
    <x v="17"/>
    <s v="OKCNQ"/>
    <n v="213125"/>
    <s v="OKCNQ"/>
    <n v="1927"/>
    <x v="11"/>
    <x v="1549"/>
    <x v="30"/>
    <x v="0"/>
    <x v="142"/>
  </r>
  <r>
    <x v="17"/>
    <s v="OMACB"/>
    <n v="121053"/>
    <s v="OMACB"/>
    <n v="1920"/>
    <x v="10"/>
    <x v="1550"/>
    <x v="30"/>
    <x v="0"/>
    <x v="142"/>
  </r>
  <r>
    <x v="17"/>
    <s v="OMANW"/>
    <n v="213095"/>
    <s v="OMANW"/>
    <n v="1902"/>
    <x v="11"/>
    <x v="1551"/>
    <x v="30"/>
    <x v="0"/>
    <x v="142"/>
  </r>
  <r>
    <x v="17"/>
    <s v="OMAOP"/>
    <n v="213075"/>
    <s v="OMAOP"/>
    <n v="1886"/>
    <x v="11"/>
    <x v="1552"/>
    <x v="30"/>
    <x v="0"/>
    <x v="142"/>
  </r>
  <r>
    <x v="17"/>
    <s v="OMAWF"/>
    <n v="213115"/>
    <s v="OMAWF"/>
    <n v="1918"/>
    <x v="11"/>
    <x v="1553"/>
    <x v="30"/>
    <x v="0"/>
    <x v="142"/>
  </r>
  <r>
    <x v="17"/>
    <s v="OXRCY"/>
    <n v="213233"/>
    <s v="OXRCY"/>
    <n v="1987"/>
    <x v="11"/>
    <x v="1554"/>
    <x v="30"/>
    <x v="0"/>
    <x v="142"/>
  </r>
  <r>
    <x v="17"/>
    <s v="OXRVM"/>
    <n v="213239"/>
    <s v="OXRVM"/>
    <n v="1992"/>
    <x v="11"/>
    <x v="1555"/>
    <x v="30"/>
    <x v="0"/>
    <x v="142"/>
  </r>
  <r>
    <x v="17"/>
    <s v="PDXHL"/>
    <n v="213231"/>
    <s v="PDXHL"/>
    <n v="1986"/>
    <x v="11"/>
    <x v="1556"/>
    <x v="30"/>
    <x v="0"/>
    <x v="142"/>
  </r>
  <r>
    <x v="17"/>
    <s v="PDXHS"/>
    <n v="213245"/>
    <s v="PDXHS"/>
    <n v="1995"/>
    <x v="11"/>
    <x v="1557"/>
    <x v="30"/>
    <x v="0"/>
    <x v="142"/>
  </r>
  <r>
    <x v="17"/>
    <s v="PEQFI"/>
    <n v="213047"/>
    <s v="PEQFI"/>
    <n v="1866"/>
    <x v="11"/>
    <x v="1558"/>
    <x v="30"/>
    <x v="0"/>
    <x v="142"/>
  </r>
  <r>
    <x v="17"/>
    <s v="PFNSH"/>
    <n v="121027"/>
    <s v="PFNSH"/>
    <n v="1889"/>
    <x v="10"/>
    <x v="1559"/>
    <x v="30"/>
    <x v="0"/>
    <x v="142"/>
  </r>
  <r>
    <x v="17"/>
    <s v="PHXDF"/>
    <n v="213243"/>
    <s v="PHXDF"/>
    <n v="1994"/>
    <x v="11"/>
    <x v="1560"/>
    <x v="30"/>
    <x v="0"/>
    <x v="142"/>
  </r>
  <r>
    <x v="17"/>
    <s v="PHXFO"/>
    <n v="213237"/>
    <s v="PHXFO"/>
    <n v="1990"/>
    <x v="11"/>
    <x v="1561"/>
    <x v="30"/>
    <x v="0"/>
    <x v="142"/>
  </r>
  <r>
    <x v="17"/>
    <s v="PIAPE"/>
    <n v="213133"/>
    <s v="PIAPE"/>
    <n v="1934"/>
    <x v="11"/>
    <x v="1562"/>
    <x v="30"/>
    <x v="0"/>
    <x v="142"/>
  </r>
  <r>
    <x v="17"/>
    <s v="PITFW"/>
    <n v="121011"/>
    <s v="PITFW"/>
    <n v="1863"/>
    <x v="10"/>
    <x v="1563"/>
    <x v="30"/>
    <x v="0"/>
    <x v="142"/>
  </r>
  <r>
    <x v="17"/>
    <s v="RDGJT"/>
    <n v="121013"/>
    <s v="RDGJT"/>
    <n v="1865"/>
    <x v="10"/>
    <x v="1564"/>
    <x v="30"/>
    <x v="0"/>
    <x v="142"/>
  </r>
  <r>
    <x v="17"/>
    <s v="RDUGS"/>
    <n v="121009"/>
    <s v="RDUGS"/>
    <n v="1860"/>
    <x v="10"/>
    <x v="1565"/>
    <x v="30"/>
    <x v="0"/>
    <x v="142"/>
  </r>
  <r>
    <x v="17"/>
    <s v="RDURF"/>
    <n v="213031"/>
    <s v="RDURF"/>
    <n v="1853"/>
    <x v="11"/>
    <x v="1566"/>
    <x v="30"/>
    <x v="0"/>
    <x v="142"/>
  </r>
  <r>
    <x v="17"/>
    <s v="RDURH"/>
    <n v="213035"/>
    <s v="RDURH"/>
    <n v="1857"/>
    <x v="11"/>
    <x v="1567"/>
    <x v="30"/>
    <x v="0"/>
    <x v="142"/>
  </r>
  <r>
    <x v="17"/>
    <s v="RICST"/>
    <n v="213021"/>
    <s v="RICST"/>
    <n v="1848"/>
    <x v="11"/>
    <x v="1568"/>
    <x v="30"/>
    <x v="0"/>
    <x v="142"/>
  </r>
  <r>
    <x v="17"/>
    <s v="ROCFB"/>
    <n v="213023"/>
    <s v="ROCFB"/>
    <n v="1849"/>
    <x v="11"/>
    <x v="1569"/>
    <x v="30"/>
    <x v="0"/>
    <x v="142"/>
  </r>
  <r>
    <x v="17"/>
    <s v="RWICY"/>
    <n v="213027"/>
    <s v="RWICY"/>
    <n v="1851"/>
    <x v="11"/>
    <x v="1570"/>
    <x v="30"/>
    <x v="0"/>
    <x v="142"/>
  </r>
  <r>
    <x v="17"/>
    <s v="SATBO"/>
    <n v="213135"/>
    <s v="SATBO"/>
    <n v="1935"/>
    <x v="11"/>
    <x v="1571"/>
    <x v="30"/>
    <x v="0"/>
    <x v="142"/>
  </r>
  <r>
    <x v="17"/>
    <s v="SATTW"/>
    <n v="213117"/>
    <s v="SATTW"/>
    <n v="1921"/>
    <x v="11"/>
    <x v="1572"/>
    <x v="30"/>
    <x v="0"/>
    <x v="142"/>
  </r>
  <r>
    <x v="17"/>
    <s v="SAVRH"/>
    <n v="213001"/>
    <s v="SAVRH"/>
    <n v="1836"/>
    <x v="11"/>
    <x v="1573"/>
    <x v="30"/>
    <x v="0"/>
    <x v="142"/>
  </r>
  <r>
    <x v="17"/>
    <s v="SBYOC"/>
    <n v="213009"/>
    <s v="SBYOC"/>
    <n v="1840"/>
    <x v="11"/>
    <x v="1574"/>
    <x v="30"/>
    <x v="0"/>
    <x v="142"/>
  </r>
  <r>
    <x v="17"/>
    <s v="SDFAP"/>
    <n v="213017"/>
    <s v="SDFAP"/>
    <n v="1845"/>
    <x v="11"/>
    <x v="1575"/>
    <x v="30"/>
    <x v="0"/>
    <x v="142"/>
  </r>
  <r>
    <x v="17"/>
    <s v="SDFEL"/>
    <n v="213037"/>
    <s v="SDFEL"/>
    <n v="1858"/>
    <x v="11"/>
    <x v="1576"/>
    <x v="30"/>
    <x v="0"/>
    <x v="142"/>
  </r>
  <r>
    <x v="17"/>
    <s v="SDFSE"/>
    <n v="213029"/>
    <s v="SDFSE"/>
    <n v="1852"/>
    <x v="11"/>
    <x v="1577"/>
    <x v="30"/>
    <x v="0"/>
    <x v="142"/>
  </r>
  <r>
    <x v="17"/>
    <s v="SGFAP"/>
    <n v="213121"/>
    <s v="SGFAP"/>
    <n v="1923"/>
    <x v="11"/>
    <x v="1578"/>
    <x v="30"/>
    <x v="0"/>
    <x v="142"/>
  </r>
  <r>
    <x v="17"/>
    <s v="SGFBN"/>
    <n v="213069"/>
    <s v="SGFBN"/>
    <n v="1880"/>
    <x v="11"/>
    <x v="1579"/>
    <x v="30"/>
    <x v="0"/>
    <x v="142"/>
  </r>
  <r>
    <x v="17"/>
    <s v="SJCCN"/>
    <n v="213235"/>
    <s v="SJCCN"/>
    <n v="1989"/>
    <x v="11"/>
    <x v="1580"/>
    <x v="30"/>
    <x v="0"/>
    <x v="142"/>
  </r>
  <r>
    <x v="17"/>
    <s v="SJTSH"/>
    <n v="213139"/>
    <s v="SJTSH"/>
    <n v="1937"/>
    <x v="11"/>
    <x v="1581"/>
    <x v="30"/>
    <x v="0"/>
    <x v="142"/>
  </r>
  <r>
    <x v="17"/>
    <s v="SLCFS"/>
    <n v="213169"/>
    <s v="SLCFS"/>
    <n v="1953"/>
    <x v="11"/>
    <x v="1582"/>
    <x v="30"/>
    <x v="0"/>
    <x v="142"/>
  </r>
  <r>
    <x v="17"/>
    <s v="SLKCY"/>
    <n v="213019"/>
    <s v="SLKCY"/>
    <n v="1847"/>
    <x v="11"/>
    <x v="1583"/>
    <x v="30"/>
    <x v="0"/>
    <x v="142"/>
  </r>
  <r>
    <x v="17"/>
    <s v="SPAAC"/>
    <n v="213039"/>
    <s v="SPAAC"/>
    <n v="1859"/>
    <x v="11"/>
    <x v="1584"/>
    <x v="30"/>
    <x v="0"/>
    <x v="142"/>
  </r>
  <r>
    <x v="17"/>
    <s v="SPICY"/>
    <n v="213063"/>
    <s v="SPICY"/>
    <n v="1874"/>
    <x v="11"/>
    <x v="140"/>
    <x v="30"/>
    <x v="0"/>
    <x v="142"/>
  </r>
  <r>
    <x v="17"/>
    <s v="SPZFI"/>
    <n v="213073"/>
    <s v="SPZFI"/>
    <n v="1884"/>
    <x v="11"/>
    <x v="1585"/>
    <x v="30"/>
    <x v="0"/>
    <x v="142"/>
  </r>
  <r>
    <x v="17"/>
    <s v="SQIPR"/>
    <n v="213127"/>
    <s v="SQIPR"/>
    <n v="1930"/>
    <x v="11"/>
    <x v="1586"/>
    <x v="30"/>
    <x v="0"/>
    <x v="142"/>
  </r>
  <r>
    <x v="17"/>
    <s v="SRQVC"/>
    <n v="213011"/>
    <s v="SRQVC"/>
    <n v="1841"/>
    <x v="11"/>
    <x v="1587"/>
    <x v="30"/>
    <x v="0"/>
    <x v="142"/>
  </r>
  <r>
    <x v="17"/>
    <s v="STEFI"/>
    <n v="213049"/>
    <s v="STEFI"/>
    <n v="1867"/>
    <x v="11"/>
    <x v="1588"/>
    <x v="30"/>
    <x v="0"/>
    <x v="142"/>
  </r>
  <r>
    <x v="17"/>
    <s v="SUXSF"/>
    <n v="213079"/>
    <s v="SUXSF"/>
    <n v="1888"/>
    <x v="11"/>
    <x v="1589"/>
    <x v="30"/>
    <x v="0"/>
    <x v="142"/>
  </r>
  <r>
    <x v="17"/>
    <s v="SYRFR"/>
    <n v="213005"/>
    <s v="SYRFR"/>
    <n v="1838"/>
    <x v="11"/>
    <x v="1590"/>
    <x v="30"/>
    <x v="0"/>
    <x v="142"/>
  </r>
  <r>
    <x v="17"/>
    <s v="TBNFI"/>
    <n v="213105"/>
    <s v="TBNFI"/>
    <n v="1907"/>
    <x v="11"/>
    <x v="1591"/>
    <x v="30"/>
    <x v="0"/>
    <x v="142"/>
  </r>
  <r>
    <x v="17"/>
    <s v="TLHST"/>
    <n v="213003"/>
    <s v="TLHST"/>
    <n v="1837"/>
    <x v="11"/>
    <x v="1592"/>
    <x v="30"/>
    <x v="0"/>
    <x v="142"/>
  </r>
  <r>
    <x v="17"/>
    <s v="TPABR"/>
    <n v="213025"/>
    <s v="TPABR"/>
    <n v="1850"/>
    <x v="11"/>
    <x v="1593"/>
    <x v="30"/>
    <x v="0"/>
    <x v="142"/>
  </r>
  <r>
    <x v="17"/>
    <s v="TPADS"/>
    <n v="213043"/>
    <s v="TPADS"/>
    <n v="1862"/>
    <x v="11"/>
    <x v="1594"/>
    <x v="30"/>
    <x v="0"/>
    <x v="142"/>
  </r>
  <r>
    <x v="17"/>
    <s v="TPAFI"/>
    <n v="213015"/>
    <s v="TPAFI"/>
    <n v="1843"/>
    <x v="11"/>
    <x v="1595"/>
    <x v="30"/>
    <x v="0"/>
    <x v="142"/>
  </r>
  <r>
    <x v="17"/>
    <s v="TRICY"/>
    <n v="213013"/>
    <s v="TRICY"/>
    <n v="1842"/>
    <x v="11"/>
    <x v="1596"/>
    <x v="30"/>
    <x v="0"/>
    <x v="142"/>
  </r>
  <r>
    <x v="17"/>
    <s v="TTNET"/>
    <n v="213045"/>
    <s v="TTNET"/>
    <n v="1864"/>
    <x v="11"/>
    <x v="1597"/>
    <x v="30"/>
    <x v="0"/>
    <x v="142"/>
  </r>
  <r>
    <x v="17"/>
    <s v="TTNSH"/>
    <n v="213033"/>
    <s v="TTNSH"/>
    <n v="1855"/>
    <x v="11"/>
    <x v="1598"/>
    <x v="30"/>
    <x v="0"/>
    <x v="142"/>
  </r>
  <r>
    <x v="17"/>
    <s v="TULBV"/>
    <n v="213101"/>
    <s v="TULBV"/>
    <n v="1905"/>
    <x v="11"/>
    <x v="1599"/>
    <x v="30"/>
    <x v="0"/>
    <x v="142"/>
  </r>
  <r>
    <x v="17"/>
    <s v="TULCY"/>
    <n v="213091"/>
    <s v="TULCY"/>
    <n v="1899"/>
    <x v="11"/>
    <x v="1600"/>
    <x v="30"/>
    <x v="0"/>
    <x v="142"/>
  </r>
  <r>
    <x v="17"/>
    <s v="TULTD"/>
    <n v="213065"/>
    <s v="TULTD"/>
    <n v="1877"/>
    <x v="11"/>
    <x v="1601"/>
    <x v="30"/>
    <x v="0"/>
    <x v="142"/>
  </r>
  <r>
    <x v="17"/>
    <s v="TULWH"/>
    <n v="213057"/>
    <s v="TULWH"/>
    <n v="1871"/>
    <x v="11"/>
    <x v="1602"/>
    <x v="30"/>
    <x v="0"/>
    <x v="142"/>
  </r>
  <r>
    <x v="17"/>
    <s v="TVCCY"/>
    <n v="213007"/>
    <s v="TVCCY"/>
    <n v="1839"/>
    <x v="11"/>
    <x v="1603"/>
    <x v="30"/>
    <x v="0"/>
    <x v="142"/>
  </r>
  <r>
    <x v="17"/>
    <s v="TXKFI"/>
    <n v="213081"/>
    <s v="TXKFI"/>
    <n v="1890"/>
    <x v="11"/>
    <x v="1604"/>
    <x v="30"/>
    <x v="0"/>
    <x v="142"/>
  </r>
  <r>
    <x v="17"/>
    <s v="TYRCY"/>
    <n v="213119"/>
    <s v="TYRCY"/>
    <n v="1922"/>
    <x v="11"/>
    <x v="1605"/>
    <x v="30"/>
    <x v="0"/>
    <x v="142"/>
  </r>
  <r>
    <x v="17"/>
    <s v="TYRVT"/>
    <n v="213087"/>
    <s v="TYRVT"/>
    <n v="1897"/>
    <x v="11"/>
    <x v="1606"/>
    <x v="30"/>
    <x v="0"/>
    <x v="142"/>
  </r>
  <r>
    <x v="17"/>
    <s v="TYSCK"/>
    <n v="213041"/>
    <s v="TYSCK"/>
    <n v="1861"/>
    <x v="11"/>
    <x v="1607"/>
    <x v="30"/>
    <x v="0"/>
    <x v="142"/>
  </r>
  <r>
    <x v="17"/>
    <s v="TYSFF"/>
    <n v="121093"/>
    <s v="TYSFF"/>
    <n v="2005"/>
    <x v="10"/>
    <x v="1608"/>
    <x v="30"/>
    <x v="0"/>
    <x v="142"/>
  </r>
  <r>
    <x v="17"/>
    <s v="TYSKY"/>
    <n v="121089"/>
    <s v="TYSKY"/>
    <n v="2003"/>
    <x v="10"/>
    <x v="1609"/>
    <x v="30"/>
    <x v="0"/>
    <x v="142"/>
  </r>
  <r>
    <x v="17"/>
    <s v="UINQU"/>
    <n v="121077"/>
    <s v="UINQU"/>
    <n v="1997"/>
    <x v="10"/>
    <x v="1610"/>
    <x v="30"/>
    <x v="0"/>
    <x v="142"/>
  </r>
  <r>
    <x v="17"/>
    <s v="VCTCU"/>
    <n v="121057"/>
    <s v="VCTCU"/>
    <n v="1926"/>
    <x v="10"/>
    <x v="1611"/>
    <x v="30"/>
    <x v="0"/>
    <x v="142"/>
  </r>
  <r>
    <x v="17"/>
    <s v="WASAD"/>
    <n v="121085"/>
    <s v="WASAD"/>
    <n v="2001"/>
    <x v="10"/>
    <x v="1612"/>
    <x v="30"/>
    <x v="0"/>
    <x v="142"/>
  </r>
  <r>
    <x v="17"/>
    <s v="WASPM"/>
    <n v="121083"/>
    <s v="WASPM"/>
    <n v="2000"/>
    <x v="10"/>
    <x v="1613"/>
    <x v="30"/>
    <x v="0"/>
    <x v="142"/>
  </r>
  <r>
    <x v="17"/>
    <s v="WASXF"/>
    <n v="121095"/>
    <s v="WASXF"/>
    <n v="2006"/>
    <x v="10"/>
    <x v="1614"/>
    <x v="30"/>
    <x v="0"/>
    <x v="142"/>
  </r>
  <r>
    <x v="17"/>
    <s v="WCOFI"/>
    <n v="121075"/>
    <s v="WCOFI"/>
    <n v="1996"/>
    <x v="10"/>
    <x v="1615"/>
    <x v="30"/>
    <x v="0"/>
    <x v="142"/>
  </r>
  <r>
    <x v="17"/>
    <s v="WCOSH"/>
    <n v="121081"/>
    <s v="WCOSH"/>
    <n v="1999"/>
    <x v="10"/>
    <x v="1616"/>
    <x v="30"/>
    <x v="0"/>
    <x v="142"/>
  </r>
  <r>
    <x v="17"/>
    <s v="WCTCY"/>
    <n v="121079"/>
    <s v="WCTCY"/>
    <n v="1998"/>
    <x v="10"/>
    <x v="1617"/>
    <x v="30"/>
    <x v="0"/>
    <x v="142"/>
  </r>
  <r>
    <x v="17"/>
    <s v="WGOFI"/>
    <n v="121091"/>
    <s v="WGOFI"/>
    <n v="2004"/>
    <x v="10"/>
    <x v="1618"/>
    <x v="30"/>
    <x v="0"/>
    <x v="142"/>
  </r>
  <r>
    <x v="17"/>
    <s v="WJFSH"/>
    <n v="121073"/>
    <s v="WJFSH"/>
    <n v="1991"/>
    <x v="10"/>
    <x v="1619"/>
    <x v="30"/>
    <x v="0"/>
    <x v="142"/>
  </r>
  <r>
    <x v="17"/>
    <s v="YKMFI"/>
    <n v="121071"/>
    <s v="YKMFI"/>
    <n v="1988"/>
    <x v="10"/>
    <x v="1620"/>
    <x v="30"/>
    <x v="0"/>
    <x v="142"/>
  </r>
  <r>
    <x v="17"/>
    <s v="YOWCY"/>
    <n v="121087"/>
    <s v="YOWCY"/>
    <n v="2002"/>
    <x v="10"/>
    <x v="1621"/>
    <x v="30"/>
    <x v="0"/>
    <x v="142"/>
  </r>
  <r>
    <x v="18"/>
    <s v="ATLAO"/>
    <n v="122007"/>
    <s v="ATLAO"/>
    <n v="2014"/>
    <x v="12"/>
    <x v="1622"/>
    <x v="31"/>
    <x v="0"/>
    <x v="142"/>
  </r>
  <r>
    <x v="18"/>
    <s v="ATLAY"/>
    <n v="122037"/>
    <s v="ATLAY"/>
    <n v="2029"/>
    <x v="12"/>
    <x v="1623"/>
    <x v="31"/>
    <x v="0"/>
    <x v="142"/>
  </r>
  <r>
    <x v="18"/>
    <s v="ATLCR"/>
    <n v="122063"/>
    <s v="ATLCR"/>
    <n v="2042"/>
    <x v="12"/>
    <x v="1624"/>
    <x v="31"/>
    <x v="0"/>
    <x v="142"/>
  </r>
  <r>
    <x v="18"/>
    <s v="ATLDK"/>
    <n v="122005"/>
    <s v="ATLDK"/>
    <n v="2013"/>
    <x v="12"/>
    <x v="1625"/>
    <x v="31"/>
    <x v="0"/>
    <x v="142"/>
  </r>
  <r>
    <x v="18"/>
    <s v="ATLGA"/>
    <n v="122025"/>
    <s v="ATLGA"/>
    <n v="2023"/>
    <x v="12"/>
    <x v="1626"/>
    <x v="31"/>
    <x v="0"/>
    <x v="142"/>
  </r>
  <r>
    <x v="18"/>
    <s v="ATLLN"/>
    <n v="122047"/>
    <s v="ATLLN"/>
    <n v="2034"/>
    <x v="12"/>
    <x v="1627"/>
    <x v="31"/>
    <x v="0"/>
    <x v="142"/>
  </r>
  <r>
    <x v="18"/>
    <s v="ATLMD"/>
    <n v="122173"/>
    <s v="ATLMD"/>
    <n v="2097"/>
    <x v="12"/>
    <x v="1628"/>
    <x v="31"/>
    <x v="0"/>
    <x v="142"/>
  </r>
  <r>
    <x v="18"/>
    <s v="ATLNG"/>
    <n v="122181"/>
    <s v="ATLNG"/>
    <n v="2101"/>
    <x v="12"/>
    <x v="1629"/>
    <x v="31"/>
    <x v="0"/>
    <x v="142"/>
  </r>
  <r>
    <x v="18"/>
    <s v="ATLNL"/>
    <n v="122079"/>
    <s v="ATLNL"/>
    <n v="2050"/>
    <x v="12"/>
    <x v="1630"/>
    <x v="31"/>
    <x v="0"/>
    <x v="142"/>
  </r>
  <r>
    <x v="18"/>
    <s v="ATLSU"/>
    <n v="122125"/>
    <s v="ATLSU"/>
    <n v="2073"/>
    <x v="12"/>
    <x v="1631"/>
    <x v="31"/>
    <x v="0"/>
    <x v="142"/>
  </r>
  <r>
    <x v="18"/>
    <s v="ATLSZ"/>
    <n v="122167"/>
    <s v="ATLSZ"/>
    <n v="2094"/>
    <x v="12"/>
    <x v="1632"/>
    <x v="31"/>
    <x v="0"/>
    <x v="142"/>
  </r>
  <r>
    <x v="18"/>
    <s v="ATLYH"/>
    <n v="122041"/>
    <s v="ATLYH"/>
    <n v="2031"/>
    <x v="12"/>
    <x v="1633"/>
    <x v="31"/>
    <x v="0"/>
    <x v="142"/>
  </r>
  <r>
    <x v="18"/>
    <s v="AUSAN"/>
    <n v="213269"/>
    <s v="AUSAN"/>
    <n v="2126"/>
    <x v="11"/>
    <x v="1634"/>
    <x v="31"/>
    <x v="0"/>
    <x v="142"/>
  </r>
  <r>
    <x v="18"/>
    <s v="AVLAB"/>
    <n v="122123"/>
    <s v="AVLAB"/>
    <n v="2072"/>
    <x v="12"/>
    <x v="1635"/>
    <x v="31"/>
    <x v="0"/>
    <x v="142"/>
  </r>
  <r>
    <x v="18"/>
    <s v="AZOFW"/>
    <n v="122121"/>
    <s v="AZOFW"/>
    <n v="2071"/>
    <x v="12"/>
    <x v="1636"/>
    <x v="31"/>
    <x v="0"/>
    <x v="142"/>
  </r>
  <r>
    <x v="18"/>
    <s v="BHMFD"/>
    <n v="122215"/>
    <s v="BHMFD"/>
    <n v="2154"/>
    <x v="12"/>
    <x v="1637"/>
    <x v="31"/>
    <x v="0"/>
    <x v="142"/>
  </r>
  <r>
    <x v="18"/>
    <s v="BKWCY"/>
    <n v="122115"/>
    <s v="BKWCY"/>
    <n v="2068"/>
    <x v="12"/>
    <x v="1638"/>
    <x v="31"/>
    <x v="0"/>
    <x v="142"/>
  </r>
  <r>
    <x v="18"/>
    <s v="BOSBL"/>
    <n v="122189"/>
    <s v="BOSBL"/>
    <n v="2105"/>
    <x v="12"/>
    <x v="1639"/>
    <x v="31"/>
    <x v="0"/>
    <x v="142"/>
  </r>
  <r>
    <x v="18"/>
    <s v="BOSCD"/>
    <n v="122113"/>
    <s v="BOSCD"/>
    <n v="2067"/>
    <x v="12"/>
    <x v="1640"/>
    <x v="31"/>
    <x v="0"/>
    <x v="142"/>
  </r>
  <r>
    <x v="18"/>
    <s v="BOSCW"/>
    <n v="122143"/>
    <s v="BOSCW"/>
    <n v="2082"/>
    <x v="12"/>
    <x v="1641"/>
    <x v="31"/>
    <x v="0"/>
    <x v="142"/>
  </r>
  <r>
    <x v="18"/>
    <s v="BOSSO"/>
    <n v="122093"/>
    <s v="BOSSO"/>
    <n v="2057"/>
    <x v="12"/>
    <x v="1642"/>
    <x v="31"/>
    <x v="0"/>
    <x v="142"/>
  </r>
  <r>
    <x v="18"/>
    <s v="BOSWM"/>
    <n v="122165"/>
    <s v="BOSWM"/>
    <n v="2093"/>
    <x v="12"/>
    <x v="1643"/>
    <x v="31"/>
    <x v="0"/>
    <x v="142"/>
  </r>
  <r>
    <x v="18"/>
    <s v="BWIBA"/>
    <n v="122153"/>
    <s v="BWIBA"/>
    <n v="2087"/>
    <x v="12"/>
    <x v="1644"/>
    <x v="31"/>
    <x v="0"/>
    <x v="142"/>
  </r>
  <r>
    <x v="18"/>
    <s v="CAECH"/>
    <n v="122177"/>
    <s v="CAECH"/>
    <n v="2099"/>
    <x v="12"/>
    <x v="1645"/>
    <x v="31"/>
    <x v="0"/>
    <x v="142"/>
  </r>
  <r>
    <x v="18"/>
    <s v="CAESO"/>
    <n v="122101"/>
    <s v="CAESO"/>
    <n v="2061"/>
    <x v="12"/>
    <x v="1646"/>
    <x v="31"/>
    <x v="0"/>
    <x v="142"/>
  </r>
  <r>
    <x v="18"/>
    <s v="CHSNC"/>
    <n v="122183"/>
    <s v="CHSNC"/>
    <n v="2102"/>
    <x v="12"/>
    <x v="1647"/>
    <x v="31"/>
    <x v="0"/>
    <x v="142"/>
  </r>
  <r>
    <x v="18"/>
    <s v="CLECE"/>
    <n v="122159"/>
    <s v="CLECE"/>
    <n v="2090"/>
    <x v="12"/>
    <x v="1648"/>
    <x v="31"/>
    <x v="0"/>
    <x v="142"/>
  </r>
  <r>
    <x v="18"/>
    <s v="CLELY"/>
    <n v="122155"/>
    <s v="CLELY"/>
    <n v="2088"/>
    <x v="12"/>
    <x v="1649"/>
    <x v="31"/>
    <x v="0"/>
    <x v="142"/>
  </r>
  <r>
    <x v="18"/>
    <s v="CLTCA"/>
    <n v="122077"/>
    <s v="CLTCA"/>
    <n v="2049"/>
    <x v="12"/>
    <x v="1650"/>
    <x v="31"/>
    <x v="0"/>
    <x v="142"/>
  </r>
  <r>
    <x v="18"/>
    <s v="CLTDX"/>
    <n v="122065"/>
    <s v="CLTDX"/>
    <n v="2043"/>
    <x v="12"/>
    <x v="1651"/>
    <x v="31"/>
    <x v="0"/>
    <x v="142"/>
  </r>
  <r>
    <x v="18"/>
    <s v="CLTSR"/>
    <n v="122117"/>
    <s v="CLTSR"/>
    <n v="2069"/>
    <x v="12"/>
    <x v="1652"/>
    <x v="31"/>
    <x v="0"/>
    <x v="142"/>
  </r>
  <r>
    <x v="18"/>
    <s v="CLTSU"/>
    <n v="122147"/>
    <s v="CLTSU"/>
    <n v="2084"/>
    <x v="12"/>
    <x v="1653"/>
    <x v="31"/>
    <x v="0"/>
    <x v="142"/>
  </r>
  <r>
    <x v="18"/>
    <s v="CLTUP"/>
    <n v="122085"/>
    <s v="CLTUP"/>
    <n v="2053"/>
    <x v="12"/>
    <x v="1654"/>
    <x v="31"/>
    <x v="0"/>
    <x v="142"/>
  </r>
  <r>
    <x v="18"/>
    <s v="CMHFB"/>
    <n v="122061"/>
    <s v="CMHFB"/>
    <n v="2041"/>
    <x v="12"/>
    <x v="1655"/>
    <x v="31"/>
    <x v="0"/>
    <x v="142"/>
  </r>
  <r>
    <x v="18"/>
    <s v="CMHMA"/>
    <n v="122003"/>
    <s v="CMHMA"/>
    <n v="2012"/>
    <x v="12"/>
    <x v="1656"/>
    <x v="31"/>
    <x v="0"/>
    <x v="142"/>
  </r>
  <r>
    <x v="18"/>
    <s v="CMHNK"/>
    <n v="122141"/>
    <s v="CMHNK"/>
    <n v="2081"/>
    <x v="12"/>
    <x v="1657"/>
    <x v="31"/>
    <x v="0"/>
    <x v="142"/>
  </r>
  <r>
    <x v="18"/>
    <s v="CMHSU"/>
    <n v="122057"/>
    <s v="CMHSU"/>
    <n v="2039"/>
    <x v="12"/>
    <x v="1658"/>
    <x v="31"/>
    <x v="0"/>
    <x v="142"/>
  </r>
  <r>
    <x v="18"/>
    <s v="DALCM"/>
    <n v="213307"/>
    <s v="DALCM"/>
    <n v="2148"/>
    <x v="11"/>
    <x v="1659"/>
    <x v="31"/>
    <x v="0"/>
    <x v="142"/>
  </r>
  <r>
    <x v="18"/>
    <s v="DALFM"/>
    <n v="213279"/>
    <s v="DALFM"/>
    <n v="2131"/>
    <x v="11"/>
    <x v="1660"/>
    <x v="31"/>
    <x v="0"/>
    <x v="142"/>
  </r>
  <r>
    <x v="18"/>
    <s v="DALLE"/>
    <n v="213305"/>
    <s v="DALLE"/>
    <n v="2147"/>
    <x v="11"/>
    <x v="1661"/>
    <x v="31"/>
    <x v="0"/>
    <x v="142"/>
  </r>
  <r>
    <x v="18"/>
    <s v="DALPF"/>
    <n v="213273"/>
    <s v="DALPF"/>
    <n v="2128"/>
    <x v="11"/>
    <x v="1662"/>
    <x v="31"/>
    <x v="0"/>
    <x v="142"/>
  </r>
  <r>
    <x v="18"/>
    <s v="DALPS"/>
    <n v="213255"/>
    <s v="DALPS"/>
    <n v="2117"/>
    <x v="11"/>
    <x v="1663"/>
    <x v="31"/>
    <x v="0"/>
    <x v="142"/>
  </r>
  <r>
    <x v="18"/>
    <s v="DALRL"/>
    <n v="213267"/>
    <s v="DALRL"/>
    <n v="2125"/>
    <x v="11"/>
    <x v="1664"/>
    <x v="31"/>
    <x v="0"/>
    <x v="142"/>
  </r>
  <r>
    <x v="18"/>
    <s v="DALSR"/>
    <n v="213271"/>
    <s v="DALSR"/>
    <n v="2127"/>
    <x v="11"/>
    <x v="1665"/>
    <x v="31"/>
    <x v="0"/>
    <x v="142"/>
  </r>
  <r>
    <x v="18"/>
    <s v="DALSW"/>
    <n v="213253"/>
    <s v="DALSW"/>
    <n v="2116"/>
    <x v="11"/>
    <x v="1666"/>
    <x v="31"/>
    <x v="0"/>
    <x v="142"/>
  </r>
  <r>
    <x v="18"/>
    <s v="DALWX"/>
    <n v="213293"/>
    <s v="DALWX"/>
    <n v="2139"/>
    <x v="11"/>
    <x v="1667"/>
    <x v="31"/>
    <x v="0"/>
    <x v="142"/>
  </r>
  <r>
    <x v="18"/>
    <s v="DECDE"/>
    <n v="213289"/>
    <s v="DECDE"/>
    <n v="2136"/>
    <x v="11"/>
    <x v="1668"/>
    <x v="31"/>
    <x v="0"/>
    <x v="142"/>
  </r>
  <r>
    <x v="18"/>
    <s v="DFWAR"/>
    <n v="213281"/>
    <s v="DFWAR"/>
    <n v="2132"/>
    <x v="11"/>
    <x v="1669"/>
    <x v="31"/>
    <x v="0"/>
    <x v="142"/>
  </r>
  <r>
    <x v="18"/>
    <s v="DFWCF"/>
    <n v="213287"/>
    <s v="DFWCF"/>
    <n v="2135"/>
    <x v="11"/>
    <x v="1670"/>
    <x v="31"/>
    <x v="0"/>
    <x v="142"/>
  </r>
  <r>
    <x v="18"/>
    <s v="DFWCN"/>
    <n v="213315"/>
    <s v="DFWCN"/>
    <n v="2152"/>
    <x v="11"/>
    <x v="1671"/>
    <x v="31"/>
    <x v="0"/>
    <x v="142"/>
  </r>
  <r>
    <x v="18"/>
    <s v="DFWJR"/>
    <n v="213295"/>
    <s v="DFWJR"/>
    <n v="2142"/>
    <x v="11"/>
    <x v="1672"/>
    <x v="31"/>
    <x v="0"/>
    <x v="142"/>
  </r>
  <r>
    <x v="18"/>
    <s v="DFWNF"/>
    <n v="213291"/>
    <s v="DFWNF"/>
    <n v="2138"/>
    <x v="11"/>
    <x v="1673"/>
    <x v="31"/>
    <x v="0"/>
    <x v="142"/>
  </r>
  <r>
    <x v="18"/>
    <s v="DFWSY"/>
    <n v="213275"/>
    <s v="DFWSY"/>
    <n v="2129"/>
    <x v="11"/>
    <x v="1674"/>
    <x v="31"/>
    <x v="0"/>
    <x v="142"/>
  </r>
  <r>
    <x v="18"/>
    <s v="DFWWL"/>
    <n v="213263"/>
    <s v="DFWWL"/>
    <n v="2123"/>
    <x v="11"/>
    <x v="1675"/>
    <x v="31"/>
    <x v="0"/>
    <x v="142"/>
  </r>
  <r>
    <x v="18"/>
    <s v="DMOFI"/>
    <n v="213317"/>
    <s v="DMOFI"/>
    <n v="2153"/>
    <x v="11"/>
    <x v="1676"/>
    <x v="31"/>
    <x v="0"/>
    <x v="142"/>
  </r>
  <r>
    <x v="18"/>
    <s v="DTWRA"/>
    <n v="122067"/>
    <s v="DTWRA"/>
    <n v="2044"/>
    <x v="12"/>
    <x v="1677"/>
    <x v="31"/>
    <x v="0"/>
    <x v="142"/>
  </r>
  <r>
    <x v="18"/>
    <s v="DTWSD"/>
    <n v="122109"/>
    <s v="DTWSD"/>
    <n v="2065"/>
    <x v="12"/>
    <x v="1678"/>
    <x v="31"/>
    <x v="0"/>
    <x v="142"/>
  </r>
  <r>
    <x v="18"/>
    <s v="ERICY"/>
    <n v="122185"/>
    <s v="ERICY"/>
    <n v="2103"/>
    <x v="12"/>
    <x v="1679"/>
    <x v="31"/>
    <x v="0"/>
    <x v="142"/>
  </r>
  <r>
    <x v="18"/>
    <s v="EUGFI"/>
    <n v="213327"/>
    <s v="EUGFI"/>
    <n v="2160"/>
    <x v="11"/>
    <x v="1680"/>
    <x v="31"/>
    <x v="0"/>
    <x v="142"/>
  </r>
  <r>
    <x v="18"/>
    <s v="EWRWB"/>
    <n v="122039"/>
    <s v="EWRWB"/>
    <n v="2030"/>
    <x v="12"/>
    <x v="1681"/>
    <x v="31"/>
    <x v="0"/>
    <x v="142"/>
  </r>
  <r>
    <x v="18"/>
    <s v="FARFI"/>
    <n v="122209"/>
    <s v="FARFI"/>
    <n v="2137"/>
    <x v="12"/>
    <x v="1682"/>
    <x v="31"/>
    <x v="0"/>
    <x v="142"/>
  </r>
  <r>
    <x v="18"/>
    <s v="FATCC"/>
    <n v="213351"/>
    <s v="FATCC"/>
    <n v="2172"/>
    <x v="11"/>
    <x v="1683"/>
    <x v="31"/>
    <x v="0"/>
    <x v="142"/>
  </r>
  <r>
    <x v="18"/>
    <s v="FATCV"/>
    <n v="213333"/>
    <s v="FATCV"/>
    <n v="2163"/>
    <x v="11"/>
    <x v="1684"/>
    <x v="31"/>
    <x v="0"/>
    <x v="142"/>
  </r>
  <r>
    <x v="18"/>
    <s v="FATFN"/>
    <n v="213357"/>
    <s v="FATFN"/>
    <n v="2175"/>
    <x v="11"/>
    <x v="1685"/>
    <x v="31"/>
    <x v="0"/>
    <x v="142"/>
  </r>
  <r>
    <x v="18"/>
    <s v="FATKB"/>
    <n v="213343"/>
    <s v="FATKB"/>
    <n v="2168"/>
    <x v="11"/>
    <x v="1686"/>
    <x v="31"/>
    <x v="0"/>
    <x v="142"/>
  </r>
  <r>
    <x v="18"/>
    <s v="FATNO"/>
    <n v="213331"/>
    <s v="FATNO"/>
    <n v="2162"/>
    <x v="11"/>
    <x v="1687"/>
    <x v="31"/>
    <x v="0"/>
    <x v="142"/>
  </r>
  <r>
    <x v="18"/>
    <s v="FNTCY"/>
    <n v="122169"/>
    <s v="FNTCY"/>
    <n v="2095"/>
    <x v="12"/>
    <x v="1688"/>
    <x v="31"/>
    <x v="0"/>
    <x v="142"/>
  </r>
  <r>
    <x v="18"/>
    <s v="FSTFI"/>
    <n v="213261"/>
    <s v="FSTFI"/>
    <n v="2122"/>
    <x v="11"/>
    <x v="1689"/>
    <x v="31"/>
    <x v="0"/>
    <x v="142"/>
  </r>
  <r>
    <x v="18"/>
    <s v="FWAFN"/>
    <n v="122199"/>
    <s v="FWAFN"/>
    <n v="2110"/>
    <x v="12"/>
    <x v="1690"/>
    <x v="31"/>
    <x v="0"/>
    <x v="142"/>
  </r>
  <r>
    <x v="18"/>
    <s v="FWAFW"/>
    <n v="122055"/>
    <s v="FWAFW"/>
    <n v="2038"/>
    <x v="12"/>
    <x v="1691"/>
    <x v="31"/>
    <x v="0"/>
    <x v="142"/>
  </r>
  <r>
    <x v="18"/>
    <s v="GEGFV"/>
    <n v="213355"/>
    <s v="GEGFV"/>
    <n v="2174"/>
    <x v="11"/>
    <x v="1692"/>
    <x v="31"/>
    <x v="0"/>
    <x v="142"/>
  </r>
  <r>
    <x v="18"/>
    <s v="GEGPS"/>
    <n v="213337"/>
    <s v="GEGPS"/>
    <n v="2165"/>
    <x v="11"/>
    <x v="1693"/>
    <x v="31"/>
    <x v="0"/>
    <x v="142"/>
  </r>
  <r>
    <x v="18"/>
    <s v="GNVLC"/>
    <n v="122049"/>
    <s v="GNVLC"/>
    <n v="2035"/>
    <x v="12"/>
    <x v="1694"/>
    <x v="31"/>
    <x v="0"/>
    <x v="142"/>
  </r>
  <r>
    <x v="18"/>
    <s v="GONCY"/>
    <n v="122133"/>
    <s v="GONCY"/>
    <n v="2077"/>
    <x v="12"/>
    <x v="1695"/>
    <x v="31"/>
    <x v="0"/>
    <x v="142"/>
  </r>
  <r>
    <x v="18"/>
    <s v="GRRSE"/>
    <n v="122021"/>
    <s v="GRRSE"/>
    <n v="2021"/>
    <x v="12"/>
    <x v="1696"/>
    <x v="31"/>
    <x v="0"/>
    <x v="142"/>
  </r>
  <r>
    <x v="18"/>
    <s v="HARFC"/>
    <n v="122175"/>
    <s v="HARFC"/>
    <n v="2098"/>
    <x v="12"/>
    <x v="1697"/>
    <x v="31"/>
    <x v="0"/>
    <x v="142"/>
  </r>
  <r>
    <x v="18"/>
    <s v="HARFM"/>
    <n v="122145"/>
    <s v="HARFM"/>
    <n v="2083"/>
    <x v="12"/>
    <x v="1698"/>
    <x v="31"/>
    <x v="0"/>
    <x v="142"/>
  </r>
  <r>
    <x v="18"/>
    <s v="HGRMB"/>
    <n v="122163"/>
    <s v="HGRMB"/>
    <n v="2092"/>
    <x v="12"/>
    <x v="1699"/>
    <x v="31"/>
    <x v="0"/>
    <x v="142"/>
  </r>
  <r>
    <x v="18"/>
    <s v="HKYFI"/>
    <n v="122019"/>
    <s v="HKYFI"/>
    <n v="2020"/>
    <x v="12"/>
    <x v="1700"/>
    <x v="31"/>
    <x v="0"/>
    <x v="142"/>
  </r>
  <r>
    <x v="18"/>
    <s v="HOUCK"/>
    <n v="213247"/>
    <s v="HOUCK"/>
    <n v="2113"/>
    <x v="11"/>
    <x v="1701"/>
    <x v="31"/>
    <x v="0"/>
    <x v="142"/>
  </r>
  <r>
    <x v="18"/>
    <s v="HOUCS"/>
    <n v="213297"/>
    <s v="HOUCS"/>
    <n v="2143"/>
    <x v="11"/>
    <x v="1702"/>
    <x v="31"/>
    <x v="0"/>
    <x v="142"/>
  </r>
  <r>
    <x v="18"/>
    <s v="HOUFA"/>
    <n v="213251"/>
    <s v="HOUFA"/>
    <n v="2115"/>
    <x v="11"/>
    <x v="1703"/>
    <x v="31"/>
    <x v="0"/>
    <x v="142"/>
  </r>
  <r>
    <x v="18"/>
    <s v="HOUFH"/>
    <n v="213285"/>
    <s v="HOUFH"/>
    <n v="2134"/>
    <x v="11"/>
    <x v="1704"/>
    <x v="31"/>
    <x v="0"/>
    <x v="142"/>
  </r>
  <r>
    <x v="18"/>
    <s v="HOUHA"/>
    <n v="213277"/>
    <s v="HOUHA"/>
    <n v="2130"/>
    <x v="11"/>
    <x v="1705"/>
    <x v="31"/>
    <x v="0"/>
    <x v="142"/>
  </r>
  <r>
    <x v="18"/>
    <s v="HOUHM"/>
    <n v="213309"/>
    <s v="HOUHM"/>
    <n v="2149"/>
    <x v="11"/>
    <x v="1706"/>
    <x v="31"/>
    <x v="0"/>
    <x v="142"/>
  </r>
  <r>
    <x v="18"/>
    <s v="HOUIS"/>
    <n v="213299"/>
    <s v="HOUIS"/>
    <n v="2144"/>
    <x v="11"/>
    <x v="1707"/>
    <x v="31"/>
    <x v="0"/>
    <x v="142"/>
  </r>
  <r>
    <x v="18"/>
    <s v="INDSE"/>
    <n v="122179"/>
    <s v="INDSE"/>
    <n v="2100"/>
    <x v="12"/>
    <x v="1708"/>
    <x v="31"/>
    <x v="0"/>
    <x v="142"/>
  </r>
  <r>
    <x v="18"/>
    <s v="INTSH"/>
    <n v="122187"/>
    <s v="INTSH"/>
    <n v="2104"/>
    <x v="12"/>
    <x v="1709"/>
    <x v="31"/>
    <x v="0"/>
    <x v="142"/>
  </r>
  <r>
    <x v="18"/>
    <s v="IPLFI"/>
    <n v="213347"/>
    <s v="IPLFI"/>
    <n v="2170"/>
    <x v="11"/>
    <x v="1710"/>
    <x v="31"/>
    <x v="0"/>
    <x v="142"/>
  </r>
  <r>
    <x v="18"/>
    <s v="IPTFI"/>
    <n v="122107"/>
    <s v="IPTFI"/>
    <n v="2064"/>
    <x v="12"/>
    <x v="1711"/>
    <x v="31"/>
    <x v="0"/>
    <x v="142"/>
  </r>
  <r>
    <x v="18"/>
    <s v="IYKSH"/>
    <n v="213341"/>
    <s v="IYKSH"/>
    <n v="2167"/>
    <x v="11"/>
    <x v="1712"/>
    <x v="31"/>
    <x v="0"/>
    <x v="142"/>
  </r>
  <r>
    <x v="18"/>
    <s v="JAXCH"/>
    <n v="122031"/>
    <s v="JAXCH"/>
    <n v="2026"/>
    <x v="12"/>
    <x v="1713"/>
    <x v="31"/>
    <x v="0"/>
    <x v="142"/>
  </r>
  <r>
    <x v="18"/>
    <s v="JAXCS"/>
    <n v="122097"/>
    <s v="JAXCS"/>
    <n v="2059"/>
    <x v="12"/>
    <x v="1714"/>
    <x v="31"/>
    <x v="0"/>
    <x v="142"/>
  </r>
  <r>
    <x v="18"/>
    <s v="JAXJB"/>
    <n v="122129"/>
    <s v="JAXJB"/>
    <n v="2075"/>
    <x v="12"/>
    <x v="1715"/>
    <x v="31"/>
    <x v="0"/>
    <x v="142"/>
  </r>
  <r>
    <x v="18"/>
    <s v="JAXJK"/>
    <n v="122105"/>
    <s v="JAXJK"/>
    <n v="2063"/>
    <x v="12"/>
    <x v="1716"/>
    <x v="31"/>
    <x v="0"/>
    <x v="142"/>
  </r>
  <r>
    <x v="18"/>
    <s v="JAXOP"/>
    <n v="122071"/>
    <s v="JAXOP"/>
    <n v="2046"/>
    <x v="12"/>
    <x v="1717"/>
    <x v="31"/>
    <x v="0"/>
    <x v="142"/>
  </r>
  <r>
    <x v="18"/>
    <s v="JAXSC"/>
    <n v="122053"/>
    <s v="JAXSC"/>
    <n v="2037"/>
    <x v="12"/>
    <x v="1718"/>
    <x v="31"/>
    <x v="0"/>
    <x v="142"/>
  </r>
  <r>
    <x v="18"/>
    <s v="JAXST"/>
    <n v="122171"/>
    <s v="JAXST"/>
    <n v="2096"/>
    <x v="12"/>
    <x v="1719"/>
    <x v="31"/>
    <x v="0"/>
    <x v="142"/>
  </r>
  <r>
    <x v="18"/>
    <s v="JXNFI"/>
    <n v="122089"/>
    <s v="JXNFI"/>
    <n v="2055"/>
    <x v="12"/>
    <x v="1539"/>
    <x v="31"/>
    <x v="0"/>
    <x v="142"/>
  </r>
  <r>
    <x v="18"/>
    <s v="KWCSH"/>
    <n v="213365"/>
    <s v="KWCSH"/>
    <n v="2179"/>
    <x v="11"/>
    <x v="1720"/>
    <x v="31"/>
    <x v="0"/>
    <x v="142"/>
  </r>
  <r>
    <x v="18"/>
    <s v="LANAC"/>
    <n v="122069"/>
    <s v="LANAC"/>
    <n v="2045"/>
    <x v="12"/>
    <x v="1721"/>
    <x v="31"/>
    <x v="0"/>
    <x v="142"/>
  </r>
  <r>
    <x v="18"/>
    <s v="LANSH"/>
    <n v="122119"/>
    <s v="LANSH"/>
    <n v="2070"/>
    <x v="12"/>
    <x v="1722"/>
    <x v="31"/>
    <x v="0"/>
    <x v="142"/>
  </r>
  <r>
    <x v="18"/>
    <s v="LASCY"/>
    <n v="213335"/>
    <s v="LASCY"/>
    <n v="2164"/>
    <x v="11"/>
    <x v="1723"/>
    <x v="31"/>
    <x v="0"/>
    <x v="142"/>
  </r>
  <r>
    <x v="18"/>
    <s v="LASFI"/>
    <n v="213323"/>
    <s v="LASFI"/>
    <n v="2158"/>
    <x v="11"/>
    <x v="1724"/>
    <x v="31"/>
    <x v="0"/>
    <x v="142"/>
  </r>
  <r>
    <x v="18"/>
    <s v="LASFS"/>
    <n v="213339"/>
    <s v="LASFS"/>
    <n v="2166"/>
    <x v="11"/>
    <x v="1725"/>
    <x v="31"/>
    <x v="0"/>
    <x v="142"/>
  </r>
  <r>
    <x v="18"/>
    <s v="LAXBP"/>
    <n v="213363"/>
    <s v="LAXBP"/>
    <n v="2178"/>
    <x v="11"/>
    <x v="1726"/>
    <x v="31"/>
    <x v="0"/>
    <x v="142"/>
  </r>
  <r>
    <x v="18"/>
    <s v="LAXFS"/>
    <n v="213345"/>
    <s v="LAXFS"/>
    <n v="2169"/>
    <x v="11"/>
    <x v="1727"/>
    <x v="31"/>
    <x v="0"/>
    <x v="142"/>
  </r>
  <r>
    <x v="18"/>
    <s v="LBEBV"/>
    <n v="122035"/>
    <s v="LBEBV"/>
    <n v="2028"/>
    <x v="12"/>
    <x v="1728"/>
    <x v="31"/>
    <x v="0"/>
    <x v="142"/>
  </r>
  <r>
    <x v="18"/>
    <s v="LEBCY"/>
    <n v="122195"/>
    <s v="LEBCY"/>
    <n v="2108"/>
    <x v="12"/>
    <x v="1729"/>
    <x v="31"/>
    <x v="0"/>
    <x v="142"/>
  </r>
  <r>
    <x v="18"/>
    <s v="LNSFL"/>
    <n v="122009"/>
    <s v="LNSFL"/>
    <n v="2015"/>
    <x v="12"/>
    <x v="1730"/>
    <x v="31"/>
    <x v="0"/>
    <x v="142"/>
  </r>
  <r>
    <x v="18"/>
    <s v="MAFCY"/>
    <n v="213283"/>
    <s v="MAFCY"/>
    <n v="2133"/>
    <x v="11"/>
    <x v="1731"/>
    <x v="31"/>
    <x v="0"/>
    <x v="142"/>
  </r>
  <r>
    <x v="18"/>
    <s v="MBSMP"/>
    <n v="122083"/>
    <s v="MBSMP"/>
    <n v="2052"/>
    <x v="12"/>
    <x v="1732"/>
    <x v="31"/>
    <x v="0"/>
    <x v="142"/>
  </r>
  <r>
    <x v="18"/>
    <s v="MCIAC"/>
    <n v="213249"/>
    <s v="MCIAC"/>
    <n v="2114"/>
    <x v="11"/>
    <x v="1733"/>
    <x v="31"/>
    <x v="0"/>
    <x v="142"/>
  </r>
  <r>
    <x v="18"/>
    <s v="MCIBS"/>
    <n v="213319"/>
    <s v="MCIBS"/>
    <n v="2155"/>
    <x v="11"/>
    <x v="1734"/>
    <x v="31"/>
    <x v="0"/>
    <x v="142"/>
  </r>
  <r>
    <x v="18"/>
    <s v="MCIFO"/>
    <n v="213265"/>
    <s v="MCIFO"/>
    <n v="2124"/>
    <x v="11"/>
    <x v="1735"/>
    <x v="31"/>
    <x v="0"/>
    <x v="142"/>
  </r>
  <r>
    <x v="18"/>
    <s v="MCOBN"/>
    <n v="122013"/>
    <s v="MCOBN"/>
    <n v="2017"/>
    <x v="12"/>
    <x v="1736"/>
    <x v="31"/>
    <x v="0"/>
    <x v="142"/>
  </r>
  <r>
    <x v="18"/>
    <s v="MEMME"/>
    <n v="122207"/>
    <s v="MEMME"/>
    <n v="2120"/>
    <x v="12"/>
    <x v="1737"/>
    <x v="31"/>
    <x v="0"/>
    <x v="142"/>
  </r>
  <r>
    <x v="18"/>
    <s v="MFEMA"/>
    <n v="213303"/>
    <s v="MFEMA"/>
    <n v="2146"/>
    <x v="11"/>
    <x v="1738"/>
    <x v="31"/>
    <x v="0"/>
    <x v="142"/>
  </r>
  <r>
    <x v="18"/>
    <s v="MHTFM"/>
    <n v="122139"/>
    <s v="MHTFM"/>
    <n v="2080"/>
    <x v="12"/>
    <x v="1739"/>
    <x v="31"/>
    <x v="0"/>
    <x v="142"/>
  </r>
  <r>
    <x v="18"/>
    <s v="MIAAW"/>
    <n v="122191"/>
    <s v="MIAAW"/>
    <n v="2106"/>
    <x v="12"/>
    <x v="1740"/>
    <x v="31"/>
    <x v="0"/>
    <x v="142"/>
  </r>
  <r>
    <x v="18"/>
    <s v="MIADM"/>
    <n v="122033"/>
    <s v="MIADM"/>
    <n v="2027"/>
    <x v="12"/>
    <x v="1741"/>
    <x v="31"/>
    <x v="0"/>
    <x v="142"/>
  </r>
  <r>
    <x v="18"/>
    <s v="MSNMV"/>
    <n v="122205"/>
    <s v="MSNMV"/>
    <n v="2118"/>
    <x v="12"/>
    <x v="1742"/>
    <x v="31"/>
    <x v="0"/>
    <x v="142"/>
  </r>
  <r>
    <x v="18"/>
    <s v="MSPFK"/>
    <n v="122211"/>
    <s v="MSPFK"/>
    <n v="2140"/>
    <x v="12"/>
    <x v="1743"/>
    <x v="31"/>
    <x v="0"/>
    <x v="142"/>
  </r>
  <r>
    <x v="18"/>
    <s v="MSPFN"/>
    <n v="122201"/>
    <s v="MSPFN"/>
    <n v="2111"/>
    <x v="12"/>
    <x v="1744"/>
    <x v="31"/>
    <x v="0"/>
    <x v="142"/>
  </r>
  <r>
    <x v="18"/>
    <s v="MSPSH"/>
    <n v="122213"/>
    <s v="MSPSH"/>
    <n v="2141"/>
    <x v="12"/>
    <x v="1745"/>
    <x v="31"/>
    <x v="0"/>
    <x v="142"/>
  </r>
  <r>
    <x v="18"/>
    <s v="MYRFB"/>
    <n v="122011"/>
    <s v="MYRFB"/>
    <n v="2016"/>
    <x v="12"/>
    <x v="1746"/>
    <x v="31"/>
    <x v="0"/>
    <x v="142"/>
  </r>
  <r>
    <x v="18"/>
    <s v="NYCJF"/>
    <n v="122029"/>
    <s v="NYCJF"/>
    <n v="2025"/>
    <x v="12"/>
    <x v="1747"/>
    <x v="31"/>
    <x v="0"/>
    <x v="142"/>
  </r>
  <r>
    <x v="18"/>
    <s v="NYCOF"/>
    <n v="122149"/>
    <s v="NYCOF"/>
    <n v="2085"/>
    <x v="12"/>
    <x v="1748"/>
    <x v="31"/>
    <x v="0"/>
    <x v="142"/>
  </r>
  <r>
    <x v="18"/>
    <s v="OAJCY"/>
    <n v="122157"/>
    <s v="OAJCY"/>
    <n v="2089"/>
    <x v="12"/>
    <x v="1749"/>
    <x v="31"/>
    <x v="0"/>
    <x v="142"/>
  </r>
  <r>
    <x v="18"/>
    <s v="OAKCY"/>
    <n v="213361"/>
    <s v="OAKCY"/>
    <n v="2177"/>
    <x v="11"/>
    <x v="1750"/>
    <x v="31"/>
    <x v="0"/>
    <x v="142"/>
  </r>
  <r>
    <x v="18"/>
    <s v="OAKFI"/>
    <n v="213325"/>
    <s v="OAKFI"/>
    <n v="2159"/>
    <x v="11"/>
    <x v="1751"/>
    <x v="31"/>
    <x v="0"/>
    <x v="142"/>
  </r>
  <r>
    <x v="18"/>
    <s v="OAKLM"/>
    <n v="213353"/>
    <s v="OAKLM"/>
    <n v="2173"/>
    <x v="11"/>
    <x v="1752"/>
    <x v="31"/>
    <x v="0"/>
    <x v="142"/>
  </r>
  <r>
    <x v="18"/>
    <s v="OKCFW"/>
    <n v="213301"/>
    <s v="OKCFW"/>
    <n v="2145"/>
    <x v="11"/>
    <x v="1753"/>
    <x v="31"/>
    <x v="0"/>
    <x v="142"/>
  </r>
  <r>
    <x v="18"/>
    <s v="ORFCY"/>
    <n v="122045"/>
    <s v="ORFCY"/>
    <n v="2033"/>
    <x v="12"/>
    <x v="1754"/>
    <x v="31"/>
    <x v="0"/>
    <x v="142"/>
  </r>
  <r>
    <x v="18"/>
    <s v="ORFEC"/>
    <n v="122099"/>
    <s v="ORFEC"/>
    <n v="2060"/>
    <x v="12"/>
    <x v="1755"/>
    <x v="31"/>
    <x v="0"/>
    <x v="142"/>
  </r>
  <r>
    <x v="18"/>
    <s v="PHLFG"/>
    <n v="122059"/>
    <s v="PHLFG"/>
    <n v="2040"/>
    <x v="12"/>
    <x v="1756"/>
    <x v="31"/>
    <x v="0"/>
    <x v="142"/>
  </r>
  <r>
    <x v="18"/>
    <s v="PHLGV"/>
    <n v="122091"/>
    <s v="PHLGV"/>
    <n v="2056"/>
    <x v="12"/>
    <x v="1757"/>
    <x v="31"/>
    <x v="0"/>
    <x v="142"/>
  </r>
  <r>
    <x v="18"/>
    <s v="PHLKP"/>
    <n v="122193"/>
    <s v="PHLKP"/>
    <n v="2107"/>
    <x v="12"/>
    <x v="1758"/>
    <x v="31"/>
    <x v="0"/>
    <x v="142"/>
  </r>
  <r>
    <x v="18"/>
    <s v="PHLLM"/>
    <n v="122151"/>
    <s v="PHLLM"/>
    <n v="2086"/>
    <x v="12"/>
    <x v="1759"/>
    <x v="31"/>
    <x v="0"/>
    <x v="142"/>
  </r>
  <r>
    <x v="18"/>
    <s v="PHLLN"/>
    <n v="122073"/>
    <s v="PHLLN"/>
    <n v="2047"/>
    <x v="12"/>
    <x v="1760"/>
    <x v="31"/>
    <x v="0"/>
    <x v="142"/>
  </r>
  <r>
    <x v="18"/>
    <s v="PHLVG"/>
    <n v="122023"/>
    <s v="PHLVG"/>
    <n v="2022"/>
    <x v="12"/>
    <x v="1761"/>
    <x v="31"/>
    <x v="0"/>
    <x v="142"/>
  </r>
  <r>
    <x v="18"/>
    <s v="PITNS"/>
    <n v="122135"/>
    <s v="PITNS"/>
    <n v="2078"/>
    <x v="12"/>
    <x v="1762"/>
    <x v="31"/>
    <x v="0"/>
    <x v="142"/>
  </r>
  <r>
    <x v="18"/>
    <s v="PITWC"/>
    <n v="122043"/>
    <s v="PITWC"/>
    <n v="2032"/>
    <x v="12"/>
    <x v="1763"/>
    <x v="31"/>
    <x v="0"/>
    <x v="142"/>
  </r>
  <r>
    <x v="18"/>
    <s v="PITXW"/>
    <n v="122017"/>
    <s v="PITXW"/>
    <n v="2019"/>
    <x v="12"/>
    <x v="1764"/>
    <x v="31"/>
    <x v="0"/>
    <x v="142"/>
  </r>
  <r>
    <x v="18"/>
    <s v="PNSOR"/>
    <n v="122203"/>
    <s v="PNSOR"/>
    <n v="2112"/>
    <x v="12"/>
    <x v="1765"/>
    <x v="31"/>
    <x v="0"/>
    <x v="142"/>
  </r>
  <r>
    <x v="18"/>
    <s v="POUCY"/>
    <n v="122161"/>
    <s v="POUCY"/>
    <n v="2091"/>
    <x v="12"/>
    <x v="1766"/>
    <x v="31"/>
    <x v="0"/>
    <x v="142"/>
  </r>
  <r>
    <x v="18"/>
    <s v="PVDRY"/>
    <n v="122103"/>
    <s v="PVDRY"/>
    <n v="2062"/>
    <x v="12"/>
    <x v="1767"/>
    <x v="31"/>
    <x v="0"/>
    <x v="142"/>
  </r>
  <r>
    <x v="18"/>
    <s v="PYMFM"/>
    <n v="122127"/>
    <s v="PYMFM"/>
    <n v="2074"/>
    <x v="12"/>
    <x v="1768"/>
    <x v="31"/>
    <x v="0"/>
    <x v="142"/>
  </r>
  <r>
    <x v="18"/>
    <s v="RAPDW"/>
    <n v="122217"/>
    <s v="RAPDW"/>
    <n v="2156"/>
    <x v="12"/>
    <x v="1769"/>
    <x v="31"/>
    <x v="0"/>
    <x v="142"/>
  </r>
  <r>
    <x v="18"/>
    <s v="RDGWY"/>
    <n v="122001"/>
    <s v="RDGWY"/>
    <n v="2011"/>
    <x v="12"/>
    <x v="1770"/>
    <x v="31"/>
    <x v="0"/>
    <x v="142"/>
  </r>
  <r>
    <x v="18"/>
    <s v="RDUBE"/>
    <n v="122197"/>
    <s v="RDUBE"/>
    <n v="2109"/>
    <x v="12"/>
    <x v="1771"/>
    <x v="31"/>
    <x v="0"/>
    <x v="142"/>
  </r>
  <r>
    <x v="18"/>
    <s v="RDUNT"/>
    <n v="122131"/>
    <s v="RDUNT"/>
    <n v="2076"/>
    <x v="12"/>
    <x v="1772"/>
    <x v="31"/>
    <x v="0"/>
    <x v="142"/>
  </r>
  <r>
    <x v="18"/>
    <s v="RICSH"/>
    <n v="122087"/>
    <s v="RICSH"/>
    <n v="2054"/>
    <x v="12"/>
    <x v="1773"/>
    <x v="31"/>
    <x v="0"/>
    <x v="142"/>
  </r>
  <r>
    <x v="18"/>
    <s v="RSWPG"/>
    <n v="122081"/>
    <s v="RSWPG"/>
    <n v="2051"/>
    <x v="12"/>
    <x v="1774"/>
    <x v="31"/>
    <x v="0"/>
    <x v="142"/>
  </r>
  <r>
    <x v="18"/>
    <s v="SATNL"/>
    <n v="213257"/>
    <s v="SATNL"/>
    <n v="2119"/>
    <x v="11"/>
    <x v="1775"/>
    <x v="31"/>
    <x v="0"/>
    <x v="142"/>
  </r>
  <r>
    <x v="18"/>
    <s v="SATSN"/>
    <n v="213311"/>
    <s v="SATSN"/>
    <n v="2150"/>
    <x v="11"/>
    <x v="1776"/>
    <x v="31"/>
    <x v="0"/>
    <x v="142"/>
  </r>
  <r>
    <x v="18"/>
    <s v="SBNFI"/>
    <n v="122051"/>
    <s v="SBNFI"/>
    <n v="2036"/>
    <x v="12"/>
    <x v="1777"/>
    <x v="31"/>
    <x v="0"/>
    <x v="142"/>
  </r>
  <r>
    <x v="18"/>
    <s v="SBNNB"/>
    <n v="122027"/>
    <s v="SBNNB"/>
    <n v="2024"/>
    <x v="12"/>
    <x v="1778"/>
    <x v="31"/>
    <x v="0"/>
    <x v="142"/>
  </r>
  <r>
    <x v="18"/>
    <s v="SEADP"/>
    <n v="213359"/>
    <s v="SEADP"/>
    <n v="2176"/>
    <x v="11"/>
    <x v="1779"/>
    <x v="31"/>
    <x v="0"/>
    <x v="142"/>
  </r>
  <r>
    <x v="18"/>
    <s v="SJCMS"/>
    <n v="213349"/>
    <s v="SJCMS"/>
    <n v="2171"/>
    <x v="11"/>
    <x v="1780"/>
    <x v="31"/>
    <x v="0"/>
    <x v="142"/>
  </r>
  <r>
    <x v="18"/>
    <s v="SJCNO"/>
    <n v="213367"/>
    <s v="SJCNO"/>
    <n v="2180"/>
    <x v="11"/>
    <x v="1781"/>
    <x v="31"/>
    <x v="0"/>
    <x v="142"/>
  </r>
  <r>
    <x v="18"/>
    <s v="SLCDP"/>
    <n v="213321"/>
    <s v="SLCDP"/>
    <n v="2157"/>
    <x v="11"/>
    <x v="1782"/>
    <x v="31"/>
    <x v="0"/>
    <x v="142"/>
  </r>
  <r>
    <x v="18"/>
    <s v="SNASP"/>
    <n v="213329"/>
    <s v="SNASP"/>
    <n v="2161"/>
    <x v="11"/>
    <x v="1783"/>
    <x v="31"/>
    <x v="0"/>
    <x v="142"/>
  </r>
  <r>
    <x v="18"/>
    <s v="TPASL"/>
    <n v="122095"/>
    <s v="TPASL"/>
    <n v="2058"/>
    <x v="12"/>
    <x v="1784"/>
    <x v="31"/>
    <x v="0"/>
    <x v="142"/>
  </r>
  <r>
    <x v="18"/>
    <s v="TPLFI"/>
    <n v="213259"/>
    <s v="TPLFI"/>
    <n v="2121"/>
    <x v="11"/>
    <x v="1785"/>
    <x v="31"/>
    <x v="0"/>
    <x v="142"/>
  </r>
  <r>
    <x v="18"/>
    <s v="TRITN"/>
    <n v="122111"/>
    <s v="TRITN"/>
    <n v="2066"/>
    <x v="12"/>
    <x v="1786"/>
    <x v="31"/>
    <x v="0"/>
    <x v="142"/>
  </r>
  <r>
    <x v="18"/>
    <s v="TYRSL"/>
    <n v="213313"/>
    <s v="TYRSL"/>
    <n v="2151"/>
    <x v="11"/>
    <x v="1787"/>
    <x v="31"/>
    <x v="0"/>
    <x v="142"/>
  </r>
  <r>
    <x v="18"/>
    <s v="WASVY"/>
    <n v="122075"/>
    <s v="WASVY"/>
    <n v="2048"/>
    <x v="12"/>
    <x v="1788"/>
    <x v="31"/>
    <x v="0"/>
    <x v="142"/>
  </r>
  <r>
    <x v="18"/>
    <s v="YKFFI"/>
    <n v="122137"/>
    <s v="YKFFI"/>
    <n v="2079"/>
    <x v="12"/>
    <x v="1789"/>
    <x v="31"/>
    <x v="0"/>
    <x v="142"/>
  </r>
  <r>
    <x v="18"/>
    <s v="YNGFN"/>
    <n v="122015"/>
    <s v="YNGFN"/>
    <n v="2018"/>
    <x v="12"/>
    <x v="1790"/>
    <x v="31"/>
    <x v="0"/>
    <x v="142"/>
  </r>
  <r>
    <x v="19"/>
    <m/>
    <m/>
    <m/>
    <m/>
    <x v="3"/>
    <x v="1791"/>
    <x v="32"/>
    <x v="2"/>
    <x v="1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1601B-0B33-9847-82CE-63577150477E}" name="PivotTable8" cacheId="19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4:AM37" firstHeaderRow="1" firstDataRow="2" firstDataCol="1" rowPageCount="2" colPageCount="1"/>
  <pivotFields count="10">
    <pivotField axis="axisPage" multipleItemSelectionAllowed="1" showAll="0">
      <items count="21">
        <item x="1"/>
        <item x="10"/>
        <item x="11"/>
        <item x="13"/>
        <item x="14"/>
        <item x="15"/>
        <item x="16"/>
        <item x="17"/>
        <item x="18"/>
        <item x="0"/>
        <item x="2"/>
        <item x="3"/>
        <item x="5"/>
        <item x="4"/>
        <item x="7"/>
        <item x="8"/>
        <item x="9"/>
        <item h="1" x="6"/>
        <item x="12"/>
        <item h="1" x="19"/>
        <item t="default"/>
      </items>
    </pivotField>
    <pivotField showAll="0"/>
    <pivotField showAll="0"/>
    <pivotField showAll="0"/>
    <pivotField showAll="0"/>
    <pivotField axis="axisCol" showAll="0">
      <items count="14">
        <item x="0"/>
        <item x="2"/>
        <item x="4"/>
        <item x="7"/>
        <item x="9"/>
        <item x="10"/>
        <item x="12"/>
        <item x="1"/>
        <item x="5"/>
        <item x="6"/>
        <item x="8"/>
        <item x="11"/>
        <item x="3"/>
        <item t="default"/>
      </items>
    </pivotField>
    <pivotField dataField="1" showAll="0">
      <items count="1793">
        <item x="1635"/>
        <item x="469"/>
        <item x="864"/>
        <item x="1622"/>
        <item x="1100"/>
        <item x="602"/>
        <item x="876"/>
        <item x="454"/>
        <item x="1640"/>
        <item x="8"/>
        <item x="764"/>
        <item x="1122"/>
        <item x="136"/>
        <item x="1149"/>
        <item x="165"/>
        <item x="1397"/>
        <item x="835"/>
        <item x="506"/>
        <item x="125"/>
        <item x="101"/>
        <item x="968"/>
        <item x="1487"/>
        <item x="425"/>
        <item x="276"/>
        <item x="579"/>
        <item x="408"/>
        <item x="1733"/>
        <item x="1721"/>
        <item x="249"/>
        <item x="609"/>
        <item x="663"/>
        <item x="840"/>
        <item x="547"/>
        <item x="1740"/>
        <item x="1542"/>
        <item x="721"/>
        <item x="420"/>
        <item x="893"/>
        <item x="867"/>
        <item x="220"/>
        <item x="906"/>
        <item x="1449"/>
        <item x="327"/>
        <item x="1056"/>
        <item x="807"/>
        <item x="909"/>
        <item x="312"/>
        <item x="575"/>
        <item x="1374"/>
        <item x="1361"/>
        <item x="1430"/>
        <item x="1062"/>
        <item x="1046"/>
        <item x="1584"/>
        <item x="1718"/>
        <item x="1376"/>
        <item x="804"/>
        <item x="1035"/>
        <item x="1435"/>
        <item x="1054"/>
        <item x="777"/>
        <item x="1612"/>
        <item x="1518"/>
        <item x="1261"/>
        <item x="1271"/>
        <item x="1262"/>
        <item x="1272"/>
        <item x="1273"/>
        <item x="1263"/>
        <item x="837"/>
        <item x="1264"/>
        <item x="1274"/>
        <item x="1275"/>
        <item x="1265"/>
        <item x="1276"/>
        <item x="1282"/>
        <item x="1266"/>
        <item x="1277"/>
        <item x="1281"/>
        <item x="1267"/>
        <item x="1279"/>
        <item x="1268"/>
        <item x="1096"/>
        <item x="1129"/>
        <item x="27"/>
        <item x="67"/>
        <item x="5"/>
        <item x="772"/>
        <item x="534"/>
        <item x="242"/>
        <item x="1098"/>
        <item x="351"/>
        <item x="1486"/>
        <item x="787"/>
        <item x="82"/>
        <item x="21"/>
        <item x="33"/>
        <item x="1623"/>
        <item x="406"/>
        <item x="494"/>
        <item x="1624"/>
        <item x="409"/>
        <item x="455"/>
        <item x="873"/>
        <item x="868"/>
        <item x="352"/>
        <item x="1625"/>
        <item x="863"/>
        <item x="1630"/>
        <item x="1631"/>
        <item x="882"/>
        <item x="264"/>
        <item x="644"/>
        <item x="216"/>
        <item x="231"/>
        <item x="1126"/>
        <item x="532"/>
        <item x="686"/>
        <item x="155"/>
        <item x="1638"/>
        <item x="542"/>
        <item x="1788"/>
        <item x="181"/>
        <item x="516"/>
        <item x="1504"/>
        <item x="763"/>
        <item x="364"/>
        <item x="6"/>
        <item x="718"/>
        <item x="1544"/>
        <item x="1102"/>
        <item x="217"/>
        <item x="472"/>
        <item x="1639"/>
        <item x="478"/>
        <item x="901"/>
        <item x="497"/>
        <item x="31"/>
        <item x="923"/>
        <item x="411"/>
        <item x="1767"/>
        <item x="1643"/>
        <item x="1120"/>
        <item x="1641"/>
        <item x="1642"/>
        <item x="1473"/>
        <item x="1472"/>
        <item x="34"/>
        <item x="875"/>
        <item x="1596"/>
        <item x="1124"/>
        <item x="347"/>
        <item x="438"/>
        <item x="1177"/>
        <item x="635"/>
        <item x="1178"/>
        <item x="700"/>
        <item x="1313"/>
        <item x="672"/>
        <item x="1462"/>
        <item x="524"/>
        <item x="1228"/>
        <item x="856"/>
        <item x="769"/>
        <item x="1135"/>
        <item x="1650"/>
        <item x="1140"/>
        <item x="1654"/>
        <item x="56"/>
        <item x="256"/>
        <item x="257"/>
        <item x="726"/>
        <item x="461"/>
        <item x="1134"/>
        <item x="1754"/>
        <item x="1458"/>
        <item x="417"/>
        <item x="265"/>
        <item x="1150"/>
        <item x="267"/>
        <item x="266"/>
        <item x="1396"/>
        <item x="447"/>
        <item x="47"/>
        <item x="1649"/>
        <item x="1456"/>
        <item x="1648"/>
        <item x="1039"/>
        <item x="500"/>
        <item x="741"/>
        <item x="191"/>
        <item x="1143"/>
        <item x="1146"/>
        <item x="477"/>
        <item x="821"/>
        <item x="248"/>
        <item x="505"/>
        <item x="1085"/>
        <item x="1066"/>
        <item x="641"/>
        <item x="646"/>
        <item x="966"/>
        <item x="1664"/>
        <item x="973"/>
        <item x="959"/>
        <item x="671"/>
        <item x="972"/>
        <item x="978"/>
        <item x="995"/>
        <item x="623"/>
        <item x="998"/>
        <item x="1659"/>
        <item x="633"/>
        <item x="957"/>
        <item x="948"/>
        <item x="1131"/>
        <item x="588"/>
        <item x="1155"/>
        <item x="589"/>
        <item x="1515"/>
        <item x="565"/>
        <item x="1018"/>
        <item x="1480"/>
        <item x="1468"/>
        <item x="1475"/>
        <item x="1474"/>
        <item x="911"/>
        <item x="714"/>
        <item x="587"/>
        <item x="444"/>
        <item x="288"/>
        <item x="482"/>
        <item x="677"/>
        <item x="1543"/>
        <item x="866"/>
        <item x="1385"/>
        <item x="1490"/>
        <item x="1489"/>
        <item x="1488"/>
        <item x="767"/>
        <item x="817"/>
        <item x="1679"/>
        <item x="1597"/>
        <item x="510"/>
        <item x="788"/>
        <item x="95"/>
        <item x="1493"/>
        <item x="1688"/>
        <item x="1496"/>
        <item x="169"/>
        <item x="271"/>
        <item x="149"/>
        <item x="141"/>
        <item x="1234"/>
        <item x="273"/>
        <item x="489"/>
        <item x="649"/>
        <item x="996"/>
        <item x="1671"/>
        <item x="1675"/>
        <item x="1666"/>
        <item x="1683"/>
        <item x="702"/>
        <item x="501"/>
        <item x="498"/>
        <item x="935"/>
        <item x="1502"/>
        <item x="1165"/>
        <item x="1166"/>
        <item x="380"/>
        <item x="689"/>
        <item x="283"/>
        <item x="306"/>
        <item x="88"/>
        <item x="348"/>
        <item x="1509"/>
        <item x="1729"/>
        <item x="1512"/>
        <item x="503"/>
        <item x="1173"/>
        <item x="560"/>
        <item x="467"/>
        <item x="129"/>
        <item x="115"/>
        <item x="449"/>
        <item x="105"/>
        <item x="124"/>
        <item x="630"/>
        <item x="632"/>
        <item x="621"/>
        <item x="1701"/>
        <item x="660"/>
        <item x="1000"/>
        <item x="1702"/>
        <item x="1517"/>
        <item x="955"/>
        <item x="944"/>
        <item x="964"/>
        <item x="951"/>
        <item x="988"/>
        <item x="1514"/>
        <item x="759"/>
        <item x="297"/>
        <item x="16"/>
        <item x="299"/>
        <item x="162"/>
        <item x="1459"/>
        <item x="1187"/>
        <item x="512"/>
        <item x="1749"/>
        <item x="1713"/>
        <item x="371"/>
        <item x="376"/>
        <item x="1525"/>
        <item x="22"/>
        <item x="1734"/>
        <item x="1004"/>
        <item x="952"/>
        <item x="368"/>
        <item x="1766"/>
        <item x="197"/>
        <item x="113"/>
        <item x="1443"/>
        <item x="1607"/>
        <item x="1609"/>
        <item x="682"/>
        <item x="179"/>
        <item x="1188"/>
        <item x="1294"/>
        <item x="393"/>
        <item x="1148"/>
        <item x="443"/>
        <item x="1297"/>
        <item x="1583"/>
        <item x="339"/>
        <item x="429"/>
        <item x="1190"/>
        <item x="1031"/>
        <item x="1723"/>
        <item x="806"/>
        <item x="1191"/>
        <item x="504"/>
        <item x="1154"/>
        <item x="398"/>
        <item x="1296"/>
        <item x="1529"/>
        <item x="1752"/>
        <item x="1050"/>
        <item x="100"/>
        <item x="1026"/>
        <item x="1726"/>
        <item x="1080"/>
        <item x="606"/>
        <item x="601"/>
        <item x="607"/>
        <item x="1045"/>
        <item x="1575"/>
        <item x="707"/>
        <item x="1290"/>
        <item x="1291"/>
        <item x="1293"/>
        <item x="860"/>
        <item x="301"/>
        <item x="1540"/>
        <item x="883"/>
        <item x="244"/>
        <item x="603"/>
        <item x="1536"/>
        <item x="1533"/>
        <item x="1405"/>
        <item x="544"/>
        <item x="186"/>
        <item x="1741"/>
        <item x="870"/>
        <item x="694"/>
        <item x="926"/>
        <item x="1248"/>
        <item x="1731"/>
        <item x="386"/>
        <item x="192"/>
        <item x="1210"/>
        <item x="1580"/>
        <item x="1107"/>
        <item x="1538"/>
        <item x="705"/>
        <item x="433"/>
        <item x="491"/>
        <item x="354"/>
        <item x="1384"/>
        <item x="148"/>
        <item x="395"/>
        <item x="418"/>
        <item x="401"/>
        <item x="584"/>
        <item x="1350"/>
        <item x="1175"/>
        <item x="1301"/>
        <item x="1747"/>
        <item x="902"/>
        <item x="779"/>
        <item x="842"/>
        <item x="1657"/>
        <item x="869"/>
        <item x="846"/>
        <item x="373"/>
        <item x="1417"/>
        <item x="17"/>
        <item x="739"/>
        <item x="382"/>
        <item x="1548"/>
        <item x="849"/>
        <item x="1695"/>
        <item x="1574"/>
        <item x="147"/>
        <item x="1546"/>
        <item x="1549"/>
        <item x="218"/>
        <item x="83"/>
        <item x="1303"/>
        <item x="1369"/>
        <item x="1198"/>
        <item x="701"/>
        <item x="1736"/>
        <item x="1199"/>
        <item x="1621"/>
        <item x="194"/>
        <item x="185"/>
        <item x="619"/>
        <item x="307"/>
        <item x="1352"/>
        <item x="651"/>
        <item x="1420"/>
        <item x="658"/>
        <item x="1222"/>
        <item x="1759"/>
        <item x="914"/>
        <item x="854"/>
        <item x="1757"/>
        <item x="1760"/>
        <item x="879"/>
        <item x="899"/>
        <item x="1761"/>
        <item x="1307"/>
        <item x="233"/>
        <item x="1254"/>
        <item x="1219"/>
        <item x="558"/>
        <item x="827"/>
        <item x="131"/>
        <item x="1763"/>
        <item x="1218"/>
        <item x="1522"/>
        <item x="1215"/>
        <item x="1111"/>
        <item x="847"/>
        <item x="1557"/>
        <item x="206"/>
        <item x="1223"/>
        <item x="50"/>
        <item x="208"/>
        <item x="167"/>
        <item x="309"/>
        <item x="106"/>
        <item x="1226"/>
        <item x="1038"/>
        <item x="874"/>
        <item x="685"/>
        <item x="1772"/>
        <item x="1423"/>
        <item x="1770"/>
        <item x="1315"/>
        <item x="1095"/>
        <item x="1314"/>
        <item x="308"/>
        <item x="564"/>
        <item x="1750"/>
        <item x="734"/>
        <item x="1231"/>
        <item x="1426"/>
        <item x="128"/>
        <item x="316"/>
        <item x="1311"/>
        <item x="1570"/>
        <item x="574"/>
        <item x="523"/>
        <item x="521"/>
        <item x="228"/>
        <item x="1320"/>
        <item x="668"/>
        <item x="487"/>
        <item x="1362"/>
        <item x="329"/>
        <item x="328"/>
        <item x="1363"/>
        <item x="1371"/>
        <item x="1114"/>
        <item x="967"/>
        <item x="1330"/>
        <item x="1335"/>
        <item x="1336"/>
        <item x="1344"/>
        <item x="1331"/>
        <item x="1337"/>
        <item x="1332"/>
        <item x="1334"/>
        <item x="1333"/>
        <item x="1342"/>
        <item x="520"/>
        <item x="1076"/>
        <item x="1781"/>
        <item x="225"/>
        <item x="1446"/>
        <item x="1088"/>
        <item x="1032"/>
        <item x="605"/>
        <item x="1377"/>
        <item x="333"/>
        <item x="1451"/>
        <item x="572"/>
        <item x="323"/>
        <item x="1070"/>
        <item x="1059"/>
        <item x="1079"/>
        <item x="1072"/>
        <item x="1063"/>
        <item x="459"/>
        <item x="1309"/>
        <item x="1172"/>
        <item x="930"/>
        <item x="907"/>
        <item x="1237"/>
        <item x="540"/>
        <item x="426"/>
        <item x="140"/>
        <item x="1578"/>
        <item x="268"/>
        <item x="980"/>
        <item x="1185"/>
        <item x="1714"/>
        <item x="176"/>
        <item x="85"/>
        <item x="1236"/>
        <item x="929"/>
        <item x="180"/>
        <item x="1252"/>
        <item x="340"/>
        <item x="1208"/>
        <item x="367"/>
        <item x="1241"/>
        <item x="285"/>
        <item x="1216"/>
        <item x="1593"/>
        <item x="703"/>
        <item x="1441"/>
        <item x="545"/>
        <item x="1249"/>
        <item x="1439"/>
        <item x="553"/>
        <item x="614"/>
        <item x="9"/>
        <item x="816"/>
        <item x="892"/>
        <item x="781"/>
        <item x="1603"/>
        <item x="1600"/>
        <item x="1601"/>
        <item x="1602"/>
        <item x="627"/>
        <item x="1605"/>
        <item x="738"/>
        <item x="1326"/>
        <item x="1256"/>
        <item x="1358"/>
        <item x="1554"/>
        <item x="72"/>
        <item x="942"/>
        <item x="46"/>
        <item x="1381"/>
        <item x="518"/>
        <item x="723"/>
        <item x="815"/>
        <item x="1176"/>
        <item x="1118"/>
        <item x="97"/>
        <item x="513"/>
        <item x="904"/>
        <item x="456"/>
        <item x="900"/>
        <item x="1393"/>
        <item x="576"/>
        <item x="1617"/>
        <item x="684"/>
        <item x="157"/>
        <item x="446"/>
        <item x="290"/>
        <item x="826"/>
        <item x="405"/>
        <item x="768"/>
        <item x="710"/>
        <item x="1375"/>
        <item x="1258"/>
        <item x="26"/>
        <item x="1030"/>
        <item x="1036"/>
        <item x="1042"/>
        <item x="1033"/>
        <item x="1614"/>
        <item x="483"/>
        <item x="1065"/>
        <item x="421"/>
        <item x="1669"/>
        <item x="250"/>
        <item x="1351"/>
        <item x="1632"/>
        <item x="1629"/>
        <item x="1626"/>
        <item x="450"/>
        <item x="1628"/>
        <item x="1627"/>
        <item x="1414"/>
        <item x="1242"/>
        <item x="1599"/>
        <item x="1569"/>
        <item x="927"/>
        <item x="1728"/>
        <item x="761"/>
        <item x="1637"/>
        <item x="577"/>
        <item x="1700"/>
        <item x="1037"/>
        <item x="838"/>
        <item x="1579"/>
        <item x="722"/>
        <item x="1452"/>
        <item x="884"/>
        <item x="108"/>
        <item x="1697"/>
        <item x="1460"/>
        <item x="1136"/>
        <item x="488"/>
        <item x="30"/>
        <item x="64"/>
        <item x="1463"/>
        <item x="4"/>
        <item x="936"/>
        <item x="1058"/>
        <item x="68"/>
        <item x="81"/>
        <item x="61"/>
        <item x="678"/>
        <item x="796"/>
        <item x="473"/>
        <item x="1655"/>
        <item x="1658"/>
        <item x="1670"/>
        <item x="799"/>
        <item x="659"/>
        <item x="369"/>
        <item x="1611"/>
        <item x="1028"/>
        <item x="1024"/>
        <item x="1006"/>
        <item x="953"/>
        <item x="1661"/>
        <item x="962"/>
        <item x="1660"/>
        <item x="940"/>
        <item x="947"/>
        <item x="979"/>
        <item x="1662"/>
        <item x="1667"/>
        <item x="805"/>
        <item x="1398"/>
        <item x="358"/>
        <item x="780"/>
        <item x="1471"/>
        <item x="1466"/>
        <item x="1465"/>
        <item x="1469"/>
        <item x="1483"/>
        <item x="235"/>
        <item x="203"/>
        <item x="1484"/>
        <item x="1470"/>
        <item x="983"/>
        <item x="841"/>
        <item x="1289"/>
        <item x="1044"/>
        <item x="1566"/>
        <item x="1003"/>
        <item x="1710"/>
        <item x="1029"/>
        <item x="1755"/>
        <item x="1576"/>
        <item x="1485"/>
        <item x="1680"/>
        <item x="1682"/>
        <item x="1495"/>
        <item x="1494"/>
        <item x="1419"/>
        <item x="1497"/>
        <item x="161"/>
        <item x="1689"/>
        <item x="1447"/>
        <item x="1500"/>
        <item x="976"/>
        <item x="1013"/>
        <item x="1672"/>
        <item x="1021"/>
        <item x="1015"/>
        <item x="1012"/>
        <item x="1673"/>
        <item x="292"/>
        <item x="1684"/>
        <item x="1687"/>
        <item x="1685"/>
        <item x="1507"/>
        <item x="1501"/>
        <item x="143"/>
        <item x="460"/>
        <item x="277"/>
        <item x="1450"/>
        <item x="281"/>
        <item x="1789"/>
        <item x="1048"/>
        <item x="910"/>
        <item x="1513"/>
        <item x="1698"/>
        <item x="748"/>
        <item x="688"/>
        <item x="1510"/>
        <item x="286"/>
        <item x="536"/>
        <item x="1511"/>
        <item x="985"/>
        <item x="1704"/>
        <item x="1706"/>
        <item x="949"/>
        <item x="970"/>
        <item x="969"/>
        <item x="1020"/>
        <item x="1703"/>
        <item x="1025"/>
        <item x="938"/>
        <item x="965"/>
        <item x="1519"/>
        <item x="1539"/>
        <item x="1715"/>
        <item x="1717"/>
        <item x="1786"/>
        <item x="1526"/>
        <item x="1564"/>
        <item x="1027"/>
        <item x="1023"/>
        <item x="956"/>
        <item x="1735"/>
        <item x="1014"/>
        <item x="1524"/>
        <item x="712"/>
        <item x="571"/>
        <item x="293"/>
        <item x="1694"/>
        <item x="1730"/>
        <item x="1527"/>
        <item x="1725"/>
        <item x="514"/>
        <item x="830"/>
        <item x="93"/>
        <item x="1091"/>
        <item x="80"/>
        <item x="1354"/>
        <item x="1060"/>
        <item x="1087"/>
        <item x="1727"/>
        <item x="831"/>
        <item x="561"/>
        <item x="1243"/>
        <item x="324"/>
        <item x="1541"/>
        <item x="1742"/>
        <item x="890"/>
        <item x="310"/>
        <item x="1656"/>
        <item x="102"/>
        <item x="941"/>
        <item x="1699"/>
        <item x="142"/>
        <item x="1737"/>
        <item x="1534"/>
        <item x="898"/>
        <item x="889"/>
        <item x="1530"/>
        <item x="1409"/>
        <item x="933"/>
        <item x="1743"/>
        <item x="931"/>
        <item x="400"/>
        <item x="1531"/>
        <item x="1537"/>
        <item x="1555"/>
        <item x="463"/>
        <item x="828"/>
        <item x="1732"/>
        <item x="1778"/>
        <item x="857"/>
        <item x="891"/>
        <item x="845"/>
        <item x="894"/>
        <item x="912"/>
        <item x="843"/>
        <item x="886"/>
        <item x="855"/>
        <item x="1260"/>
        <item x="135"/>
        <item x="1547"/>
        <item x="10"/>
        <item x="908"/>
        <item x="1751"/>
        <item x="399"/>
        <item x="1550"/>
        <item x="1551"/>
        <item x="1552"/>
        <item x="1553"/>
        <item x="15"/>
        <item x="117"/>
        <item x="595"/>
        <item x="1152"/>
        <item x="851"/>
        <item x="848"/>
        <item x="1558"/>
        <item x="657"/>
        <item x="1083"/>
        <item x="1562"/>
        <item x="1586"/>
        <item x="850"/>
        <item x="872"/>
        <item x="1756"/>
        <item x="1041"/>
        <item x="1561"/>
        <item x="402"/>
        <item x="1169"/>
        <item x="1608"/>
        <item x="852"/>
        <item x="137"/>
        <item x="1521"/>
        <item x="1022"/>
        <item x="1455"/>
        <item x="120"/>
        <item x="1613"/>
        <item x="756"/>
        <item x="96"/>
        <item x="1610"/>
        <item x="881"/>
        <item x="578"/>
        <item x="1771"/>
        <item x="1040"/>
        <item x="1768"/>
        <item x="209"/>
        <item x="1230"/>
        <item x="1067"/>
        <item x="89"/>
        <item x="990"/>
        <item x="1429"/>
        <item x="145"/>
        <item x="1590"/>
        <item x="1090"/>
        <item x="207"/>
        <item x="1367"/>
        <item x="1582"/>
        <item x="992"/>
        <item x="1571"/>
        <item x="939"/>
        <item x="1053"/>
        <item x="476"/>
        <item x="1064"/>
        <item x="35"/>
        <item x="1573"/>
        <item x="1560"/>
        <item x="1089"/>
        <item x="1093"/>
        <item x="1069"/>
        <item x="1686"/>
        <item x="282"/>
        <item x="1708"/>
        <item x="1753"/>
        <item x="195"/>
        <item x="325"/>
        <item x="839"/>
        <item x="1589"/>
        <item x="1777"/>
        <item x="887"/>
        <item x="1568"/>
        <item x="182"/>
        <item x="760"/>
        <item x="1287"/>
        <item x="1692"/>
        <item x="1585"/>
        <item x="1719"/>
        <item x="984"/>
        <item x="1744"/>
        <item x="1588"/>
        <item x="834"/>
        <item x="1779"/>
        <item x="1595"/>
        <item x="63"/>
        <item x="1785"/>
        <item x="1002"/>
        <item x="1604"/>
        <item x="903"/>
        <item x="563"/>
        <item x="961"/>
        <item x="937"/>
        <item x="932"/>
        <item x="861"/>
        <item x="1606"/>
        <item x="1587"/>
        <item x="573"/>
        <item x="1212"/>
        <item x="1615"/>
        <item x="974"/>
        <item x="116"/>
        <item x="1676"/>
        <item x="1691"/>
        <item x="885"/>
        <item x="1563"/>
        <item x="1217"/>
        <item x="1390"/>
        <item x="916"/>
        <item x="1764"/>
        <item x="699"/>
        <item x="1005"/>
        <item x="1711"/>
        <item x="1618"/>
        <item x="1327"/>
        <item x="934"/>
        <item x="1681"/>
        <item x="1620"/>
        <item x="829"/>
        <item x="814"/>
        <item x="818"/>
        <item x="732"/>
        <item x="528"/>
        <item x="172"/>
        <item x="502"/>
        <item x="42"/>
        <item x="52"/>
        <item x="175"/>
        <item x="1099"/>
        <item x="36"/>
        <item x="730"/>
        <item x="468"/>
        <item x="221"/>
        <item x="439"/>
        <item x="279"/>
        <item x="251"/>
        <item x="123"/>
        <item x="744"/>
        <item x="773"/>
        <item x="432"/>
        <item x="481"/>
        <item x="496"/>
        <item x="471"/>
        <item x="350"/>
        <item x="423"/>
        <item x="784"/>
        <item x="465"/>
        <item x="765"/>
        <item x="775"/>
        <item x="484"/>
        <item x="57"/>
        <item x="263"/>
        <item x="415"/>
        <item x="54"/>
        <item x="200"/>
        <item x="616"/>
        <item x="1101"/>
        <item x="53"/>
        <item x="114"/>
        <item x="782"/>
        <item x="793"/>
        <item x="48"/>
        <item x="1257"/>
        <item x="628"/>
        <item x="1113"/>
        <item x="1319"/>
        <item x="511"/>
        <item x="669"/>
        <item x="617"/>
        <item x="1433"/>
        <item x="377"/>
        <item x="529"/>
        <item x="211"/>
        <item x="692"/>
        <item x="673"/>
        <item x="797"/>
        <item x="1250"/>
        <item x="1161"/>
        <item x="1442"/>
        <item x="413"/>
        <item x="1227"/>
        <item x="608"/>
        <item x="736"/>
        <item x="381"/>
        <item x="1130"/>
        <item x="91"/>
        <item x="222"/>
        <item x="224"/>
        <item x="45"/>
        <item x="168"/>
        <item x="416"/>
        <item x="259"/>
        <item x="260"/>
        <item x="254"/>
        <item x="28"/>
        <item x="1133"/>
        <item x="1132"/>
        <item x="118"/>
        <item x="554"/>
        <item x="204"/>
        <item x="241"/>
        <item x="655"/>
        <item x="77"/>
        <item x="640"/>
        <item x="538"/>
        <item x="458"/>
        <item x="1239"/>
        <item x="317"/>
        <item x="133"/>
        <item x="435"/>
        <item x="19"/>
        <item x="1395"/>
        <item x="126"/>
        <item x="719"/>
        <item x="1138"/>
        <item x="1283"/>
        <item x="234"/>
        <item x="1127"/>
        <item x="193"/>
        <item x="457"/>
        <item x="1144"/>
        <item x="1145"/>
        <item x="261"/>
        <item x="412"/>
        <item x="753"/>
        <item x="711"/>
        <item x="789"/>
        <item x="227"/>
        <item x="343"/>
        <item x="1302"/>
        <item x="638"/>
        <item x="642"/>
        <item x="656"/>
        <item x="269"/>
        <item x="1399"/>
        <item x="360"/>
        <item x="134"/>
        <item x="626"/>
        <item x="1285"/>
        <item x="226"/>
        <item x="597"/>
        <item x="594"/>
        <item x="178"/>
        <item x="342"/>
        <item x="591"/>
        <item x="590"/>
        <item x="509"/>
        <item x="586"/>
        <item x="792"/>
        <item x="485"/>
        <item x="774"/>
        <item x="706"/>
        <item x="583"/>
        <item x="790"/>
        <item x="79"/>
        <item x="596"/>
        <item x="592"/>
        <item x="1159"/>
        <item x="810"/>
        <item x="1387"/>
        <item x="392"/>
        <item x="1181"/>
        <item x="791"/>
        <item x="1427"/>
        <item x="274"/>
        <item x="798"/>
        <item x="1438"/>
        <item x="801"/>
        <item x="404"/>
        <item x="272"/>
        <item x="173"/>
        <item x="156"/>
        <item x="786"/>
        <item x="153"/>
        <item x="530"/>
        <item x="344"/>
        <item x="451"/>
        <item x="624"/>
        <item x="1163"/>
        <item x="78"/>
        <item x="44"/>
        <item x="434"/>
        <item x="464"/>
        <item x="713"/>
        <item x="345"/>
        <item x="320"/>
        <item x="639"/>
        <item x="1105"/>
        <item x="1108"/>
        <item x="1286"/>
        <item x="452"/>
        <item x="1401"/>
        <item x="284"/>
        <item x="1171"/>
        <item x="164"/>
        <item x="103"/>
        <item x="252"/>
        <item x="675"/>
        <item x="742"/>
        <item x="99"/>
        <item x="1204"/>
        <item x="613"/>
        <item x="637"/>
        <item x="662"/>
        <item x="486"/>
        <item x="543"/>
        <item x="295"/>
        <item x="291"/>
        <item x="166"/>
        <item x="296"/>
        <item x="294"/>
        <item x="298"/>
        <item x="1184"/>
        <item x="808"/>
        <item x="1186"/>
        <item x="51"/>
        <item x="1388"/>
        <item x="636"/>
        <item x="201"/>
        <item x="709"/>
        <item x="1389"/>
        <item x="190"/>
        <item x="585"/>
        <item x="770"/>
        <item x="223"/>
        <item x="683"/>
        <item x="1255"/>
        <item x="1189"/>
        <item x="531"/>
        <item x="13"/>
        <item x="374"/>
        <item x="372"/>
        <item x="666"/>
        <item x="366"/>
        <item x="212"/>
        <item x="49"/>
        <item x="32"/>
        <item x="65"/>
        <item x="247"/>
        <item x="391"/>
        <item x="1182"/>
        <item x="1246"/>
        <item x="355"/>
        <item x="198"/>
        <item x="803"/>
        <item x="582"/>
        <item x="1192"/>
        <item x="302"/>
        <item x="612"/>
        <item x="1203"/>
        <item x="1295"/>
        <item x="679"/>
        <item x="255"/>
        <item x="1206"/>
        <item x="1404"/>
        <item x="384"/>
        <item x="670"/>
        <item x="1418"/>
        <item x="766"/>
        <item x="820"/>
        <item x="427"/>
        <item x="1408"/>
        <item x="1410"/>
        <item x="188"/>
        <item x="183"/>
        <item x="184"/>
        <item x="1103"/>
        <item x="1211"/>
        <item x="383"/>
        <item x="757"/>
        <item x="199"/>
        <item x="112"/>
        <item x="210"/>
        <item x="385"/>
        <item x="1205"/>
        <item x="631"/>
        <item x="1356"/>
        <item x="1235"/>
        <item x="23"/>
        <item x="394"/>
        <item x="515"/>
        <item x="508"/>
        <item x="419"/>
        <item x="664"/>
        <item x="676"/>
        <item x="1348"/>
        <item x="1299"/>
        <item x="1300"/>
        <item x="695"/>
        <item x="794"/>
        <item x="811"/>
        <item x="550"/>
        <item x="219"/>
        <item x="74"/>
        <item x="275"/>
        <item x="107"/>
        <item x="535"/>
        <item x="389"/>
        <item x="743"/>
        <item x="379"/>
        <item x="1196"/>
        <item x="1200"/>
        <item x="1416"/>
        <item x="39"/>
        <item x="1382"/>
        <item x="189"/>
        <item x="687"/>
        <item x="680"/>
        <item x="1308"/>
        <item x="403"/>
        <item x="548"/>
        <item x="517"/>
        <item x="40"/>
        <item x="691"/>
        <item x="647"/>
        <item x="70"/>
        <item x="337"/>
        <item x="1112"/>
        <item x="600"/>
        <item x="1306"/>
        <item x="1305"/>
        <item x="1422"/>
        <item x="747"/>
        <item x="1209"/>
        <item x="567"/>
        <item x="1424"/>
        <item x="1310"/>
        <item x="1316"/>
        <item x="1366"/>
        <item x="729"/>
        <item x="1232"/>
        <item x="697"/>
        <item x="177"/>
        <item x="1312"/>
        <item x="580"/>
        <item x="335"/>
        <item x="653"/>
        <item x="388"/>
        <item x="1328"/>
        <item x="1321"/>
        <item x="1322"/>
        <item x="1193"/>
        <item x="1364"/>
        <item x="330"/>
        <item x="1365"/>
        <item x="229"/>
        <item x="1115"/>
        <item x="1349"/>
        <item x="625"/>
        <item x="1339"/>
        <item x="1338"/>
        <item x="1340"/>
        <item x="1329"/>
        <item x="1378"/>
        <item x="735"/>
        <item x="334"/>
        <item x="819"/>
        <item x="238"/>
        <item x="1244"/>
        <item x="66"/>
        <item x="326"/>
        <item x="361"/>
        <item x="304"/>
        <item x="1229"/>
        <item x="652"/>
        <item x="38"/>
        <item x="802"/>
        <item x="152"/>
        <item x="1425"/>
        <item x="1394"/>
        <item x="771"/>
        <item x="86"/>
        <item x="440"/>
        <item x="94"/>
        <item x="1253"/>
        <item x="321"/>
        <item x="151"/>
        <item x="1245"/>
        <item x="246"/>
        <item x="1355"/>
        <item x="119"/>
        <item x="1413"/>
        <item x="11"/>
        <item x="1251"/>
        <item x="121"/>
        <item x="822"/>
        <item x="562"/>
        <item x="1109"/>
        <item x="1180"/>
        <item x="14"/>
        <item x="778"/>
        <item x="746"/>
        <item x="825"/>
        <item x="1379"/>
        <item x="1116"/>
        <item x="1445"/>
        <item x="205"/>
        <item x="1434"/>
        <item x="708"/>
        <item x="1380"/>
        <item x="1195"/>
        <item x="674"/>
        <item x="410"/>
        <item x="1123"/>
        <item x="629"/>
        <item x="717"/>
        <item x="507"/>
        <item x="428"/>
        <item x="1298"/>
        <item x="139"/>
        <item x="648"/>
        <item x="362"/>
        <item x="698"/>
        <item x="556"/>
        <item x="289"/>
        <item x="1179"/>
        <item x="1117"/>
        <item x="752"/>
        <item x="60"/>
        <item x="109"/>
        <item x="1259"/>
        <item x="1391"/>
        <item x="919"/>
        <item x="604"/>
        <item x="1121"/>
        <item x="62"/>
        <item x="525"/>
        <item x="414"/>
        <item x="25"/>
        <item x="1141"/>
        <item x="258"/>
        <item x="728"/>
        <item x="762"/>
        <item x="693"/>
        <item x="1158"/>
        <item x="593"/>
        <item x="318"/>
        <item x="280"/>
        <item x="1170"/>
        <item x="758"/>
        <item x="375"/>
        <item x="466"/>
        <item x="453"/>
        <item x="448"/>
        <item x="539"/>
        <item x="150"/>
        <item x="370"/>
        <item x="390"/>
        <item x="813"/>
        <item x="1224"/>
        <item x="314"/>
        <item x="196"/>
        <item x="1359"/>
        <item x="783"/>
        <item x="737"/>
        <item x="519"/>
        <item x="650"/>
        <item x="522"/>
        <item x="1386"/>
        <item x="1668"/>
        <item x="1591"/>
        <item x="1074"/>
        <item x="1636"/>
        <item x="989"/>
        <item x="1724"/>
        <item x="1739"/>
        <item x="1077"/>
        <item x="1746"/>
        <item x="844"/>
        <item x="1790"/>
        <item x="1270"/>
        <item x="1278"/>
        <item x="1269"/>
        <item x="1280"/>
        <item x="833"/>
        <item x="865"/>
        <item x="1392"/>
        <item x="555"/>
        <item x="462"/>
        <item x="1651"/>
        <item x="581"/>
        <item x="359"/>
        <item x="1454"/>
        <item x="130"/>
        <item x="1476"/>
        <item x="1383"/>
        <item x="87"/>
        <item x="991"/>
        <item x="1406"/>
        <item x="569"/>
        <item x="918"/>
        <item x="7"/>
        <item x="24"/>
        <item x="551"/>
        <item x="1748"/>
        <item x="877"/>
        <item x="897"/>
        <item x="795"/>
        <item x="1304"/>
        <item x="832"/>
        <item x="1086"/>
        <item x="315"/>
        <item x="1343"/>
        <item x="1052"/>
        <item x="1214"/>
        <item x="1081"/>
        <item x="479"/>
        <item x="1097"/>
        <item x="12"/>
        <item x="499"/>
        <item x="349"/>
        <item x="84"/>
        <item x="1783"/>
        <item x="541"/>
        <item x="1403"/>
        <item x="1644"/>
        <item x="1049"/>
        <item x="37"/>
        <item x="20"/>
        <item x="878"/>
        <item x="407"/>
        <item x="921"/>
        <item x="915"/>
        <item x="492"/>
        <item x="493"/>
        <item x="215"/>
        <item x="1634"/>
        <item x="654"/>
        <item x="537"/>
        <item x="236"/>
        <item x="2"/>
        <item x="69"/>
        <item x="430"/>
        <item x="615"/>
        <item x="1453"/>
        <item x="127"/>
        <item x="1412"/>
        <item x="75"/>
        <item x="73"/>
        <item x="43"/>
        <item x="104"/>
        <item x="240"/>
        <item x="441"/>
        <item x="905"/>
        <item x="1467"/>
        <item x="1247"/>
        <item x="1645"/>
        <item x="727"/>
        <item x="253"/>
        <item x="1207"/>
        <item x="300"/>
        <item x="527"/>
        <item x="724"/>
        <item x="750"/>
        <item x="1137"/>
        <item x="1647"/>
        <item x="158"/>
        <item x="1652"/>
        <item x="474"/>
        <item x="144"/>
        <item x="146"/>
        <item x="1653"/>
        <item x="1142"/>
        <item x="436"/>
        <item x="41"/>
        <item x="18"/>
        <item x="92"/>
        <item x="1233"/>
        <item x="232"/>
        <item x="1457"/>
        <item x="230"/>
        <item x="387"/>
        <item x="1153"/>
        <item x="490"/>
        <item x="480"/>
        <item x="1151"/>
        <item x="1139"/>
        <item x="29"/>
        <item x="237"/>
        <item x="1"/>
        <item x="55"/>
        <item x="98"/>
        <item x="445"/>
        <item x="262"/>
        <item x="1147"/>
        <item x="1633"/>
        <item x="1461"/>
        <item x="971"/>
        <item x="1011"/>
        <item x="611"/>
        <item x="999"/>
        <item x="954"/>
        <item x="987"/>
        <item x="643"/>
        <item x="986"/>
        <item x="214"/>
        <item x="982"/>
        <item x="1663"/>
        <item x="1665"/>
        <item x="960"/>
        <item x="958"/>
        <item x="715"/>
        <item x="431"/>
        <item x="270"/>
        <item x="1769"/>
        <item x="1017"/>
        <item x="1284"/>
        <item x="1464"/>
        <item x="1478"/>
        <item x="1481"/>
        <item x="1477"/>
        <item x="1482"/>
        <item x="1479"/>
        <item x="187"/>
        <item x="1677"/>
        <item x="696"/>
        <item x="1156"/>
        <item x="1678"/>
        <item x="1157"/>
        <item x="751"/>
        <item x="58"/>
        <item x="681"/>
        <item x="313"/>
        <item x="475"/>
        <item x="859"/>
        <item x="740"/>
        <item x="1125"/>
        <item x="1492"/>
        <item x="1491"/>
        <item x="1577"/>
        <item x="132"/>
        <item x="1598"/>
        <item x="287"/>
        <item x="1400"/>
        <item x="495"/>
        <item x="598"/>
        <item x="110"/>
        <item x="163"/>
        <item x="776"/>
        <item x="171"/>
        <item x="1690"/>
        <item x="1499"/>
        <item x="1008"/>
        <item x="1674"/>
        <item x="800"/>
        <item x="76"/>
        <item x="1240"/>
        <item x="1448"/>
        <item x="725"/>
        <item x="812"/>
        <item x="1402"/>
        <item x="1508"/>
        <item x="1503"/>
        <item x="1505"/>
        <item x="1106"/>
        <item x="1696"/>
        <item x="278"/>
        <item x="754"/>
        <item x="1506"/>
        <item x="809"/>
        <item x="363"/>
        <item x="378"/>
        <item x="1225"/>
        <item x="749"/>
        <item x="1119"/>
        <item x="138"/>
        <item x="1168"/>
        <item x="1174"/>
        <item x="1167"/>
        <item x="667"/>
        <item x="1009"/>
        <item x="1705"/>
        <item x="1707"/>
        <item x="661"/>
        <item x="981"/>
        <item x="1019"/>
        <item x="665"/>
        <item x="634"/>
        <item x="994"/>
        <item x="997"/>
        <item x="622"/>
        <item x="1516"/>
        <item x="1073"/>
        <item x="1092"/>
        <item x="1523"/>
        <item x="202"/>
        <item x="618"/>
        <item x="424"/>
        <item x="1716"/>
        <item x="170"/>
        <item x="1016"/>
        <item x="1010"/>
        <item x="1007"/>
        <item x="963"/>
        <item x="1001"/>
        <item x="1720"/>
        <item x="1411"/>
        <item x="599"/>
        <item x="853"/>
        <item x="1528"/>
        <item x="1292"/>
        <item x="1784"/>
        <item x="1619"/>
        <item x="1722"/>
        <item x="1094"/>
        <item x="1057"/>
        <item x="1075"/>
        <item x="823"/>
        <item x="1787"/>
        <item x="213"/>
        <item x="1368"/>
        <item x="1183"/>
        <item x="1055"/>
        <item x="356"/>
        <item x="1432"/>
        <item x="1498"/>
        <item x="90"/>
        <item x="111"/>
        <item x="1194"/>
        <item x="1071"/>
        <item x="1415"/>
        <item x="566"/>
        <item x="1738"/>
        <item x="1082"/>
        <item x="1061"/>
        <item x="1535"/>
        <item x="920"/>
        <item x="895"/>
        <item x="239"/>
        <item x="1780"/>
        <item x="1745"/>
        <item x="397"/>
        <item x="785"/>
        <item x="1104"/>
        <item x="174"/>
        <item x="1407"/>
        <item x="924"/>
        <item x="353"/>
        <item x="1164"/>
        <item x="1357"/>
        <item x="1428"/>
        <item x="71"/>
        <item x="396"/>
        <item x="1160"/>
        <item x="858"/>
        <item x="570"/>
        <item x="917"/>
        <item x="745"/>
        <item x="925"/>
        <item x="704"/>
        <item x="690"/>
        <item x="557"/>
        <item x="154"/>
        <item x="1078"/>
        <item x="422"/>
        <item x="1341"/>
        <item x="645"/>
        <item x="945"/>
        <item x="1765"/>
        <item x="1646"/>
        <item x="1201"/>
        <item x="568"/>
        <item x="1197"/>
        <item x="1202"/>
        <item x="946"/>
        <item x="1559"/>
        <item x="1353"/>
        <item x="1421"/>
        <item x="720"/>
        <item x="1758"/>
        <item x="913"/>
        <item x="610"/>
        <item x="303"/>
        <item x="526"/>
        <item x="1444"/>
        <item x="1162"/>
        <item x="559"/>
        <item x="305"/>
        <item x="871"/>
        <item x="552"/>
        <item x="549"/>
        <item x="1762"/>
        <item x="0"/>
        <item x="1221"/>
        <item x="1068"/>
        <item x="1556"/>
        <item x="1084"/>
        <item x="346"/>
        <item x="1043"/>
        <item x="311"/>
        <item x="331"/>
        <item x="1774"/>
        <item x="862"/>
        <item x="160"/>
        <item x="1567"/>
        <item x="1565"/>
        <item x="1317"/>
        <item x="1773"/>
        <item x="824"/>
        <item x="1712"/>
        <item x="733"/>
        <item x="1323"/>
        <item x="1324"/>
        <item x="1370"/>
        <item x="1372"/>
        <item x="1782"/>
        <item x="1373"/>
        <item x="332"/>
        <item x="1034"/>
        <item x="1581"/>
        <item x="533"/>
        <item x="993"/>
        <item x="1572"/>
        <item x="1775"/>
        <item x="1776"/>
        <item x="319"/>
        <item x="1345"/>
        <item x="1346"/>
        <item x="1347"/>
        <item x="1693"/>
        <item x="836"/>
        <item x="546"/>
        <item x="1051"/>
        <item x="1047"/>
        <item x="245"/>
        <item x="243"/>
        <item x="755"/>
        <item x="1431"/>
        <item x="1288"/>
        <item x="1360"/>
        <item x="943"/>
        <item x="1238"/>
        <item x="620"/>
        <item x="1545"/>
        <item x="338"/>
        <item x="322"/>
        <item x="975"/>
        <item x="1128"/>
        <item x="59"/>
        <item x="1437"/>
        <item x="1592"/>
        <item x="1594"/>
        <item x="1440"/>
        <item x="731"/>
        <item x="341"/>
        <item x="922"/>
        <item x="1110"/>
        <item x="159"/>
        <item x="1436"/>
        <item x="365"/>
        <item x="122"/>
        <item x="1318"/>
        <item x="437"/>
        <item x="950"/>
        <item x="1532"/>
        <item x="336"/>
        <item x="1213"/>
        <item x="880"/>
        <item x="977"/>
        <item x="1616"/>
        <item x="716"/>
        <item x="896"/>
        <item x="1325"/>
        <item x="1220"/>
        <item x="1520"/>
        <item x="470"/>
        <item x="1709"/>
        <item x="3"/>
        <item x="928"/>
        <item x="442"/>
        <item x="888"/>
        <item x="357"/>
        <item x="1791"/>
        <item t="default"/>
      </items>
    </pivotField>
    <pivotField axis="axisRow" showAll="0">
      <items count="34">
        <item x="6"/>
        <item x="1"/>
        <item x="0"/>
        <item x="2"/>
        <item x="3"/>
        <item x="5"/>
        <item x="4"/>
        <item x="7"/>
        <item x="8"/>
        <item x="12"/>
        <item x="13"/>
        <item x="9"/>
        <item x="10"/>
        <item x="11"/>
        <item x="14"/>
        <item x="15"/>
        <item x="16"/>
        <item x="27"/>
        <item x="17"/>
        <item x="28"/>
        <item x="29"/>
        <item x="18"/>
        <item x="19"/>
        <item x="20"/>
        <item x="21"/>
        <item x="30"/>
        <item x="31"/>
        <item x="22"/>
        <item x="23"/>
        <item x="24"/>
        <item x="25"/>
        <item x="26"/>
        <item x="32"/>
        <item t="default"/>
      </items>
    </pivotField>
    <pivotField axis="axisPage" multipleItemSelectionAllowed="1" showAll="0">
      <items count="4">
        <item x="0"/>
        <item x="1"/>
        <item h="1" x="2"/>
        <item t="default"/>
      </items>
    </pivotField>
    <pivotField showAll="0"/>
  </pivotFields>
  <rowFields count="1">
    <field x="7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5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2">
    <pageField fld="8" hier="-1"/>
    <pageField fld="0" hier="-1"/>
  </pageFields>
  <dataFields count="1">
    <dataField name="Count of Property Nam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43F1D-5337-6141-B53E-4EE853130905}" name="PivotTable7" cacheId="19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4:W36" firstHeaderRow="1" firstDataRow="1" firstDataCol="1" rowPageCount="2" colPageCount="1"/>
  <pivotFields count="10">
    <pivotField axis="axisPage" multipleItemSelectionAllowed="1" showAll="0">
      <items count="21">
        <item x="1"/>
        <item x="10"/>
        <item x="11"/>
        <item x="13"/>
        <item x="14"/>
        <item x="15"/>
        <item x="16"/>
        <item x="17"/>
        <item x="18"/>
        <item x="0"/>
        <item x="2"/>
        <item x="3"/>
        <item x="5"/>
        <item x="4"/>
        <item x="7"/>
        <item x="8"/>
        <item x="9"/>
        <item h="1" x="6"/>
        <item x="12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4">
        <item x="6"/>
        <item x="1"/>
        <item x="0"/>
        <item x="2"/>
        <item x="3"/>
        <item x="5"/>
        <item x="4"/>
        <item x="7"/>
        <item x="8"/>
        <item x="12"/>
        <item x="13"/>
        <item x="9"/>
        <item x="10"/>
        <item x="11"/>
        <item x="14"/>
        <item x="15"/>
        <item x="16"/>
        <item x="27"/>
        <item x="17"/>
        <item x="28"/>
        <item x="29"/>
        <item x="18"/>
        <item x="19"/>
        <item x="20"/>
        <item x="21"/>
        <item x="30"/>
        <item x="31"/>
        <item x="22"/>
        <item x="23"/>
        <item x="24"/>
        <item x="25"/>
        <item x="26"/>
        <item x="32"/>
        <item t="default"/>
      </items>
    </pivotField>
    <pivotField axis="axisPage" multipleItemSelectionAllowed="1" showAll="0">
      <items count="4">
        <item x="0"/>
        <item x="1"/>
        <item h="1" x="2"/>
        <item t="default"/>
      </items>
    </pivotField>
    <pivotField dataField="1" showAll="0">
      <items count="190">
        <item x="144"/>
        <item x="158"/>
        <item x="171"/>
        <item x="161"/>
        <item x="110"/>
        <item x="101"/>
        <item x="82"/>
        <item x="125"/>
        <item x="92"/>
        <item x="100"/>
        <item x="75"/>
        <item x="127"/>
        <item x="69"/>
        <item x="126"/>
        <item x="176"/>
        <item x="123"/>
        <item x="111"/>
        <item x="129"/>
        <item x="98"/>
        <item x="87"/>
        <item x="95"/>
        <item x="34"/>
        <item x="93"/>
        <item x="55"/>
        <item x="39"/>
        <item x="81"/>
        <item x="48"/>
        <item x="10"/>
        <item x="43"/>
        <item x="23"/>
        <item x="20"/>
        <item x="27"/>
        <item x="45"/>
        <item x="12"/>
        <item x="86"/>
        <item x="5"/>
        <item x="18"/>
        <item x="11"/>
        <item x="9"/>
        <item x="78"/>
        <item x="49"/>
        <item x="26"/>
        <item x="13"/>
        <item x="50"/>
        <item x="67"/>
        <item x="17"/>
        <item x="47"/>
        <item x="21"/>
        <item x="16"/>
        <item x="79"/>
        <item x="19"/>
        <item x="40"/>
        <item x="32"/>
        <item x="37"/>
        <item x="30"/>
        <item x="31"/>
        <item x="77"/>
        <item x="29"/>
        <item x="24"/>
        <item x="80"/>
        <item x="44"/>
        <item x="0"/>
        <item x="62"/>
        <item x="14"/>
        <item x="38"/>
        <item x="119"/>
        <item x="22"/>
        <item x="60"/>
        <item x="42"/>
        <item x="68"/>
        <item x="99"/>
        <item x="6"/>
        <item x="3"/>
        <item x="66"/>
        <item x="71"/>
        <item x="41"/>
        <item x="94"/>
        <item x="51"/>
        <item x="1"/>
        <item x="83"/>
        <item x="46"/>
        <item x="104"/>
        <item x="74"/>
        <item x="4"/>
        <item x="96"/>
        <item x="109"/>
        <item x="63"/>
        <item x="35"/>
        <item x="65"/>
        <item x="7"/>
        <item x="25"/>
        <item x="117"/>
        <item x="59"/>
        <item x="135"/>
        <item x="52"/>
        <item x="103"/>
        <item x="76"/>
        <item x="88"/>
        <item x="54"/>
        <item x="36"/>
        <item x="56"/>
        <item x="113"/>
        <item x="108"/>
        <item x="2"/>
        <item x="33"/>
        <item x="163"/>
        <item x="53"/>
        <item x="58"/>
        <item x="162"/>
        <item x="85"/>
        <item x="118"/>
        <item x="140"/>
        <item x="120"/>
        <item x="141"/>
        <item x="8"/>
        <item x="169"/>
        <item x="147"/>
        <item x="57"/>
        <item x="61"/>
        <item x="134"/>
        <item x="84"/>
        <item x="64"/>
        <item x="137"/>
        <item x="150"/>
        <item x="116"/>
        <item x="139"/>
        <item x="115"/>
        <item x="187"/>
        <item x="132"/>
        <item x="91"/>
        <item x="97"/>
        <item x="186"/>
        <item x="159"/>
        <item x="136"/>
        <item x="70"/>
        <item x="178"/>
        <item x="72"/>
        <item x="89"/>
        <item x="175"/>
        <item x="105"/>
        <item x="151"/>
        <item x="28"/>
        <item x="133"/>
        <item x="174"/>
        <item x="160"/>
        <item x="182"/>
        <item x="183"/>
        <item x="177"/>
        <item x="124"/>
        <item x="153"/>
        <item x="179"/>
        <item x="131"/>
        <item x="149"/>
        <item x="102"/>
        <item x="122"/>
        <item x="152"/>
        <item x="128"/>
        <item x="155"/>
        <item x="114"/>
        <item x="164"/>
        <item x="172"/>
        <item x="145"/>
        <item x="90"/>
        <item x="156"/>
        <item x="143"/>
        <item x="146"/>
        <item x="157"/>
        <item x="154"/>
        <item x="184"/>
        <item x="121"/>
        <item x="173"/>
        <item x="15"/>
        <item x="180"/>
        <item x="73"/>
        <item x="112"/>
        <item x="181"/>
        <item x="107"/>
        <item x="106"/>
        <item x="138"/>
        <item x="165"/>
        <item x="166"/>
        <item x="185"/>
        <item x="168"/>
        <item x="130"/>
        <item x="170"/>
        <item x="167"/>
        <item x="148"/>
        <item x="142"/>
        <item x="188"/>
        <item t="default"/>
      </items>
    </pivotField>
  </pivotFields>
  <rowFields count="1">
    <field x="7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ageFields count="2">
    <pageField fld="0" hier="-1"/>
    <pageField fld="8" hier="-1"/>
  </pageFields>
  <dataFields count="1">
    <dataField name="Sum of Room 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D8CEE-861C-CC42-B884-66FAE46F2C06}" name="PivotTable2" cacheId="19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O25" firstHeaderRow="1" firstDataRow="2" firstDataCol="1" rowPageCount="1" colPageCount="1"/>
  <pivotFields count="9">
    <pivotField axis="axisRow" showAll="0">
      <items count="23">
        <item x="1"/>
        <item m="1" x="21"/>
        <item x="11"/>
        <item x="0"/>
        <item x="2"/>
        <item x="3"/>
        <item x="5"/>
        <item x="4"/>
        <item x="7"/>
        <item x="8"/>
        <item x="9"/>
        <item x="19"/>
        <item x="12"/>
        <item x="6"/>
        <item x="13"/>
        <item x="14"/>
        <item x="15"/>
        <item x="16"/>
        <item m="1" x="20"/>
        <item x="17"/>
        <item x="18"/>
        <item x="10"/>
        <item t="default"/>
      </items>
    </pivotField>
    <pivotField showAll="0"/>
    <pivotField showAll="0"/>
    <pivotField showAll="0"/>
    <pivotField showAll="0"/>
    <pivotField axis="axisCol" showAll="0">
      <items count="14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axis="axisPage" multipleItemSelectionAllowed="1" showAll="0">
      <items count="34">
        <item h="1" x="6"/>
        <item x="1"/>
        <item x="0"/>
        <item x="2"/>
        <item x="3"/>
        <item x="5"/>
        <item x="4"/>
        <item x="7"/>
        <item x="8"/>
        <item x="12"/>
        <item x="13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2"/>
        <item x="27"/>
        <item x="28"/>
        <item x="29"/>
        <item x="30"/>
        <item x="31"/>
        <item t="default"/>
      </items>
    </pivotField>
    <pivotField showAll="0"/>
  </pivotFields>
  <rowFields count="1">
    <field x="0"/>
  </rowFields>
  <rowItems count="2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 t="grand">
      <x/>
    </i>
  </rowItems>
  <colFields count="1">
    <field x="5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7" hier="-1"/>
  </pageFields>
  <dataFields count="1">
    <dataField name="Count of Property Nam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B9A1B-A83D-F74F-82DE-5CB88084471C}" name="PivotTable3" cacheId="19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5:S37" firstHeaderRow="1" firstDataRow="1" firstDataCol="1" rowPageCount="2" colPageCount="1"/>
  <pivotFields count="9">
    <pivotField axis="axisPage" multipleItemSelectionAllowed="1" showAll="0">
      <items count="23">
        <item x="1"/>
        <item m="1" x="21"/>
        <item x="11"/>
        <item x="0"/>
        <item x="2"/>
        <item x="3"/>
        <item x="5"/>
        <item x="4"/>
        <item x="7"/>
        <item x="8"/>
        <item x="9"/>
        <item h="1" x="6"/>
        <item x="12"/>
        <item h="1" x="19"/>
        <item x="13"/>
        <item x="14"/>
        <item x="15"/>
        <item x="16"/>
        <item m="1" x="20"/>
        <item x="17"/>
        <item x="18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34">
        <item x="6"/>
        <item x="1"/>
        <item x="0"/>
        <item x="2"/>
        <item x="3"/>
        <item x="5"/>
        <item x="4"/>
        <item x="7"/>
        <item x="8"/>
        <item x="12"/>
        <item x="13"/>
        <item x="9"/>
        <item x="10"/>
        <item x="11"/>
        <item x="14"/>
        <item x="15"/>
        <item x="16"/>
        <item x="27"/>
        <item x="17"/>
        <item x="28"/>
        <item x="29"/>
        <item x="18"/>
        <item x="19"/>
        <item x="20"/>
        <item x="21"/>
        <item x="30"/>
        <item x="31"/>
        <item x="22"/>
        <item x="23"/>
        <item x="24"/>
        <item x="25"/>
        <item x="26"/>
        <item x="32"/>
        <item t="default"/>
      </items>
    </pivotField>
    <pivotField axis="axisPage" multipleItemSelectionAllowed="1" showAll="0">
      <items count="4">
        <item x="0"/>
        <item x="1"/>
        <item h="1" x="2"/>
        <item t="default"/>
      </items>
    </pivotField>
  </pivotFields>
  <rowFields count="1">
    <field x="7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ageFields count="2">
    <pageField fld="8" hier="-1"/>
    <pageField fld="0" hier="-1"/>
  </pageFields>
  <dataFields count="1">
    <dataField name="Count of Property Nam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F000A-751A-6140-8E0B-9EDC02BF75CE}" name="Table1" displayName="Table1" ref="A3:I4" totalsRowShown="0">
  <autoFilter ref="A3:I4" xr:uid="{D38F000A-751A-6140-8E0B-9EDC02BF75CE}"/>
  <tableColumns count="9">
    <tableColumn id="1" xr3:uid="{4D586963-244A-2241-8A65-85FEE18CDF15}" name="Iteration"/>
    <tableColumn id="2" xr3:uid="{9874381F-B057-F14A-B33F-1C52F145029F}" name="PropertyCode"/>
    <tableColumn id="3" xr3:uid="{FEB98A8A-4C52-2A4B-BEA0-F78E908195E6}" name="TenantId"/>
    <tableColumn id="4" xr3:uid="{2342088B-EE67-524B-ADFC-045D79D94743}" name="TenantCode"/>
    <tableColumn id="5" xr3:uid="{D2AAA2EF-1850-5F4F-B13D-92C02F936D6B}" name="PropertyId"/>
    <tableColumn id="6" xr3:uid="{BB1F1CF6-E89F-BC43-90F4-5C4E3A9E60D1}" name="Region"/>
    <tableColumn id="7" xr3:uid="{DD417D9B-4914-0E4E-8151-9EFEA0D6B949}" name="Property Name"/>
    <tableColumn id="8" xr3:uid="{48D2BA9D-3ADF-AE40-B82F-07A0822AD65B}" name="GoLiveDate" dataDxfId="5"/>
    <tableColumn id="9" xr3:uid="{CCEA0291-4382-ED40-8198-167E668339F3}" name="New Ope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C79B-D20A-6E47-A7B0-2DCEDB8617B2}">
  <dimension ref="A1:I4"/>
  <sheetViews>
    <sheetView workbookViewId="0">
      <selection activeCell="A3" sqref="A3:I4"/>
    </sheetView>
  </sheetViews>
  <sheetFormatPr defaultColWidth="11" defaultRowHeight="15.95"/>
  <cols>
    <col min="1" max="1" width="11.5" bestFit="1" customWidth="1"/>
    <col min="2" max="2" width="15" bestFit="1" customWidth="1"/>
    <col min="3" max="3" width="11" bestFit="1" customWidth="1"/>
    <col min="4" max="4" width="13.5" bestFit="1" customWidth="1"/>
    <col min="5" max="5" width="12.125" bestFit="1" customWidth="1"/>
    <col min="6" max="6" width="11" bestFit="1" customWidth="1"/>
    <col min="7" max="7" width="33.875" bestFit="1" customWidth="1"/>
    <col min="8" max="8" width="13.375" bestFit="1" customWidth="1"/>
    <col min="9" max="9" width="14.5" bestFit="1" customWidth="1"/>
  </cols>
  <sheetData>
    <row r="1" spans="1:9">
      <c r="A1" s="5" t="s">
        <v>0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>
      <c r="A4" t="s">
        <v>10</v>
      </c>
      <c r="B4" t="s">
        <v>11</v>
      </c>
      <c r="C4">
        <v>100033</v>
      </c>
      <c r="D4" t="s">
        <v>11</v>
      </c>
      <c r="E4">
        <v>60</v>
      </c>
      <c r="F4" t="s">
        <v>12</v>
      </c>
      <c r="G4" t="s">
        <v>13</v>
      </c>
      <c r="H4" s="18">
        <v>45944</v>
      </c>
      <c r="I4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1B18-A857-FA46-90DA-002D59A6022E}">
  <dimension ref="A1:AM37"/>
  <sheetViews>
    <sheetView workbookViewId="0">
      <selection activeCell="Y18" sqref="Y18"/>
    </sheetView>
  </sheetViews>
  <sheetFormatPr defaultColWidth="11" defaultRowHeight="15.95"/>
  <cols>
    <col min="1" max="1" width="21" bestFit="1" customWidth="1"/>
    <col min="2" max="2" width="16.5" bestFit="1" customWidth="1"/>
    <col min="3" max="3" width="11.5" bestFit="1" customWidth="1"/>
    <col min="4" max="4" width="7" bestFit="1" customWidth="1"/>
    <col min="5" max="6" width="10" bestFit="1" customWidth="1"/>
    <col min="7" max="8" width="11.5" bestFit="1" customWidth="1"/>
    <col min="9" max="9" width="10" bestFit="1" customWidth="1"/>
    <col min="10" max="10" width="11.5" bestFit="1" customWidth="1"/>
    <col min="11" max="12" width="10" bestFit="1" customWidth="1"/>
    <col min="13" max="13" width="11.5" bestFit="1" customWidth="1"/>
    <col min="14" max="14" width="10" bestFit="1" customWidth="1"/>
    <col min="15" max="15" width="10.5" bestFit="1" customWidth="1"/>
    <col min="16" max="16" width="8.5" bestFit="1" customWidth="1"/>
    <col min="17" max="17" width="10.5" bestFit="1" customWidth="1"/>
    <col min="18" max="18" width="13" bestFit="1" customWidth="1"/>
    <col min="19" max="19" width="21" bestFit="1" customWidth="1"/>
    <col min="20" max="21" width="8.5" bestFit="1" customWidth="1"/>
    <col min="22" max="22" width="13" bestFit="1" customWidth="1"/>
    <col min="23" max="23" width="17.5" bestFit="1" customWidth="1"/>
    <col min="24" max="24" width="8.5" bestFit="1" customWidth="1"/>
    <col min="25" max="25" width="21" bestFit="1" customWidth="1"/>
    <col min="26" max="26" width="16.5" bestFit="1" customWidth="1"/>
    <col min="27" max="32" width="10" bestFit="1" customWidth="1"/>
    <col min="33" max="37" width="11.5" bestFit="1" customWidth="1"/>
    <col min="38" max="38" width="7" bestFit="1" customWidth="1"/>
    <col min="39" max="39" width="10.5" bestFit="1" customWidth="1"/>
  </cols>
  <sheetData>
    <row r="1" spans="1:39">
      <c r="A1" s="17"/>
      <c r="V1" s="16" t="s">
        <v>1</v>
      </c>
      <c r="W1" t="s">
        <v>15</v>
      </c>
      <c r="Y1" s="16" t="s">
        <v>9</v>
      </c>
      <c r="Z1" t="s">
        <v>15</v>
      </c>
    </row>
    <row r="2" spans="1:39">
      <c r="A2" s="16" t="s">
        <v>8</v>
      </c>
      <c r="B2" t="s">
        <v>15</v>
      </c>
      <c r="R2" s="16" t="s">
        <v>9</v>
      </c>
      <c r="S2" t="s">
        <v>15</v>
      </c>
      <c r="V2" s="16" t="s">
        <v>9</v>
      </c>
      <c r="W2" t="s">
        <v>15</v>
      </c>
      <c r="Y2" s="16" t="s">
        <v>1</v>
      </c>
      <c r="Z2" t="s">
        <v>15</v>
      </c>
    </row>
    <row r="3" spans="1:39">
      <c r="R3" s="16" t="s">
        <v>1</v>
      </c>
      <c r="S3" t="s">
        <v>15</v>
      </c>
    </row>
    <row r="4" spans="1:39">
      <c r="A4" s="16" t="s">
        <v>16</v>
      </c>
      <c r="B4" s="16" t="s">
        <v>17</v>
      </c>
      <c r="V4" s="16" t="s">
        <v>18</v>
      </c>
      <c r="W4" t="s">
        <v>19</v>
      </c>
      <c r="Y4" s="16" t="s">
        <v>16</v>
      </c>
      <c r="Z4" s="16" t="s">
        <v>17</v>
      </c>
    </row>
    <row r="5" spans="1:39">
      <c r="A5" s="16" t="s">
        <v>18</v>
      </c>
      <c r="B5" t="s">
        <v>12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R5" s="16" t="s">
        <v>18</v>
      </c>
      <c r="S5" t="s">
        <v>16</v>
      </c>
      <c r="V5" s="30">
        <v>45944</v>
      </c>
      <c r="W5">
        <v>126</v>
      </c>
      <c r="Y5" s="16" t="s">
        <v>18</v>
      </c>
      <c r="Z5" t="s">
        <v>12</v>
      </c>
      <c r="AA5" t="s">
        <v>22</v>
      </c>
      <c r="AB5" t="s">
        <v>23</v>
      </c>
      <c r="AC5" t="s">
        <v>26</v>
      </c>
      <c r="AD5" t="s">
        <v>28</v>
      </c>
      <c r="AE5" t="s">
        <v>29</v>
      </c>
      <c r="AF5" t="s">
        <v>31</v>
      </c>
      <c r="AG5" t="s">
        <v>20</v>
      </c>
      <c r="AH5" t="s">
        <v>24</v>
      </c>
      <c r="AI5" t="s">
        <v>25</v>
      </c>
      <c r="AJ5" t="s">
        <v>27</v>
      </c>
      <c r="AK5" t="s">
        <v>30</v>
      </c>
      <c r="AL5" t="s">
        <v>21</v>
      </c>
      <c r="AM5" t="s">
        <v>32</v>
      </c>
    </row>
    <row r="6" spans="1:39">
      <c r="A6" s="17" t="s">
        <v>10</v>
      </c>
      <c r="B6">
        <v>1</v>
      </c>
      <c r="O6">
        <v>1</v>
      </c>
      <c r="R6" s="30">
        <v>45944</v>
      </c>
      <c r="S6">
        <v>1</v>
      </c>
      <c r="V6" s="30">
        <v>45958</v>
      </c>
      <c r="W6">
        <v>541</v>
      </c>
      <c r="Y6" s="30">
        <v>45944</v>
      </c>
      <c r="Z6">
        <v>1</v>
      </c>
      <c r="AM6">
        <v>1</v>
      </c>
    </row>
    <row r="7" spans="1:39">
      <c r="A7" s="17" t="s">
        <v>33</v>
      </c>
      <c r="E7">
        <v>3</v>
      </c>
      <c r="O7">
        <v>3</v>
      </c>
      <c r="R7" s="30">
        <v>45958</v>
      </c>
      <c r="S7">
        <v>4</v>
      </c>
      <c r="V7" s="30">
        <v>46000</v>
      </c>
      <c r="W7">
        <v>2253</v>
      </c>
      <c r="Y7" s="30">
        <v>45958</v>
      </c>
      <c r="Z7">
        <v>4</v>
      </c>
      <c r="AM7">
        <v>4</v>
      </c>
    </row>
    <row r="8" spans="1:39">
      <c r="A8" s="17" t="s">
        <v>34</v>
      </c>
      <c r="B8">
        <v>4</v>
      </c>
      <c r="O8">
        <v>4</v>
      </c>
      <c r="R8" s="30">
        <v>46000</v>
      </c>
      <c r="S8">
        <v>20</v>
      </c>
      <c r="V8" s="30">
        <v>46042</v>
      </c>
      <c r="W8">
        <v>5399</v>
      </c>
      <c r="Y8" s="30">
        <v>46000</v>
      </c>
      <c r="Z8">
        <v>12</v>
      </c>
      <c r="AG8">
        <v>8</v>
      </c>
      <c r="AM8">
        <v>20</v>
      </c>
    </row>
    <row r="9" spans="1:39">
      <c r="A9" s="17" t="s">
        <v>35</v>
      </c>
      <c r="B9">
        <v>12</v>
      </c>
      <c r="C9">
        <v>8</v>
      </c>
      <c r="O9">
        <v>20</v>
      </c>
      <c r="R9" s="30">
        <v>46042</v>
      </c>
      <c r="S9">
        <v>50</v>
      </c>
      <c r="V9" s="30">
        <v>46070</v>
      </c>
      <c r="W9">
        <v>8066</v>
      </c>
      <c r="Y9" s="30">
        <v>46042</v>
      </c>
      <c r="Z9">
        <v>31</v>
      </c>
      <c r="AG9">
        <v>19</v>
      </c>
      <c r="AM9">
        <v>50</v>
      </c>
    </row>
    <row r="10" spans="1:39">
      <c r="A10" s="17" t="s">
        <v>36</v>
      </c>
      <c r="B10">
        <v>31</v>
      </c>
      <c r="C10">
        <v>19</v>
      </c>
      <c r="O10">
        <v>50</v>
      </c>
      <c r="R10" s="30">
        <v>46070</v>
      </c>
      <c r="S10">
        <v>75</v>
      </c>
      <c r="V10" s="30">
        <v>46084</v>
      </c>
      <c r="W10">
        <v>11233</v>
      </c>
      <c r="Y10" s="30">
        <v>46070</v>
      </c>
      <c r="Z10">
        <v>68</v>
      </c>
      <c r="AG10">
        <v>7</v>
      </c>
      <c r="AM10">
        <v>75</v>
      </c>
    </row>
    <row r="11" spans="1:39">
      <c r="A11" s="17" t="s">
        <v>37</v>
      </c>
      <c r="B11">
        <v>68</v>
      </c>
      <c r="C11">
        <v>7</v>
      </c>
      <c r="O11">
        <v>75</v>
      </c>
      <c r="R11" s="30">
        <v>46084</v>
      </c>
      <c r="S11">
        <v>99</v>
      </c>
      <c r="V11" s="30">
        <v>46098</v>
      </c>
      <c r="W11">
        <v>10457</v>
      </c>
      <c r="Y11" s="30">
        <v>46084</v>
      </c>
      <c r="Z11">
        <v>83</v>
      </c>
      <c r="AG11">
        <v>16</v>
      </c>
      <c r="AM11">
        <v>99</v>
      </c>
    </row>
    <row r="12" spans="1:39">
      <c r="A12" s="17" t="s">
        <v>38</v>
      </c>
      <c r="B12">
        <v>83</v>
      </c>
      <c r="C12">
        <v>16</v>
      </c>
      <c r="O12">
        <v>99</v>
      </c>
      <c r="R12" s="30">
        <v>46098</v>
      </c>
      <c r="S12">
        <v>99</v>
      </c>
      <c r="V12" s="30">
        <v>46119</v>
      </c>
      <c r="W12">
        <v>25972</v>
      </c>
      <c r="Y12" s="30">
        <v>46098</v>
      </c>
      <c r="Z12">
        <v>85</v>
      </c>
      <c r="AG12">
        <v>14</v>
      </c>
      <c r="AM12">
        <v>99</v>
      </c>
    </row>
    <row r="13" spans="1:39">
      <c r="A13" s="17" t="s">
        <v>39</v>
      </c>
      <c r="B13">
        <v>85</v>
      </c>
      <c r="C13">
        <v>14</v>
      </c>
      <c r="O13">
        <v>99</v>
      </c>
      <c r="R13" s="30">
        <v>46119</v>
      </c>
      <c r="S13">
        <v>231</v>
      </c>
      <c r="V13" s="30">
        <v>46126</v>
      </c>
      <c r="W13">
        <v>92</v>
      </c>
      <c r="Y13" s="30">
        <v>46119</v>
      </c>
      <c r="Z13">
        <v>153</v>
      </c>
      <c r="AG13">
        <v>78</v>
      </c>
      <c r="AM13">
        <v>231</v>
      </c>
    </row>
    <row r="14" spans="1:39">
      <c r="A14" s="17" t="s">
        <v>40</v>
      </c>
      <c r="B14">
        <v>153</v>
      </c>
      <c r="C14">
        <v>78</v>
      </c>
      <c r="O14">
        <v>231</v>
      </c>
      <c r="R14" s="30">
        <v>46126</v>
      </c>
      <c r="S14">
        <v>1</v>
      </c>
      <c r="V14" s="30">
        <v>46128</v>
      </c>
      <c r="W14">
        <v>79</v>
      </c>
      <c r="Y14" s="30">
        <v>46126</v>
      </c>
      <c r="Z14">
        <v>1</v>
      </c>
      <c r="AM14">
        <v>1</v>
      </c>
    </row>
    <row r="15" spans="1:39">
      <c r="A15" s="17" t="s">
        <v>41</v>
      </c>
      <c r="B15">
        <v>15</v>
      </c>
      <c r="C15">
        <v>233</v>
      </c>
      <c r="O15">
        <v>248</v>
      </c>
      <c r="R15" s="30">
        <v>46128</v>
      </c>
      <c r="S15">
        <v>1</v>
      </c>
      <c r="V15" s="30">
        <v>46133</v>
      </c>
      <c r="W15">
        <v>27790</v>
      </c>
      <c r="Y15" s="30">
        <v>46128</v>
      </c>
      <c r="AG15">
        <v>1</v>
      </c>
      <c r="AM15">
        <v>1</v>
      </c>
    </row>
    <row r="16" spans="1:39">
      <c r="A16" s="17" t="s">
        <v>9</v>
      </c>
      <c r="B16">
        <v>9</v>
      </c>
      <c r="C16">
        <v>5</v>
      </c>
      <c r="D16">
        <v>2</v>
      </c>
      <c r="O16">
        <v>16</v>
      </c>
      <c r="R16" s="30">
        <v>46133</v>
      </c>
      <c r="S16">
        <v>248</v>
      </c>
      <c r="V16" s="30">
        <v>46147</v>
      </c>
      <c r="W16">
        <v>27097</v>
      </c>
      <c r="Y16" s="30">
        <v>46133</v>
      </c>
      <c r="Z16">
        <v>15</v>
      </c>
      <c r="AG16">
        <v>233</v>
      </c>
      <c r="AM16">
        <v>248</v>
      </c>
    </row>
    <row r="17" spans="1:39">
      <c r="A17" s="17" t="s">
        <v>42</v>
      </c>
      <c r="E17">
        <v>1</v>
      </c>
      <c r="O17">
        <v>1</v>
      </c>
      <c r="R17" s="30">
        <v>46147</v>
      </c>
      <c r="S17">
        <v>245</v>
      </c>
      <c r="V17" s="30">
        <v>46154</v>
      </c>
      <c r="W17">
        <v>477</v>
      </c>
      <c r="Y17" s="30">
        <v>46147</v>
      </c>
      <c r="AA17">
        <v>180</v>
      </c>
      <c r="AG17">
        <v>65</v>
      </c>
      <c r="AM17">
        <v>245</v>
      </c>
    </row>
    <row r="18" spans="1:39">
      <c r="A18" s="17" t="s">
        <v>43</v>
      </c>
      <c r="F18">
        <v>93</v>
      </c>
      <c r="G18">
        <v>161</v>
      </c>
      <c r="O18">
        <v>254</v>
      </c>
      <c r="R18" s="30">
        <v>46154</v>
      </c>
      <c r="S18">
        <v>4</v>
      </c>
      <c r="V18" s="30">
        <v>46156</v>
      </c>
      <c r="W18" t="e">
        <v>#N/A</v>
      </c>
      <c r="Y18" s="30">
        <v>46154</v>
      </c>
      <c r="Z18">
        <v>1</v>
      </c>
      <c r="AA18">
        <v>3</v>
      </c>
      <c r="AM18">
        <v>4</v>
      </c>
    </row>
    <row r="19" spans="1:39">
      <c r="A19" s="17" t="s">
        <v>44</v>
      </c>
      <c r="H19">
        <v>22</v>
      </c>
      <c r="I19">
        <v>147</v>
      </c>
      <c r="O19">
        <v>169</v>
      </c>
      <c r="R19" s="30">
        <v>46156</v>
      </c>
      <c r="S19">
        <v>1</v>
      </c>
      <c r="V19" s="30">
        <v>46161</v>
      </c>
      <c r="W19" t="e">
        <v>#N/A</v>
      </c>
      <c r="Y19" s="30">
        <v>46156</v>
      </c>
      <c r="AG19">
        <v>1</v>
      </c>
      <c r="AM19">
        <v>1</v>
      </c>
    </row>
    <row r="20" spans="1:39">
      <c r="A20" s="17" t="s">
        <v>45</v>
      </c>
      <c r="H20">
        <v>9</v>
      </c>
      <c r="I20">
        <v>13</v>
      </c>
      <c r="O20">
        <v>22</v>
      </c>
      <c r="R20" s="30">
        <v>46161</v>
      </c>
      <c r="S20">
        <v>255</v>
      </c>
      <c r="V20" s="30">
        <v>46170</v>
      </c>
      <c r="W20" t="e">
        <v>#N/A</v>
      </c>
      <c r="Y20" s="30">
        <v>46161</v>
      </c>
      <c r="Z20">
        <v>1</v>
      </c>
      <c r="AB20">
        <v>93</v>
      </c>
      <c r="AH20">
        <v>161</v>
      </c>
      <c r="AM20">
        <v>255</v>
      </c>
    </row>
    <row r="21" spans="1:39">
      <c r="A21" s="17" t="s">
        <v>46</v>
      </c>
      <c r="J21">
        <v>110</v>
      </c>
      <c r="K21">
        <v>61</v>
      </c>
      <c r="O21">
        <v>171</v>
      </c>
      <c r="R21" s="30">
        <v>46170</v>
      </c>
      <c r="S21">
        <v>1</v>
      </c>
      <c r="V21" s="30">
        <v>46175</v>
      </c>
      <c r="W21">
        <v>17851</v>
      </c>
      <c r="Y21" s="30">
        <v>46170</v>
      </c>
      <c r="Z21">
        <v>1</v>
      </c>
      <c r="AM21">
        <v>1</v>
      </c>
    </row>
    <row r="22" spans="1:39">
      <c r="A22" s="17" t="s">
        <v>47</v>
      </c>
      <c r="L22">
        <v>48</v>
      </c>
      <c r="M22">
        <v>123</v>
      </c>
      <c r="O22">
        <v>171</v>
      </c>
      <c r="R22" s="30">
        <v>46175</v>
      </c>
      <c r="S22">
        <v>169</v>
      </c>
      <c r="V22" s="30">
        <v>46176</v>
      </c>
      <c r="W22" t="e">
        <v>#N/A</v>
      </c>
      <c r="Y22" s="30">
        <v>46175</v>
      </c>
      <c r="AC22">
        <v>147</v>
      </c>
      <c r="AI22">
        <v>22</v>
      </c>
      <c r="AM22">
        <v>169</v>
      </c>
    </row>
    <row r="23" spans="1:39">
      <c r="A23" s="17" t="s">
        <v>48</v>
      </c>
      <c r="M23">
        <v>61</v>
      </c>
      <c r="N23">
        <v>109</v>
      </c>
      <c r="O23">
        <v>170</v>
      </c>
      <c r="R23" s="30">
        <v>46176</v>
      </c>
      <c r="S23">
        <v>1</v>
      </c>
      <c r="V23" s="30">
        <v>46182</v>
      </c>
      <c r="W23">
        <v>2814</v>
      </c>
      <c r="Y23" s="30">
        <v>46176</v>
      </c>
      <c r="Z23">
        <v>1</v>
      </c>
      <c r="AM23">
        <v>1</v>
      </c>
    </row>
    <row r="24" spans="1:39">
      <c r="A24" s="17" t="s">
        <v>49</v>
      </c>
      <c r="C24">
        <v>65</v>
      </c>
      <c r="E24">
        <v>180</v>
      </c>
      <c r="O24">
        <v>245</v>
      </c>
      <c r="R24" s="30">
        <v>46182</v>
      </c>
      <c r="S24">
        <v>22</v>
      </c>
      <c r="V24" s="30">
        <v>46189</v>
      </c>
      <c r="W24">
        <v>19701</v>
      </c>
      <c r="Y24" s="30">
        <v>46182</v>
      </c>
      <c r="AC24">
        <v>13</v>
      </c>
      <c r="AI24">
        <v>9</v>
      </c>
      <c r="AM24">
        <v>22</v>
      </c>
    </row>
    <row r="25" spans="1:39">
      <c r="A25" s="17" t="s">
        <v>32</v>
      </c>
      <c r="B25">
        <v>461</v>
      </c>
      <c r="C25">
        <v>445</v>
      </c>
      <c r="D25">
        <v>2</v>
      </c>
      <c r="E25">
        <v>184</v>
      </c>
      <c r="F25">
        <v>93</v>
      </c>
      <c r="G25">
        <v>161</v>
      </c>
      <c r="H25">
        <v>31</v>
      </c>
      <c r="I25">
        <v>160</v>
      </c>
      <c r="J25">
        <v>110</v>
      </c>
      <c r="K25">
        <v>61</v>
      </c>
      <c r="L25">
        <v>48</v>
      </c>
      <c r="M25">
        <v>184</v>
      </c>
      <c r="N25">
        <v>109</v>
      </c>
      <c r="O25">
        <v>2049</v>
      </c>
      <c r="R25" s="30">
        <v>46189</v>
      </c>
      <c r="S25">
        <v>171</v>
      </c>
      <c r="V25" s="30">
        <v>46191</v>
      </c>
      <c r="W25" t="e">
        <v>#N/A</v>
      </c>
      <c r="Y25" s="30">
        <v>46189</v>
      </c>
      <c r="AD25">
        <v>61</v>
      </c>
      <c r="AJ25">
        <v>110</v>
      </c>
      <c r="AM25">
        <v>171</v>
      </c>
    </row>
    <row r="26" spans="1:39">
      <c r="R26" s="30">
        <v>46191</v>
      </c>
      <c r="S26">
        <v>1</v>
      </c>
      <c r="V26" s="30">
        <v>46196</v>
      </c>
      <c r="W26" t="e">
        <v>#N/A</v>
      </c>
      <c r="Y26" s="30">
        <v>46191</v>
      </c>
      <c r="AG26">
        <v>1</v>
      </c>
      <c r="AM26">
        <v>1</v>
      </c>
    </row>
    <row r="27" spans="1:39">
      <c r="R27" s="30">
        <v>46196</v>
      </c>
      <c r="S27">
        <v>1</v>
      </c>
      <c r="V27" s="30">
        <v>46198</v>
      </c>
      <c r="W27" t="e">
        <v>#N/A</v>
      </c>
      <c r="Y27" s="30">
        <v>46196</v>
      </c>
      <c r="Z27">
        <v>1</v>
      </c>
      <c r="AM27">
        <v>1</v>
      </c>
    </row>
    <row r="28" spans="1:39">
      <c r="R28" s="30">
        <v>46198</v>
      </c>
      <c r="S28">
        <v>1</v>
      </c>
      <c r="V28" s="30">
        <v>46203</v>
      </c>
      <c r="W28" t="e">
        <v>#N/A</v>
      </c>
      <c r="Y28" s="30">
        <v>46198</v>
      </c>
      <c r="AG28">
        <v>1</v>
      </c>
      <c r="AM28">
        <v>1</v>
      </c>
    </row>
    <row r="29" spans="1:39">
      <c r="R29" s="30">
        <v>46203</v>
      </c>
      <c r="S29">
        <v>1</v>
      </c>
      <c r="V29" s="30">
        <v>46210</v>
      </c>
      <c r="W29" t="e">
        <v>#N/A</v>
      </c>
      <c r="Y29" s="30">
        <v>46203</v>
      </c>
      <c r="Z29">
        <v>1</v>
      </c>
      <c r="AM29">
        <v>1</v>
      </c>
    </row>
    <row r="30" spans="1:39">
      <c r="R30" s="30">
        <v>46210</v>
      </c>
      <c r="S30">
        <v>171</v>
      </c>
      <c r="V30" s="30">
        <v>46224</v>
      </c>
      <c r="W30" t="e">
        <v>#N/A</v>
      </c>
      <c r="Y30" s="30">
        <v>46210</v>
      </c>
      <c r="AE30">
        <v>48</v>
      </c>
      <c r="AK30">
        <v>123</v>
      </c>
      <c r="AM30">
        <v>171</v>
      </c>
    </row>
    <row r="31" spans="1:39">
      <c r="R31" s="30">
        <v>46224</v>
      </c>
      <c r="S31">
        <v>170</v>
      </c>
      <c r="V31" s="30">
        <v>46237</v>
      </c>
      <c r="W31" t="e">
        <v>#N/A</v>
      </c>
      <c r="Y31" s="30">
        <v>46224</v>
      </c>
      <c r="AF31">
        <v>109</v>
      </c>
      <c r="AK31">
        <v>61</v>
      </c>
      <c r="AM31">
        <v>170</v>
      </c>
    </row>
    <row r="32" spans="1:39">
      <c r="R32" s="30">
        <v>46237</v>
      </c>
      <c r="S32">
        <v>1</v>
      </c>
      <c r="V32" s="30">
        <v>46240</v>
      </c>
      <c r="W32" t="e">
        <v>#N/A</v>
      </c>
      <c r="Y32" s="30">
        <v>46237</v>
      </c>
      <c r="Z32">
        <v>1</v>
      </c>
      <c r="AM32">
        <v>1</v>
      </c>
    </row>
    <row r="33" spans="18:39">
      <c r="R33" s="30">
        <v>46240</v>
      </c>
      <c r="S33">
        <v>1</v>
      </c>
      <c r="V33" s="30">
        <v>46253</v>
      </c>
      <c r="W33" t="e">
        <v>#N/A</v>
      </c>
      <c r="Y33" s="30">
        <v>46240</v>
      </c>
      <c r="AG33">
        <v>1</v>
      </c>
      <c r="AM33">
        <v>1</v>
      </c>
    </row>
    <row r="34" spans="18:39">
      <c r="R34" s="30">
        <v>46253</v>
      </c>
      <c r="S34">
        <v>1</v>
      </c>
      <c r="V34" s="30">
        <v>46261</v>
      </c>
      <c r="W34" t="e">
        <v>#N/A</v>
      </c>
      <c r="Y34" s="30">
        <v>46253</v>
      </c>
      <c r="AL34">
        <v>1</v>
      </c>
      <c r="AM34">
        <v>1</v>
      </c>
    </row>
    <row r="35" spans="18:39">
      <c r="R35" s="30">
        <v>46261</v>
      </c>
      <c r="S35">
        <v>1</v>
      </c>
      <c r="V35" s="30">
        <v>46541</v>
      </c>
      <c r="W35" t="e">
        <v>#N/A</v>
      </c>
      <c r="Y35" s="30">
        <v>46261</v>
      </c>
      <c r="Z35">
        <v>1</v>
      </c>
      <c r="AM35">
        <v>1</v>
      </c>
    </row>
    <row r="36" spans="18:39">
      <c r="R36" s="30">
        <v>46541</v>
      </c>
      <c r="S36">
        <v>1</v>
      </c>
      <c r="V36" s="17" t="s">
        <v>32</v>
      </c>
      <c r="W36" t="e">
        <v>#N/A</v>
      </c>
      <c r="Y36" s="30">
        <v>46541</v>
      </c>
      <c r="AL36">
        <v>1</v>
      </c>
      <c r="AM36">
        <v>1</v>
      </c>
    </row>
    <row r="37" spans="18:39">
      <c r="R37" s="17" t="s">
        <v>32</v>
      </c>
      <c r="S37">
        <v>2048</v>
      </c>
      <c r="Y37" s="17" t="s">
        <v>32</v>
      </c>
      <c r="Z37">
        <v>461</v>
      </c>
      <c r="AA37">
        <v>183</v>
      </c>
      <c r="AB37">
        <v>93</v>
      </c>
      <c r="AC37">
        <v>160</v>
      </c>
      <c r="AD37">
        <v>61</v>
      </c>
      <c r="AE37">
        <v>48</v>
      </c>
      <c r="AF37">
        <v>109</v>
      </c>
      <c r="AG37">
        <v>445</v>
      </c>
      <c r="AH37">
        <v>161</v>
      </c>
      <c r="AI37">
        <v>31</v>
      </c>
      <c r="AJ37">
        <v>110</v>
      </c>
      <c r="AK37">
        <v>184</v>
      </c>
      <c r="AL37">
        <v>2</v>
      </c>
      <c r="AM37">
        <v>2048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2EC7-57F5-48FF-A555-F7341CCC9E6D}">
  <sheetPr codeName="Sheet1" filterMode="1"/>
  <dimension ref="A1:Q2056"/>
  <sheetViews>
    <sheetView tabSelected="1" workbookViewId="0">
      <selection activeCell="C962" sqref="C962"/>
    </sheetView>
  </sheetViews>
  <sheetFormatPr defaultColWidth="8.875" defaultRowHeight="15.95"/>
  <cols>
    <col min="1" max="1" width="15" bestFit="1" customWidth="1"/>
    <col min="2" max="2" width="14.5" bestFit="1" customWidth="1"/>
    <col min="3" max="3" width="10.125" bestFit="1" customWidth="1"/>
    <col min="4" max="4" width="10.125" customWidth="1"/>
    <col min="5" max="5" width="11.625" bestFit="1" customWidth="1"/>
    <col min="6" max="6" width="11.5" bestFit="1" customWidth="1"/>
    <col min="7" max="7" width="59.625" bestFit="1" customWidth="1"/>
    <col min="8" max="8" width="12.5" bestFit="1" customWidth="1"/>
    <col min="10" max="10" width="13.875" bestFit="1" customWidth="1"/>
    <col min="14" max="14" width="11.375" bestFit="1" customWidth="1"/>
    <col min="17" max="17" width="14.875" style="24" bestFit="1" customWidth="1"/>
  </cols>
  <sheetData>
    <row r="1" spans="1:17">
      <c r="A1" s="5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31" t="s">
        <v>9</v>
      </c>
      <c r="J1" s="3" t="s">
        <v>50</v>
      </c>
      <c r="K1" s="5" t="s">
        <v>51</v>
      </c>
      <c r="Q1"/>
    </row>
    <row r="2" spans="1:17" ht="15.75">
      <c r="A2" s="8" t="s">
        <v>34</v>
      </c>
      <c r="B2" s="8" t="s">
        <v>52</v>
      </c>
      <c r="C2" s="25" t="s">
        <v>53</v>
      </c>
      <c r="D2" s="8" t="s">
        <v>52</v>
      </c>
      <c r="E2" s="9">
        <v>57</v>
      </c>
      <c r="F2" s="9" t="s">
        <v>12</v>
      </c>
      <c r="G2" s="9" t="str">
        <f>VLOOKUP(B2,'Property Name List'!A$2:D$834,3,FALSE)</f>
        <v>SpringHill Suites By Marriott Pittsburgh Southside Works</v>
      </c>
      <c r="H2" s="10">
        <v>45958</v>
      </c>
      <c r="I2" t="s">
        <v>14</v>
      </c>
      <c r="J2">
        <f>VLOOKUP(E2,'Room Count'!A$2:B$2616,2,FALSE)</f>
        <v>115</v>
      </c>
      <c r="K2" s="37" t="s">
        <v>54</v>
      </c>
      <c r="L2" s="19"/>
      <c r="Q2"/>
    </row>
    <row r="3" spans="1:17" ht="17.100000000000001">
      <c r="A3" s="8" t="s">
        <v>34</v>
      </c>
      <c r="B3" s="8" t="s">
        <v>55</v>
      </c>
      <c r="C3" s="25">
        <v>100029</v>
      </c>
      <c r="D3" s="8" t="s">
        <v>55</v>
      </c>
      <c r="E3" s="9">
        <v>58</v>
      </c>
      <c r="F3" s="9" t="s">
        <v>12</v>
      </c>
      <c r="G3" s="9" t="str">
        <f>VLOOKUP(B3,'Property Name List'!A$2:D$834,3,FALSE)</f>
        <v>SpringHill Suites By Marriott Columbia Downtown/The Vista</v>
      </c>
      <c r="H3" s="10">
        <v>45958</v>
      </c>
      <c r="I3" t="s">
        <v>14</v>
      </c>
      <c r="J3">
        <f>VLOOKUP(E3,'Room Count'!A$2:B$2616,2,FALSE)</f>
        <v>132</v>
      </c>
      <c r="L3" s="23" t="s">
        <v>56</v>
      </c>
      <c r="Q3"/>
    </row>
    <row r="4" spans="1:17" ht="33.950000000000003">
      <c r="A4" s="8" t="s">
        <v>34</v>
      </c>
      <c r="B4" s="8" t="s">
        <v>57</v>
      </c>
      <c r="C4" s="25">
        <v>100031</v>
      </c>
      <c r="D4" s="8" t="s">
        <v>57</v>
      </c>
      <c r="E4" s="9">
        <v>59</v>
      </c>
      <c r="F4" s="9" t="s">
        <v>12</v>
      </c>
      <c r="G4" s="9" t="str">
        <f>VLOOKUP(B4,'Property Name List'!A$2:D$834,3,FALSE)</f>
        <v>SpringHill Suites by Marriott Baltimore Downtown Convention Center Area</v>
      </c>
      <c r="H4" s="10">
        <v>45958</v>
      </c>
      <c r="I4" t="s">
        <v>14</v>
      </c>
      <c r="J4">
        <f>VLOOKUP(E4,'Room Count'!A$2:B$2616,2,FALSE)</f>
        <v>157</v>
      </c>
      <c r="K4" t="s">
        <v>3</v>
      </c>
      <c r="L4" s="21" t="str">
        <f>_xlfn.XLOOKUP(
 K2,
 PropertyList!C:C,
 PropertyList!E:E,
 _xlfn.XLOOKUP(K2,PropertyList!C:C,PropertyList!C:C,
 _xlfn.XLOOKUP(K2,PropertyList!B:B,PropertyList!C:C,"Not Found"))
)</f>
        <v>100537</v>
      </c>
      <c r="Q4"/>
    </row>
    <row r="5" spans="1:17" ht="17.100000000000001">
      <c r="A5" s="8" t="s">
        <v>10</v>
      </c>
      <c r="B5" s="8" t="s">
        <v>11</v>
      </c>
      <c r="C5" s="25">
        <v>100033</v>
      </c>
      <c r="D5" s="8" t="s">
        <v>11</v>
      </c>
      <c r="E5" s="9">
        <v>60</v>
      </c>
      <c r="F5" s="9" t="s">
        <v>12</v>
      </c>
      <c r="G5" s="9" t="str">
        <f>VLOOKUP(B5,'Property Name List'!A$2:D$834,3,FALSE)</f>
        <v>SpringHill Suites by Marriott Winter Park</v>
      </c>
      <c r="H5" s="10">
        <v>45944</v>
      </c>
      <c r="I5" t="s">
        <v>14</v>
      </c>
      <c r="J5">
        <f>VLOOKUP(E5,'Room Count'!A$2:B$2616,2,FALSE)</f>
        <v>126</v>
      </c>
      <c r="K5" t="s">
        <v>5</v>
      </c>
      <c r="L5" s="21">
        <f>_xlfn.XLOOKUP(
 K2,
 PropertyList!C:C,
 PropertyList!E:E,
 _xlfn.XLOOKUP(K2,PropertyList!E:E,PropertyList!E:E,
 _xlfn.XLOOKUP(K2,PropertyList!B:B,PropertyList!E:E,"Not Found"))
)</f>
        <v>394</v>
      </c>
      <c r="O5" s="2"/>
      <c r="P5" s="20"/>
      <c r="Q5"/>
    </row>
    <row r="6" spans="1:17" ht="17.100000000000001">
      <c r="A6" s="8" t="s">
        <v>34</v>
      </c>
      <c r="B6" s="8" t="s">
        <v>58</v>
      </c>
      <c r="C6" s="25">
        <v>100035</v>
      </c>
      <c r="D6" s="8" t="s">
        <v>58</v>
      </c>
      <c r="E6" s="9">
        <v>61</v>
      </c>
      <c r="F6" s="9" t="s">
        <v>12</v>
      </c>
      <c r="G6" s="9" t="str">
        <f>VLOOKUP(B6,'Property Name List'!A$2:D$834,3,FALSE)</f>
        <v>Fairfield by Marriott Inn &amp; Suites Chicago O'Hare</v>
      </c>
      <c r="H6" s="10">
        <v>45958</v>
      </c>
      <c r="I6" t="s">
        <v>14</v>
      </c>
      <c r="J6">
        <f>VLOOKUP(E6,'Room Count'!A$2:B$2616,2,FALSE)</f>
        <v>137</v>
      </c>
      <c r="K6" t="s">
        <v>59</v>
      </c>
      <c r="L6" s="21" t="str">
        <f xml:space="preserve">
_xlfn.XLOOKUP(
 K2,
 PropertyList!C:C,
 PropertyList!B:B,
 _xlfn.XLOOKUP(
   K2,
   PropertyList!E:E,
   PropertyList!B:B,
   _xlfn.XLOOKUP(
     K2,
     PropertyList!B:B,
     PropertyList!B:B,
     "Not Found"
   )
 )
)</f>
        <v>DTWSF</v>
      </c>
      <c r="Q6"/>
    </row>
    <row r="7" spans="1:17" ht="17.100000000000001">
      <c r="A7" s="8" t="s">
        <v>35</v>
      </c>
      <c r="B7" s="8" t="s">
        <v>60</v>
      </c>
      <c r="C7" s="25">
        <v>100037</v>
      </c>
      <c r="D7" s="8" t="s">
        <v>60</v>
      </c>
      <c r="E7" s="8">
        <v>71</v>
      </c>
      <c r="F7" s="8" t="s">
        <v>12</v>
      </c>
      <c r="G7" s="9" t="str">
        <f>VLOOKUP(B7,'Property Name List'!A$2:D$834,3,FALSE)</f>
        <v>Courtyard By Marriott Albany Troy/Waterfront</v>
      </c>
      <c r="H7" s="10">
        <v>46000</v>
      </c>
      <c r="I7" t="s">
        <v>14</v>
      </c>
      <c r="J7">
        <f>VLOOKUP(E7,'Room Count'!A$2:B$2616,2,FALSE)</f>
        <v>132</v>
      </c>
      <c r="K7" t="s">
        <v>6</v>
      </c>
      <c r="L7" s="21" t="str">
        <f>_xlfn.XLOOKUP(
 L4,
 PropertyList!C:C,
 PropertyList!F:F
)</f>
        <v>US_EAST_1</v>
      </c>
      <c r="Q7"/>
    </row>
    <row r="8" spans="1:17" ht="17.100000000000001">
      <c r="A8" s="8" t="s">
        <v>36</v>
      </c>
      <c r="B8" s="8" t="s">
        <v>61</v>
      </c>
      <c r="C8" s="25">
        <v>100039</v>
      </c>
      <c r="D8" s="8" t="s">
        <v>61</v>
      </c>
      <c r="E8" s="8">
        <v>72</v>
      </c>
      <c r="F8" s="8" t="s">
        <v>12</v>
      </c>
      <c r="G8" s="9" t="str">
        <f>VLOOKUP(B8,'Property Name List'!A$2:D$834,3,FALSE)</f>
        <v>Courtyard By Marriott Bismarck North</v>
      </c>
      <c r="H8" s="11">
        <v>46042</v>
      </c>
      <c r="I8" t="s">
        <v>14</v>
      </c>
      <c r="J8">
        <f>VLOOKUP(E8,'Room Count'!A$2:B$2616,2,FALSE)</f>
        <v>89</v>
      </c>
      <c r="K8" t="s">
        <v>7</v>
      </c>
      <c r="L8" s="21" t="str">
        <f>_xlfn.XLOOKUP(
 L4,
 PropertyList!C:C,
 PropertyList!G:G
)</f>
        <v>Courtyard By Marriott Detroit Southfield</v>
      </c>
      <c r="Q8"/>
    </row>
    <row r="9" spans="1:17" ht="17.100000000000001">
      <c r="A9" s="8" t="s">
        <v>35</v>
      </c>
      <c r="B9" s="8" t="s">
        <v>62</v>
      </c>
      <c r="C9" s="25">
        <v>100041</v>
      </c>
      <c r="D9" s="8" t="s">
        <v>62</v>
      </c>
      <c r="E9" s="8">
        <v>75</v>
      </c>
      <c r="F9" s="8" t="s">
        <v>12</v>
      </c>
      <c r="G9" s="9" t="str">
        <f>VLOOKUP(B9,'Property Name List'!A$2:D$834,3,FALSE)</f>
        <v>Moxy Minneapolis Uptown</v>
      </c>
      <c r="H9" s="10">
        <v>46000</v>
      </c>
      <c r="I9" t="s">
        <v>14</v>
      </c>
      <c r="J9">
        <f>VLOOKUP(E9,'Room Count'!A$2:B$2616,2,FALSE)</f>
        <v>125</v>
      </c>
      <c r="K9" t="s">
        <v>63</v>
      </c>
      <c r="L9" s="22">
        <f>_xlfn.XLOOKUP(
 L4,
 PropertyList!C:C,
 PropertyList!H:H
)</f>
        <v>46133</v>
      </c>
      <c r="Q9"/>
    </row>
    <row r="10" spans="1:17" ht="17.100000000000001">
      <c r="A10" s="8" t="s">
        <v>35</v>
      </c>
      <c r="B10" s="8" t="s">
        <v>64</v>
      </c>
      <c r="C10" s="25">
        <v>100043</v>
      </c>
      <c r="D10" s="8" t="s">
        <v>64</v>
      </c>
      <c r="E10" s="8">
        <v>79</v>
      </c>
      <c r="F10" s="8" t="s">
        <v>12</v>
      </c>
      <c r="G10" s="9" t="str">
        <f>VLOOKUP(B10,'Property Name List'!A$2:D$834,3,FALSE)</f>
        <v>AC Hotel Bozeman Downtown</v>
      </c>
      <c r="H10" s="10">
        <v>46000</v>
      </c>
      <c r="I10" t="s">
        <v>14</v>
      </c>
      <c r="J10">
        <f>VLOOKUP(E10,'Room Count'!A$2:B$2616,2,FALSE)</f>
        <v>143</v>
      </c>
      <c r="K10" t="s">
        <v>65</v>
      </c>
      <c r="L10" s="21" t="str">
        <f>_xlfn.XLOOKUP(
 L4,
 PropertyList!C:C,
 PropertyList!A:A
)</f>
        <v>9 - Wave 7 (248)</v>
      </c>
      <c r="Q10"/>
    </row>
    <row r="11" spans="1:17" ht="17.100000000000001">
      <c r="A11" s="8" t="s">
        <v>36</v>
      </c>
      <c r="B11" s="12" t="s">
        <v>66</v>
      </c>
      <c r="C11" s="25">
        <v>100045</v>
      </c>
      <c r="D11" s="12" t="s">
        <v>66</v>
      </c>
      <c r="E11" s="8">
        <v>88</v>
      </c>
      <c r="F11" s="8" t="s">
        <v>12</v>
      </c>
      <c r="G11" s="9" t="str">
        <f>VLOOKUP(B11,'Property Name List'!A$2:D$834,3,FALSE)</f>
        <v>Courtyard By Marriott Toronto Airport</v>
      </c>
      <c r="H11" s="11">
        <v>46042</v>
      </c>
      <c r="I11" t="s">
        <v>14</v>
      </c>
      <c r="J11">
        <f>VLOOKUP(E11,'Room Count'!A$2:B$2616,2,FALSE)</f>
        <v>168</v>
      </c>
      <c r="Q11"/>
    </row>
    <row r="12" spans="1:17" ht="17.100000000000001">
      <c r="A12" s="8" t="s">
        <v>35</v>
      </c>
      <c r="B12" s="12" t="s">
        <v>67</v>
      </c>
      <c r="C12" s="25">
        <v>100047</v>
      </c>
      <c r="D12" s="12" t="s">
        <v>67</v>
      </c>
      <c r="E12" s="8">
        <v>89</v>
      </c>
      <c r="F12" s="8" t="s">
        <v>12</v>
      </c>
      <c r="G12" s="9" t="str">
        <f>VLOOKUP(B12,'Property Name List'!A$2:D$834,3,FALSE)</f>
        <v>Fairfield by Marriott Inn &amp; Suites North Bay</v>
      </c>
      <c r="H12" s="10">
        <v>46000</v>
      </c>
      <c r="I12" t="s">
        <v>14</v>
      </c>
      <c r="J12">
        <f>VLOOKUP(E12,'Room Count'!A$2:B$2616,2,FALSE)</f>
        <v>92</v>
      </c>
      <c r="Q12"/>
    </row>
    <row r="13" spans="1:17" ht="17.100000000000001">
      <c r="A13" s="8" t="s">
        <v>36</v>
      </c>
      <c r="B13" s="12" t="s">
        <v>68</v>
      </c>
      <c r="C13" s="25">
        <v>100049</v>
      </c>
      <c r="D13" s="12" t="s">
        <v>68</v>
      </c>
      <c r="E13" s="8">
        <v>90</v>
      </c>
      <c r="F13" s="8" t="s">
        <v>12</v>
      </c>
      <c r="G13" s="9" t="str">
        <f>VLOOKUP(B13,'Property Name List'!A$2:D$834,3,FALSE)</f>
        <v>Fairfield Inn &amp; Suites Sudbury</v>
      </c>
      <c r="H13" s="11">
        <v>46042</v>
      </c>
      <c r="I13" t="s">
        <v>14</v>
      </c>
      <c r="J13">
        <f>VLOOKUP(E13,'Room Count'!A$2:B$2616,2,FALSE)</f>
        <v>81</v>
      </c>
      <c r="Q13"/>
    </row>
    <row r="14" spans="1:17" ht="17.100000000000001">
      <c r="A14" s="8" t="s">
        <v>36</v>
      </c>
      <c r="B14" s="8" t="s">
        <v>69</v>
      </c>
      <c r="C14" s="25">
        <v>100051</v>
      </c>
      <c r="D14" s="8" t="s">
        <v>69</v>
      </c>
      <c r="E14" s="8">
        <v>92</v>
      </c>
      <c r="F14" s="8" t="s">
        <v>12</v>
      </c>
      <c r="G14" s="9" t="str">
        <f>VLOOKUP(B14,'Property Name List'!A$2:D$834,3,FALSE)</f>
        <v>SpringHill Suites By Marriott Alexandria</v>
      </c>
      <c r="H14" s="11">
        <v>46042</v>
      </c>
      <c r="I14" t="s">
        <v>14</v>
      </c>
      <c r="J14">
        <f>VLOOKUP(E14,'Room Count'!A$2:B$2616,2,FALSE)</f>
        <v>91</v>
      </c>
      <c r="K14" s="19"/>
      <c r="M14" s="19"/>
      <c r="Q14"/>
    </row>
    <row r="15" spans="1:17" ht="17.100000000000001">
      <c r="A15" s="8" t="s">
        <v>35</v>
      </c>
      <c r="B15" s="8" t="s">
        <v>70</v>
      </c>
      <c r="C15" s="25">
        <v>100053</v>
      </c>
      <c r="D15" s="8" t="s">
        <v>70</v>
      </c>
      <c r="E15" s="8">
        <v>93</v>
      </c>
      <c r="F15" s="8" t="s">
        <v>12</v>
      </c>
      <c r="G15" s="9" t="str">
        <f>VLOOKUP(B15,'Property Name List'!A$2:D$834,3,FALSE)</f>
        <v>Fairfield Inn &amp; Suites Lakeland Plant City</v>
      </c>
      <c r="H15" s="10">
        <v>46000</v>
      </c>
      <c r="I15" t="s">
        <v>14</v>
      </c>
      <c r="J15">
        <f>VLOOKUP(E15,'Room Count'!A$2:B$2616,2,FALSE)</f>
        <v>87</v>
      </c>
      <c r="K15" s="19"/>
      <c r="M15" s="19"/>
      <c r="Q15"/>
    </row>
    <row r="16" spans="1:17" ht="17.100000000000001">
      <c r="A16" s="8" t="s">
        <v>36</v>
      </c>
      <c r="B16" s="8" t="s">
        <v>71</v>
      </c>
      <c r="C16" s="25">
        <v>100055</v>
      </c>
      <c r="D16" s="8" t="s">
        <v>71</v>
      </c>
      <c r="E16" s="8">
        <v>94</v>
      </c>
      <c r="F16" s="8" t="s">
        <v>12</v>
      </c>
      <c r="G16" s="9" t="str">
        <f>VLOOKUP(B16,'Property Name List'!A$2:D$834,3,FALSE)</f>
        <v>Fairfield Inn &amp; Suites Titusville Kennedy Space Center</v>
      </c>
      <c r="H16" s="11">
        <v>46042</v>
      </c>
      <c r="I16" t="s">
        <v>14</v>
      </c>
      <c r="J16">
        <f>VLOOKUP(E16,'Room Count'!A$2:B$2616,2,FALSE)</f>
        <v>96</v>
      </c>
      <c r="K16" s="19"/>
      <c r="M16" s="19"/>
      <c r="Q16"/>
    </row>
    <row r="17" spans="1:17" ht="17.100000000000001">
      <c r="A17" s="8" t="s">
        <v>35</v>
      </c>
      <c r="B17" s="12" t="s">
        <v>72</v>
      </c>
      <c r="C17" s="25">
        <v>100057</v>
      </c>
      <c r="D17" s="12" t="s">
        <v>72</v>
      </c>
      <c r="E17" s="8">
        <v>95</v>
      </c>
      <c r="F17" s="8" t="s">
        <v>12</v>
      </c>
      <c r="G17" s="9" t="str">
        <f>VLOOKUP(B17,'Property Name List'!A$2:D$834,3,FALSE)</f>
        <v>Fairfield by Marriott Inn &amp; Suites Orillia</v>
      </c>
      <c r="H17" s="10">
        <v>46000</v>
      </c>
      <c r="I17" t="s">
        <v>14</v>
      </c>
      <c r="J17">
        <f>VLOOKUP(E17,'Room Count'!A$2:B$2616,2,FALSE)</f>
        <v>92</v>
      </c>
      <c r="K17" s="19"/>
      <c r="M17" s="19"/>
      <c r="Q17"/>
    </row>
    <row r="18" spans="1:17" ht="17.100000000000001">
      <c r="A18" s="8" t="s">
        <v>35</v>
      </c>
      <c r="B18" s="8" t="s">
        <v>73</v>
      </c>
      <c r="C18" s="25">
        <v>100059</v>
      </c>
      <c r="D18" s="8" t="s">
        <v>73</v>
      </c>
      <c r="E18" s="8">
        <v>97</v>
      </c>
      <c r="F18" s="8" t="s">
        <v>12</v>
      </c>
      <c r="G18" s="9" t="str">
        <f>VLOOKUP(B18,'Property Name List'!A$2:D$834,3,FALSE)</f>
        <v>Courtyard By Marriott Indianapolis Plainfield</v>
      </c>
      <c r="H18" s="10">
        <v>46000</v>
      </c>
      <c r="I18" t="s">
        <v>14</v>
      </c>
      <c r="J18">
        <f>VLOOKUP(E18,'Room Count'!A$2:B$2616,2,FALSE)</f>
        <v>117</v>
      </c>
      <c r="K18" s="19"/>
      <c r="M18" s="19"/>
      <c r="Q18"/>
    </row>
    <row r="19" spans="1:17" ht="17.100000000000001">
      <c r="A19" s="8" t="s">
        <v>36</v>
      </c>
      <c r="B19" s="12" t="s">
        <v>74</v>
      </c>
      <c r="C19" s="25">
        <v>100061</v>
      </c>
      <c r="D19" s="12" t="s">
        <v>74</v>
      </c>
      <c r="E19" s="8">
        <v>98</v>
      </c>
      <c r="F19" s="8" t="s">
        <v>12</v>
      </c>
      <c r="G19" s="9" t="str">
        <f>VLOOKUP(B19,'Property Name List'!A$2:D$834,3,FALSE)</f>
        <v>Courtyard By Marriott Niagara Falls</v>
      </c>
      <c r="H19" s="11">
        <v>46042</v>
      </c>
      <c r="I19" t="s">
        <v>14</v>
      </c>
      <c r="J19">
        <f>VLOOKUP(E19,'Room Count'!A$2:B$2616,2,FALSE)</f>
        <v>254</v>
      </c>
      <c r="K19" s="19"/>
      <c r="M19" s="19"/>
      <c r="Q19"/>
    </row>
    <row r="20" spans="1:17" ht="17.100000000000001">
      <c r="A20" s="8" t="s">
        <v>36</v>
      </c>
      <c r="B20" s="8" t="s">
        <v>75</v>
      </c>
      <c r="C20" s="25">
        <v>100063</v>
      </c>
      <c r="D20" s="8" t="s">
        <v>75</v>
      </c>
      <c r="E20" s="8">
        <v>99</v>
      </c>
      <c r="F20" s="8" t="s">
        <v>12</v>
      </c>
      <c r="G20" s="9" t="str">
        <f>VLOOKUP(B20,'Property Name List'!A$2:D$834,3,FALSE)</f>
        <v>SpringHill Suites By Marriott Cheraw</v>
      </c>
      <c r="H20" s="11">
        <v>46042</v>
      </c>
      <c r="I20" t="s">
        <v>14</v>
      </c>
      <c r="J20">
        <f>VLOOKUP(E20,'Room Count'!A$2:B$2616,2,FALSE)</f>
        <v>102</v>
      </c>
      <c r="K20" s="19"/>
      <c r="M20" s="19"/>
      <c r="Q20"/>
    </row>
    <row r="21" spans="1:17" ht="17.100000000000001">
      <c r="A21" s="8" t="s">
        <v>36</v>
      </c>
      <c r="B21" s="8" t="s">
        <v>76</v>
      </c>
      <c r="C21" s="25">
        <v>100065</v>
      </c>
      <c r="D21" s="8" t="s">
        <v>76</v>
      </c>
      <c r="E21" s="8">
        <v>101</v>
      </c>
      <c r="F21" s="8" t="s">
        <v>12</v>
      </c>
      <c r="G21" s="9" t="str">
        <f>VLOOKUP(B21,'Property Name List'!A$2:D$834,3,FALSE)</f>
        <v>Fairfield Inn &amp; Suites Cincinnati Uptown/University Area</v>
      </c>
      <c r="H21" s="11">
        <v>46042</v>
      </c>
      <c r="I21" t="s">
        <v>14</v>
      </c>
      <c r="J21">
        <f>VLOOKUP(E21,'Room Count'!A$2:B$2616,2,FALSE)</f>
        <v>115</v>
      </c>
      <c r="K21" s="19"/>
      <c r="M21" s="19"/>
      <c r="Q21"/>
    </row>
    <row r="22" spans="1:17" ht="17.100000000000001">
      <c r="A22" s="8" t="s">
        <v>35</v>
      </c>
      <c r="B22" s="8" t="s">
        <v>77</v>
      </c>
      <c r="C22" s="25">
        <v>100067</v>
      </c>
      <c r="D22" s="8" t="s">
        <v>77</v>
      </c>
      <c r="E22" s="8">
        <v>102</v>
      </c>
      <c r="F22" s="8" t="s">
        <v>12</v>
      </c>
      <c r="G22" s="9" t="str">
        <f>VLOOKUP(B22,'Property Name List'!A$2:D$834,3,FALSE)</f>
        <v>SpringHill Suites By Marriott Athens West</v>
      </c>
      <c r="H22" s="10">
        <v>46000</v>
      </c>
      <c r="I22" t="s">
        <v>14</v>
      </c>
      <c r="J22">
        <f>VLOOKUP(E22,'Room Count'!A$2:B$2616,2,FALSE)</f>
        <v>99</v>
      </c>
      <c r="K22" s="19"/>
      <c r="M22" s="19"/>
      <c r="Q22"/>
    </row>
    <row r="23" spans="1:17" ht="17.100000000000001">
      <c r="A23" s="8" t="s">
        <v>35</v>
      </c>
      <c r="B23" s="8" t="s">
        <v>78</v>
      </c>
      <c r="C23" s="25">
        <v>100069</v>
      </c>
      <c r="D23" s="8" t="s">
        <v>78</v>
      </c>
      <c r="E23" s="8">
        <v>105</v>
      </c>
      <c r="F23" s="8" t="s">
        <v>12</v>
      </c>
      <c r="G23" s="9" t="str">
        <f>VLOOKUP(B23,'Property Name List'!A$2:D$834,3,FALSE)</f>
        <v>Courtyard By Marriott Asheville Airport</v>
      </c>
      <c r="H23" s="10">
        <v>46000</v>
      </c>
      <c r="I23" t="s">
        <v>14</v>
      </c>
      <c r="J23">
        <f>VLOOKUP(E23,'Room Count'!A$2:B$2616,2,FALSE)</f>
        <v>91</v>
      </c>
      <c r="K23" s="19"/>
      <c r="M23" s="19"/>
      <c r="Q23"/>
    </row>
    <row r="24" spans="1:17" ht="17.100000000000001">
      <c r="A24" s="8" t="s">
        <v>36</v>
      </c>
      <c r="B24" s="8" t="s">
        <v>79</v>
      </c>
      <c r="C24" s="25">
        <v>100071</v>
      </c>
      <c r="D24" s="8" t="s">
        <v>79</v>
      </c>
      <c r="E24" s="8">
        <v>106</v>
      </c>
      <c r="F24" s="8" t="s">
        <v>12</v>
      </c>
      <c r="G24" s="9" t="str">
        <f>VLOOKUP(B24,'Property Name List'!A$2:D$834,3,FALSE)</f>
        <v>Courtyard By Marriott Kalamazoo Portage</v>
      </c>
      <c r="H24" s="11">
        <v>46042</v>
      </c>
      <c r="I24" t="s">
        <v>14</v>
      </c>
      <c r="J24">
        <f>VLOOKUP(E24,'Room Count'!A$2:B$2616,2,FALSE)</f>
        <v>90</v>
      </c>
      <c r="K24" s="19"/>
      <c r="M24" s="19"/>
      <c r="Q24"/>
    </row>
    <row r="25" spans="1:17" ht="17.100000000000001">
      <c r="A25" s="8" t="s">
        <v>35</v>
      </c>
      <c r="B25" s="8" t="s">
        <v>80</v>
      </c>
      <c r="C25" s="25">
        <v>100073</v>
      </c>
      <c r="D25" s="8" t="s">
        <v>80</v>
      </c>
      <c r="E25" s="8">
        <v>107</v>
      </c>
      <c r="F25" s="8" t="s">
        <v>12</v>
      </c>
      <c r="G25" s="9" t="str">
        <f>VLOOKUP(B25,'Property Name List'!A$2:D$834,3,FALSE)</f>
        <v>Fairfield Inn &amp; Suites Nashville Airport</v>
      </c>
      <c r="H25" s="10">
        <v>46000</v>
      </c>
      <c r="I25" t="s">
        <v>14</v>
      </c>
      <c r="J25">
        <f>VLOOKUP(E25,'Room Count'!A$2:B$2616,2,FALSE)</f>
        <v>104</v>
      </c>
      <c r="K25" s="19"/>
      <c r="M25" s="19"/>
      <c r="Q25"/>
    </row>
    <row r="26" spans="1:17" ht="17.100000000000001">
      <c r="A26" s="8" t="s">
        <v>35</v>
      </c>
      <c r="B26" s="8" t="s">
        <v>81</v>
      </c>
      <c r="C26" s="25">
        <v>100075</v>
      </c>
      <c r="D26" s="8" t="s">
        <v>81</v>
      </c>
      <c r="E26" s="8">
        <v>108</v>
      </c>
      <c r="F26" s="8" t="s">
        <v>12</v>
      </c>
      <c r="G26" s="9" t="str">
        <f>VLOOKUP(B26,'Property Name List'!A$2:D$834,3,FALSE)</f>
        <v>Moxy Nashville Downtown</v>
      </c>
      <c r="H26" s="10">
        <v>46000</v>
      </c>
      <c r="I26" t="s">
        <v>14</v>
      </c>
      <c r="J26">
        <f>VLOOKUP(E26,'Room Count'!A$2:B$2616,2,FALSE)</f>
        <v>168</v>
      </c>
      <c r="K26" s="19"/>
      <c r="M26" s="19"/>
      <c r="Q26"/>
    </row>
    <row r="27" spans="1:17" ht="17.100000000000001">
      <c r="A27" s="8" t="s">
        <v>35</v>
      </c>
      <c r="B27" s="8" t="s">
        <v>82</v>
      </c>
      <c r="C27" s="25">
        <v>100077</v>
      </c>
      <c r="D27" s="8" t="s">
        <v>82</v>
      </c>
      <c r="E27" s="9">
        <v>110</v>
      </c>
      <c r="F27" s="9" t="s">
        <v>12</v>
      </c>
      <c r="G27" s="9" t="str">
        <f>VLOOKUP(B27,'Property Name List'!A$2:D$834,3,FALSE)</f>
        <v>Fairfield Inn By Marriott Burlington Williston</v>
      </c>
      <c r="H27" s="10">
        <v>46000</v>
      </c>
      <c r="I27" t="s">
        <v>14</v>
      </c>
      <c r="J27">
        <f>VLOOKUP(E27,'Room Count'!A$2:B$2616,2,FALSE)</f>
        <v>102</v>
      </c>
      <c r="K27" s="19"/>
      <c r="M27" s="19"/>
      <c r="Q27"/>
    </row>
    <row r="28" spans="1:17" ht="17.100000000000001">
      <c r="A28" s="8" t="s">
        <v>36</v>
      </c>
      <c r="B28" s="8" t="s">
        <v>83</v>
      </c>
      <c r="C28" s="25">
        <v>100079</v>
      </c>
      <c r="D28" s="8" t="s">
        <v>83</v>
      </c>
      <c r="E28" s="8">
        <v>111</v>
      </c>
      <c r="F28" s="8" t="s">
        <v>12</v>
      </c>
      <c r="G28" s="9" t="str">
        <f>VLOOKUP(B28,'Property Name List'!A$2:D$834,3,FALSE)</f>
        <v>Fairfield by Marriott Inn &amp; Suites Aberdeen, MD</v>
      </c>
      <c r="H28" s="11">
        <v>46042</v>
      </c>
      <c r="I28" t="s">
        <v>14</v>
      </c>
      <c r="J28">
        <f>VLOOKUP(E28,'Room Count'!A$2:B$2616,2,FALSE)</f>
        <v>84</v>
      </c>
      <c r="K28" s="19"/>
      <c r="M28" s="19"/>
      <c r="Q28"/>
    </row>
    <row r="29" spans="1:17" ht="17.100000000000001">
      <c r="A29" s="8" t="s">
        <v>36</v>
      </c>
      <c r="B29" s="8" t="s">
        <v>84</v>
      </c>
      <c r="C29" s="25">
        <v>100081</v>
      </c>
      <c r="D29" s="8" t="s">
        <v>84</v>
      </c>
      <c r="E29" s="8">
        <v>112</v>
      </c>
      <c r="F29" s="8" t="s">
        <v>12</v>
      </c>
      <c r="G29" s="9" t="str">
        <f>VLOOKUP(B29,'Property Name List'!A$2:D$834,3,FALSE)</f>
        <v>Courtyard By Marriott Akron Stow</v>
      </c>
      <c r="H29" s="11">
        <v>46042</v>
      </c>
      <c r="I29" t="s">
        <v>14</v>
      </c>
      <c r="J29">
        <f>VLOOKUP(E29,'Room Count'!A$2:B$2616,2,FALSE)</f>
        <v>101</v>
      </c>
      <c r="K29" s="19"/>
      <c r="M29" s="19"/>
      <c r="Q29"/>
    </row>
    <row r="30" spans="1:17" ht="17.100000000000001">
      <c r="A30" s="8" t="s">
        <v>36</v>
      </c>
      <c r="B30" s="8" t="s">
        <v>85</v>
      </c>
      <c r="C30" s="25">
        <v>100083</v>
      </c>
      <c r="D30" s="8" t="s">
        <v>85</v>
      </c>
      <c r="E30" s="8">
        <v>113</v>
      </c>
      <c r="F30" s="8" t="s">
        <v>12</v>
      </c>
      <c r="G30" s="9" t="str">
        <f>VLOOKUP(B30,'Property Name List'!A$2:D$834,3,FALSE)</f>
        <v>Fairfield Inn &amp; Suites Charlottesville North</v>
      </c>
      <c r="H30" s="11">
        <v>46042</v>
      </c>
      <c r="I30" t="s">
        <v>14</v>
      </c>
      <c r="J30">
        <f>VLOOKUP(E30,'Room Count'!A$2:B$2616,2,FALSE)</f>
        <v>120</v>
      </c>
      <c r="K30" s="19"/>
      <c r="M30" s="19"/>
      <c r="Q30"/>
    </row>
    <row r="31" spans="1:17" ht="17.100000000000001">
      <c r="A31" s="8" t="s">
        <v>36</v>
      </c>
      <c r="B31" s="8" t="s">
        <v>86</v>
      </c>
      <c r="C31" s="25">
        <v>100085</v>
      </c>
      <c r="D31" s="8" t="s">
        <v>86</v>
      </c>
      <c r="E31" s="8">
        <v>114</v>
      </c>
      <c r="F31" s="8" t="s">
        <v>12</v>
      </c>
      <c r="G31" s="9" t="str">
        <f>VLOOKUP(B31,'Property Name List'!A$2:D$834,3,FALSE)</f>
        <v>SpringHill Suites By Marriott Cleveland Solon</v>
      </c>
      <c r="H31" s="11">
        <v>46042</v>
      </c>
      <c r="I31" t="s">
        <v>14</v>
      </c>
      <c r="J31">
        <f>VLOOKUP(E31,'Room Count'!A$2:B$2616,2,FALSE)</f>
        <v>120</v>
      </c>
      <c r="K31" s="19"/>
      <c r="M31" s="19"/>
      <c r="Q31"/>
    </row>
    <row r="32" spans="1:17" ht="17.100000000000001">
      <c r="A32" s="8" t="s">
        <v>36</v>
      </c>
      <c r="B32" s="8" t="s">
        <v>87</v>
      </c>
      <c r="C32" s="25">
        <v>100087</v>
      </c>
      <c r="D32" s="8" t="s">
        <v>87</v>
      </c>
      <c r="E32" s="8">
        <v>115</v>
      </c>
      <c r="F32" s="8" t="s">
        <v>12</v>
      </c>
      <c r="G32" s="9" t="str">
        <f>VLOOKUP(B32,'Property Name List'!A$2:D$834,3,FALSE)</f>
        <v>Fairfield by Marriott Inn &amp; Suites Charlotte Monroe</v>
      </c>
      <c r="H32" s="11">
        <v>46042</v>
      </c>
      <c r="I32" t="s">
        <v>14</v>
      </c>
      <c r="J32">
        <f>VLOOKUP(E32,'Room Count'!A$2:B$2616,2,FALSE)</f>
        <v>83</v>
      </c>
      <c r="K32" s="19"/>
      <c r="M32" s="19"/>
      <c r="Q32"/>
    </row>
    <row r="33" spans="1:17" ht="17.100000000000001">
      <c r="A33" s="13" t="s">
        <v>38</v>
      </c>
      <c r="B33" s="14" t="s">
        <v>88</v>
      </c>
      <c r="C33" s="25">
        <v>100089</v>
      </c>
      <c r="D33" s="14" t="s">
        <v>88</v>
      </c>
      <c r="E33" s="14">
        <v>132</v>
      </c>
      <c r="F33" s="13" t="s">
        <v>12</v>
      </c>
      <c r="G33" s="9" t="str">
        <f>VLOOKUP(B33,'Property Name List'!A$2:D$834,3,FALSE)</f>
        <v>Courtyard By Marriott Boston Littleton</v>
      </c>
      <c r="H33" s="15">
        <v>46084</v>
      </c>
      <c r="I33" t="s">
        <v>14</v>
      </c>
      <c r="J33">
        <f>VLOOKUP(E33,'Room Count'!A$2:B$2616,2,FALSE)</f>
        <v>115</v>
      </c>
      <c r="K33" s="19"/>
      <c r="M33" s="19"/>
      <c r="Q33"/>
    </row>
    <row r="34" spans="1:17" ht="17.100000000000001">
      <c r="A34" s="8" t="s">
        <v>36</v>
      </c>
      <c r="B34" s="14" t="s">
        <v>89</v>
      </c>
      <c r="C34" s="25">
        <v>100091</v>
      </c>
      <c r="D34" s="14" t="s">
        <v>89</v>
      </c>
      <c r="E34" s="14">
        <v>133</v>
      </c>
      <c r="F34" s="13" t="s">
        <v>12</v>
      </c>
      <c r="G34" s="9" t="str">
        <f>VLOOKUP(B34,'Property Name List'!A$2:D$834,3,FALSE)</f>
        <v>Fairfield Inn &amp; Suites Lexington East/I-75</v>
      </c>
      <c r="H34" s="11">
        <v>46042</v>
      </c>
      <c r="I34" t="s">
        <v>14</v>
      </c>
      <c r="J34">
        <f>VLOOKUP(E34,'Room Count'!A$2:B$2616,2,FALSE)</f>
        <v>84</v>
      </c>
      <c r="K34" s="19"/>
      <c r="M34" s="19"/>
      <c r="Q34"/>
    </row>
    <row r="35" spans="1:17" ht="17.100000000000001">
      <c r="A35" s="13" t="s">
        <v>38</v>
      </c>
      <c r="B35" s="14" t="s">
        <v>90</v>
      </c>
      <c r="C35" s="25">
        <v>100093</v>
      </c>
      <c r="D35" s="14" t="s">
        <v>90</v>
      </c>
      <c r="E35" s="14">
        <v>134</v>
      </c>
      <c r="F35" s="13" t="s">
        <v>12</v>
      </c>
      <c r="G35" s="9" t="str">
        <f>VLOOKUP(B35,'Property Name List'!A$2:D$834,3,FALSE)</f>
        <v>Courtyard by Marriott Asheville Biltmore Village</v>
      </c>
      <c r="H35" s="15">
        <v>46084</v>
      </c>
      <c r="I35" t="s">
        <v>14</v>
      </c>
      <c r="J35">
        <f>VLOOKUP(E35,'Room Count'!A$2:B$2616,2,FALSE)</f>
        <v>112</v>
      </c>
      <c r="K35" s="19"/>
      <c r="M35" s="19"/>
      <c r="Q35"/>
    </row>
    <row r="36" spans="1:17" ht="17.100000000000001">
      <c r="A36" s="13" t="s">
        <v>38</v>
      </c>
      <c r="B36" s="14" t="s">
        <v>91</v>
      </c>
      <c r="C36" s="25">
        <v>100095</v>
      </c>
      <c r="D36" s="14" t="s">
        <v>91</v>
      </c>
      <c r="E36" s="14">
        <v>135</v>
      </c>
      <c r="F36" s="13" t="s">
        <v>12</v>
      </c>
      <c r="G36" s="9" t="str">
        <f>VLOOKUP(B36,'Property Name List'!A$2:D$834,3,FALSE)</f>
        <v>Courtyard By Marriott Bowie</v>
      </c>
      <c r="H36" s="15">
        <v>46084</v>
      </c>
      <c r="I36" t="s">
        <v>14</v>
      </c>
      <c r="J36">
        <f>VLOOKUP(E36,'Room Count'!A$2:B$2616,2,FALSE)</f>
        <v>144</v>
      </c>
      <c r="K36" s="19"/>
      <c r="M36" s="19"/>
      <c r="Q36"/>
    </row>
    <row r="37" spans="1:17" ht="17.100000000000001">
      <c r="A37" s="8" t="s">
        <v>36</v>
      </c>
      <c r="B37" s="13" t="s">
        <v>92</v>
      </c>
      <c r="C37" s="25">
        <v>100097</v>
      </c>
      <c r="D37" s="13" t="s">
        <v>92</v>
      </c>
      <c r="E37" s="13">
        <v>136</v>
      </c>
      <c r="F37" s="13" t="s">
        <v>12</v>
      </c>
      <c r="G37" s="9" t="str">
        <f>VLOOKUP(B37,'Property Name List'!A$2:D$834,3,FALSE)</f>
        <v>Fairfield by Marriott Inn &amp; Suites Savannah I-95 North</v>
      </c>
      <c r="H37" s="11">
        <v>46042</v>
      </c>
      <c r="I37" t="s">
        <v>14</v>
      </c>
      <c r="J37">
        <f>VLOOKUP(E37,'Room Count'!A$2:B$2616,2,FALSE)</f>
        <v>95</v>
      </c>
      <c r="K37" s="19"/>
      <c r="M37" s="19"/>
      <c r="Q37"/>
    </row>
    <row r="38" spans="1:17" ht="17.100000000000001">
      <c r="A38" s="13" t="s">
        <v>38</v>
      </c>
      <c r="B38" s="14" t="s">
        <v>93</v>
      </c>
      <c r="C38" s="25">
        <v>100099</v>
      </c>
      <c r="D38" s="14" t="s">
        <v>93</v>
      </c>
      <c r="E38" s="14">
        <v>137</v>
      </c>
      <c r="F38" s="13" t="s">
        <v>12</v>
      </c>
      <c r="G38" s="9" t="str">
        <f>VLOOKUP(B38,'Property Name List'!A$2:D$834,3,FALSE)</f>
        <v>Fairfield Inn &amp; Suites Anderson</v>
      </c>
      <c r="H38" s="15">
        <v>46084</v>
      </c>
      <c r="I38" t="s">
        <v>14</v>
      </c>
      <c r="J38">
        <f>VLOOKUP(E38,'Room Count'!A$2:B$2616,2,FALSE)</f>
        <v>85</v>
      </c>
      <c r="K38" s="19"/>
      <c r="M38" s="19"/>
      <c r="Q38"/>
    </row>
    <row r="39" spans="1:17" ht="17.100000000000001">
      <c r="A39" s="13" t="s">
        <v>38</v>
      </c>
      <c r="B39" s="14" t="s">
        <v>94</v>
      </c>
      <c r="C39" s="25" t="s">
        <v>95</v>
      </c>
      <c r="D39" s="14" t="s">
        <v>94</v>
      </c>
      <c r="E39" s="14">
        <v>138</v>
      </c>
      <c r="F39" s="13" t="s">
        <v>12</v>
      </c>
      <c r="G39" s="9" t="str">
        <f>VLOOKUP(B39,'Property Name List'!A$2:D$834,3,FALSE)</f>
        <v>SpringHill Suites By Marriott Athens Downtown/University Area</v>
      </c>
      <c r="H39" s="15">
        <v>46084</v>
      </c>
      <c r="I39" t="s">
        <v>14</v>
      </c>
      <c r="J39">
        <f>VLOOKUP(E39,'Room Count'!A$2:B$2616,2,FALSE)</f>
        <v>200</v>
      </c>
      <c r="K39" s="19"/>
      <c r="M39" s="19"/>
      <c r="Q39"/>
    </row>
    <row r="40" spans="1:17" ht="17.100000000000001">
      <c r="A40" s="8" t="s">
        <v>36</v>
      </c>
      <c r="B40" s="14" t="s">
        <v>96</v>
      </c>
      <c r="C40" s="25">
        <v>100103</v>
      </c>
      <c r="D40" s="14" t="s">
        <v>96</v>
      </c>
      <c r="E40" s="14">
        <v>139</v>
      </c>
      <c r="F40" s="13" t="s">
        <v>12</v>
      </c>
      <c r="G40" s="9" t="str">
        <f>VLOOKUP(B40,'Property Name List'!A$2:D$834,3,FALSE)</f>
        <v>Fairfield Inn &amp; Suites Somerset</v>
      </c>
      <c r="H40" s="11">
        <v>46042</v>
      </c>
      <c r="I40" t="s">
        <v>14</v>
      </c>
      <c r="J40">
        <f>VLOOKUP(E40,'Room Count'!A$2:B$2616,2,FALSE)</f>
        <v>111</v>
      </c>
      <c r="K40" s="19"/>
      <c r="M40" s="19"/>
      <c r="Q40"/>
    </row>
    <row r="41" spans="1:17" ht="17.100000000000001">
      <c r="A41" s="13" t="s">
        <v>38</v>
      </c>
      <c r="B41" s="14" t="s">
        <v>97</v>
      </c>
      <c r="C41" s="25">
        <v>100105</v>
      </c>
      <c r="D41" s="14" t="s">
        <v>97</v>
      </c>
      <c r="E41" s="14">
        <v>140</v>
      </c>
      <c r="F41" s="13" t="s">
        <v>12</v>
      </c>
      <c r="G41" s="9" t="str">
        <f>VLOOKUP(B41,'Property Name List'!A$2:D$834,3,FALSE)</f>
        <v>Fairfield Inn &amp; Suites Palm Coast I-95</v>
      </c>
      <c r="H41" s="15">
        <v>46084</v>
      </c>
      <c r="I41" t="s">
        <v>14</v>
      </c>
      <c r="J41">
        <f>VLOOKUP(E41,'Room Count'!A$2:B$2616,2,FALSE)</f>
        <v>108</v>
      </c>
      <c r="K41" s="19"/>
      <c r="M41" s="19"/>
      <c r="Q41"/>
    </row>
    <row r="42" spans="1:17" ht="17.100000000000001">
      <c r="A42" s="8" t="s">
        <v>36</v>
      </c>
      <c r="B42" s="14" t="s">
        <v>98</v>
      </c>
      <c r="C42" s="25">
        <v>100107</v>
      </c>
      <c r="D42" s="14" t="s">
        <v>98</v>
      </c>
      <c r="E42" s="14">
        <v>141</v>
      </c>
      <c r="F42" s="13" t="s">
        <v>12</v>
      </c>
      <c r="G42" s="9" t="str">
        <f>VLOOKUP(B42,'Property Name List'!A$2:D$834,3,FALSE)</f>
        <v>Fairfield Inn &amp; Suites Pittsburgh North/McCandless Crossing</v>
      </c>
      <c r="H42" s="11">
        <v>46042</v>
      </c>
      <c r="I42" t="s">
        <v>14</v>
      </c>
      <c r="J42">
        <f>VLOOKUP(E42,'Room Count'!A$2:B$2616,2,FALSE)</f>
        <v>109</v>
      </c>
      <c r="K42" s="19"/>
      <c r="M42" s="19"/>
      <c r="Q42"/>
    </row>
    <row r="43" spans="1:17" ht="17.100000000000001">
      <c r="A43" s="13" t="s">
        <v>38</v>
      </c>
      <c r="B43" s="14" t="s">
        <v>99</v>
      </c>
      <c r="C43" s="25">
        <v>100109</v>
      </c>
      <c r="D43" s="14" t="s">
        <v>99</v>
      </c>
      <c r="E43" s="14">
        <v>142</v>
      </c>
      <c r="F43" s="13" t="s">
        <v>12</v>
      </c>
      <c r="G43" s="9" t="str">
        <f>VLOOKUP(B43,'Property Name List'!A$2:D$834,3,FALSE)</f>
        <v>SpringHill Suites By Marriott Chattanooga North/Ooltewah</v>
      </c>
      <c r="H43" s="15">
        <v>46084</v>
      </c>
      <c r="I43" t="s">
        <v>14</v>
      </c>
      <c r="J43">
        <f>VLOOKUP(E43,'Room Count'!A$2:B$2616,2,FALSE)</f>
        <v>106</v>
      </c>
      <c r="K43" s="19"/>
      <c r="M43" s="19"/>
      <c r="Q43"/>
    </row>
    <row r="44" spans="1:17" ht="17.100000000000001">
      <c r="A44" s="13" t="s">
        <v>38</v>
      </c>
      <c r="B44" s="14" t="s">
        <v>100</v>
      </c>
      <c r="C44" s="25">
        <v>100111</v>
      </c>
      <c r="D44" s="14" t="s">
        <v>100</v>
      </c>
      <c r="E44" s="14">
        <v>143</v>
      </c>
      <c r="F44" s="13" t="s">
        <v>12</v>
      </c>
      <c r="G44" s="9" t="str">
        <f>VLOOKUP(B44,'Property Name List'!A$2:D$834,3,FALSE)</f>
        <v>Fairfield Inn &amp; Suites Albany</v>
      </c>
      <c r="H44" s="15">
        <v>46084</v>
      </c>
      <c r="I44" t="s">
        <v>14</v>
      </c>
      <c r="J44">
        <f>VLOOKUP(E44,'Room Count'!A$2:B$2616,2,FALSE)</f>
        <v>87</v>
      </c>
      <c r="K44" s="19"/>
      <c r="M44" s="19"/>
      <c r="Q44"/>
    </row>
    <row r="45" spans="1:17" ht="17.100000000000001">
      <c r="A45" s="13" t="s">
        <v>38</v>
      </c>
      <c r="B45" s="14" t="s">
        <v>101</v>
      </c>
      <c r="C45" s="25">
        <v>100113</v>
      </c>
      <c r="D45" s="14" t="s">
        <v>101</v>
      </c>
      <c r="E45" s="14">
        <v>144</v>
      </c>
      <c r="F45" s="13" t="s">
        <v>12</v>
      </c>
      <c r="G45" s="9" t="str">
        <f>VLOOKUP(B45,'Property Name List'!A$2:D$834,3,FALSE)</f>
        <v>SpringHill Suites By Marriott Bloomington</v>
      </c>
      <c r="H45" s="15">
        <v>46084</v>
      </c>
      <c r="I45" t="s">
        <v>14</v>
      </c>
      <c r="J45">
        <f>VLOOKUP(E45,'Room Count'!A$2:B$2616,2,FALSE)</f>
        <v>158</v>
      </c>
      <c r="K45" s="19"/>
      <c r="M45" s="19"/>
      <c r="Q45"/>
    </row>
    <row r="46" spans="1:17" ht="17.100000000000001">
      <c r="A46" s="13" t="s">
        <v>38</v>
      </c>
      <c r="B46" s="14" t="s">
        <v>102</v>
      </c>
      <c r="C46" s="25">
        <v>100115</v>
      </c>
      <c r="D46" s="14" t="s">
        <v>102</v>
      </c>
      <c r="E46" s="14">
        <v>145</v>
      </c>
      <c r="F46" s="13" t="s">
        <v>12</v>
      </c>
      <c r="G46" s="9" t="str">
        <f>VLOOKUP(B46,'Property Name List'!A$2:D$834,3,FALSE)</f>
        <v>Fairfield Inn &amp; Suites Gainesville</v>
      </c>
      <c r="H46" s="15">
        <v>46084</v>
      </c>
      <c r="I46" t="s">
        <v>14</v>
      </c>
      <c r="J46">
        <f>VLOOKUP(E46,'Room Count'!A$2:B$2616,2,FALSE)</f>
        <v>75</v>
      </c>
      <c r="K46" s="19"/>
      <c r="M46" s="19"/>
      <c r="Q46"/>
    </row>
    <row r="47" spans="1:17" ht="17.100000000000001">
      <c r="A47" s="13" t="s">
        <v>38</v>
      </c>
      <c r="B47" s="14" t="s">
        <v>103</v>
      </c>
      <c r="C47" s="25">
        <v>100117</v>
      </c>
      <c r="D47" s="14" t="s">
        <v>103</v>
      </c>
      <c r="E47" s="14">
        <v>146</v>
      </c>
      <c r="F47" s="13" t="s">
        <v>12</v>
      </c>
      <c r="G47" s="9" t="str">
        <f>VLOOKUP(B47,'Property Name List'!A$2:D$834,3,FALSE)</f>
        <v>Fairfield Inn &amp; Suites Charleston Airport/Convention Center</v>
      </c>
      <c r="H47" s="15">
        <v>46084</v>
      </c>
      <c r="I47" t="s">
        <v>14</v>
      </c>
      <c r="J47">
        <f>VLOOKUP(E47,'Room Count'!A$2:B$2616,2,FALSE)</f>
        <v>102</v>
      </c>
      <c r="K47" s="19"/>
      <c r="M47" s="19"/>
      <c r="Q47"/>
    </row>
    <row r="48" spans="1:17" ht="17.100000000000001">
      <c r="A48" s="8" t="s">
        <v>36</v>
      </c>
      <c r="B48" s="14" t="s">
        <v>104</v>
      </c>
      <c r="C48" s="25">
        <v>100119</v>
      </c>
      <c r="D48" s="14" t="s">
        <v>104</v>
      </c>
      <c r="E48" s="14">
        <v>147</v>
      </c>
      <c r="F48" s="13" t="s">
        <v>12</v>
      </c>
      <c r="G48" s="9" t="str">
        <f>VLOOKUP(B48,'Property Name List'!A$2:D$834,3,FALSE)</f>
        <v>Courtyard By Marriott Virginia Beach Oceanfront/South</v>
      </c>
      <c r="H48" s="11">
        <v>46042</v>
      </c>
      <c r="I48" t="s">
        <v>14</v>
      </c>
      <c r="J48">
        <f>VLOOKUP(E48,'Room Count'!A$2:B$2616,2,FALSE)</f>
        <v>141</v>
      </c>
      <c r="K48" s="19"/>
      <c r="M48" s="19"/>
      <c r="Q48"/>
    </row>
    <row r="49" spans="1:17" ht="17.100000000000001">
      <c r="A49" s="13" t="s">
        <v>38</v>
      </c>
      <c r="B49" s="14" t="s">
        <v>105</v>
      </c>
      <c r="C49" s="25">
        <v>100121</v>
      </c>
      <c r="D49" s="14" t="s">
        <v>105</v>
      </c>
      <c r="E49" s="14">
        <v>148</v>
      </c>
      <c r="F49" s="13" t="s">
        <v>12</v>
      </c>
      <c r="G49" s="9" t="str">
        <f>VLOOKUP(B49,'Property Name List'!A$2:D$834,3,FALSE)</f>
        <v>Courtyard By Marriott Cleveland Airport South</v>
      </c>
      <c r="H49" s="15">
        <v>46084</v>
      </c>
      <c r="I49" t="s">
        <v>14</v>
      </c>
      <c r="J49">
        <f>VLOOKUP(E49,'Room Count'!A$2:B$2616,2,FALSE)</f>
        <v>153</v>
      </c>
      <c r="K49" s="19"/>
      <c r="M49" s="19"/>
      <c r="Q49"/>
    </row>
    <row r="50" spans="1:17" ht="17.100000000000001">
      <c r="A50" s="13" t="s">
        <v>38</v>
      </c>
      <c r="B50" s="14" t="s">
        <v>106</v>
      </c>
      <c r="C50" s="25">
        <v>100123</v>
      </c>
      <c r="D50" s="14" t="s">
        <v>106</v>
      </c>
      <c r="E50" s="14">
        <v>149</v>
      </c>
      <c r="F50" s="13" t="s">
        <v>12</v>
      </c>
      <c r="G50" s="9" t="str">
        <f>VLOOKUP(B50,'Property Name List'!A$2:D$834,3,FALSE)</f>
        <v>Fairfield Inn &amp; Suites Bedford</v>
      </c>
      <c r="H50" s="15">
        <v>46084</v>
      </c>
      <c r="I50" t="s">
        <v>14</v>
      </c>
      <c r="J50">
        <f>VLOOKUP(E50,'Room Count'!A$2:B$2616,2,FALSE)</f>
        <v>84</v>
      </c>
      <c r="K50" s="19"/>
      <c r="M50" s="19"/>
      <c r="Q50"/>
    </row>
    <row r="51" spans="1:17" ht="17.100000000000001">
      <c r="A51" s="8" t="s">
        <v>36</v>
      </c>
      <c r="B51" s="14" t="s">
        <v>107</v>
      </c>
      <c r="C51" s="25">
        <v>100125</v>
      </c>
      <c r="D51" s="14" t="s">
        <v>107</v>
      </c>
      <c r="E51" s="14">
        <v>150</v>
      </c>
      <c r="F51" s="13" t="s">
        <v>12</v>
      </c>
      <c r="G51" s="9" t="str">
        <f>VLOOKUP(B51,'Property Name List'!A$2:D$834,3,FALSE)</f>
        <v>Fairfield Inn &amp; Suites Lewisburg</v>
      </c>
      <c r="H51" s="11">
        <v>46042</v>
      </c>
      <c r="I51" t="s">
        <v>14</v>
      </c>
      <c r="J51">
        <f>VLOOKUP(E51,'Room Count'!A$2:B$2616,2,FALSE)</f>
        <v>107</v>
      </c>
      <c r="K51" s="19"/>
      <c r="M51" s="19"/>
      <c r="Q51"/>
    </row>
    <row r="52" spans="1:17" ht="17.100000000000001">
      <c r="A52" s="8" t="s">
        <v>36</v>
      </c>
      <c r="B52" s="14" t="s">
        <v>108</v>
      </c>
      <c r="C52" s="25">
        <v>100127</v>
      </c>
      <c r="D52" s="14" t="s">
        <v>108</v>
      </c>
      <c r="E52" s="14">
        <v>151</v>
      </c>
      <c r="F52" s="13" t="s">
        <v>12</v>
      </c>
      <c r="G52" s="9" t="str">
        <f>VLOOKUP(B52,'Property Name List'!A$2:D$834,3,FALSE)</f>
        <v>Courtyard By Marriott Potomac Mills Woodbridge</v>
      </c>
      <c r="H52" s="11">
        <v>46042</v>
      </c>
      <c r="I52" t="s">
        <v>14</v>
      </c>
      <c r="J52">
        <f>VLOOKUP(E52,'Room Count'!A$2:B$2616,2,FALSE)</f>
        <v>118</v>
      </c>
      <c r="K52" s="19"/>
      <c r="M52" s="19"/>
      <c r="Q52"/>
    </row>
    <row r="53" spans="1:17" ht="17.100000000000001">
      <c r="A53" s="8" t="s">
        <v>36</v>
      </c>
      <c r="B53" s="14" t="s">
        <v>109</v>
      </c>
      <c r="C53" s="25">
        <v>100129</v>
      </c>
      <c r="D53" s="14" t="s">
        <v>109</v>
      </c>
      <c r="E53" s="14">
        <v>152</v>
      </c>
      <c r="F53" s="13" t="s">
        <v>12</v>
      </c>
      <c r="G53" s="9" t="str">
        <f>VLOOKUP(B53,'Property Name List'!A$2:D$834,3,FALSE)</f>
        <v>Fairfield Inn &amp; Suites Jasper</v>
      </c>
      <c r="H53" s="11">
        <v>46042</v>
      </c>
      <c r="I53" t="s">
        <v>14</v>
      </c>
      <c r="J53">
        <f>VLOOKUP(E53,'Room Count'!A$2:B$2616,2,FALSE)</f>
        <v>84</v>
      </c>
      <c r="K53" s="19"/>
      <c r="M53" s="19"/>
      <c r="Q53"/>
    </row>
    <row r="54" spans="1:17" ht="17.100000000000001">
      <c r="A54" s="13" t="s">
        <v>38</v>
      </c>
      <c r="B54" s="14" t="s">
        <v>110</v>
      </c>
      <c r="C54" s="25">
        <v>100131</v>
      </c>
      <c r="D54" s="14" t="s">
        <v>110</v>
      </c>
      <c r="E54" s="14">
        <v>153</v>
      </c>
      <c r="F54" s="13" t="s">
        <v>12</v>
      </c>
      <c r="G54" s="9" t="str">
        <f>VLOOKUP(B54,'Property Name List'!A$2:D$834,3,FALSE)</f>
        <v>Fairfield Inn &amp; Suites Albany Airport</v>
      </c>
      <c r="H54" s="15">
        <v>46084</v>
      </c>
      <c r="I54" t="s">
        <v>14</v>
      </c>
      <c r="J54">
        <f>VLOOKUP(E54,'Room Count'!A$2:B$2616,2,FALSE)</f>
        <v>78</v>
      </c>
      <c r="K54" s="19"/>
      <c r="M54" s="19"/>
      <c r="Q54"/>
    </row>
    <row r="55" spans="1:17" ht="17.100000000000001">
      <c r="A55" s="13" t="s">
        <v>38</v>
      </c>
      <c r="B55" s="14" t="s">
        <v>111</v>
      </c>
      <c r="C55" s="25">
        <v>100133</v>
      </c>
      <c r="D55" s="14" t="s">
        <v>111</v>
      </c>
      <c r="E55" s="14">
        <v>154</v>
      </c>
      <c r="F55" s="13" t="s">
        <v>12</v>
      </c>
      <c r="G55" s="9" t="str">
        <f>VLOOKUP(B55,'Property Name List'!A$2:D$834,3,FALSE)</f>
        <v>Fairfield Inn &amp; Suites Baltimore BWI Airport</v>
      </c>
      <c r="H55" s="15">
        <v>46084</v>
      </c>
      <c r="I55" t="s">
        <v>14</v>
      </c>
      <c r="J55">
        <f>VLOOKUP(E55,'Room Count'!A$2:B$2616,2,FALSE)</f>
        <v>105</v>
      </c>
      <c r="K55" s="19"/>
      <c r="M55" s="19"/>
      <c r="Q55"/>
    </row>
    <row r="56" spans="1:17" ht="17.100000000000001">
      <c r="A56" s="13" t="s">
        <v>38</v>
      </c>
      <c r="B56" s="14" t="s">
        <v>112</v>
      </c>
      <c r="C56" s="25">
        <v>100135</v>
      </c>
      <c r="D56" s="14" t="s">
        <v>112</v>
      </c>
      <c r="E56" s="14">
        <v>155</v>
      </c>
      <c r="F56" s="13" t="s">
        <v>12</v>
      </c>
      <c r="G56" s="9" t="str">
        <f>VLOOKUP(B56,'Property Name List'!A$2:D$834,3,FALSE)</f>
        <v>Fairfield Inn &amp; Suites Augusta Washington Rd./I-20</v>
      </c>
      <c r="H56" s="15">
        <v>46084</v>
      </c>
      <c r="I56" t="s">
        <v>14</v>
      </c>
      <c r="J56">
        <f>VLOOKUP(E56,'Room Count'!A$2:B$2616,2,FALSE)</f>
        <v>92</v>
      </c>
      <c r="K56" s="19"/>
      <c r="M56" s="19"/>
      <c r="Q56"/>
    </row>
    <row r="57" spans="1:17" ht="17.100000000000001">
      <c r="A57" s="13" t="s">
        <v>38</v>
      </c>
      <c r="B57" s="14" t="s">
        <v>113</v>
      </c>
      <c r="C57" s="25">
        <v>100137</v>
      </c>
      <c r="D57" s="14" t="s">
        <v>113</v>
      </c>
      <c r="E57" s="14">
        <v>156</v>
      </c>
      <c r="F57" s="13" t="s">
        <v>12</v>
      </c>
      <c r="G57" s="9" t="str">
        <f>VLOOKUP(B57,'Property Name List'!A$2:D$834,3,FALSE)</f>
        <v>SpringHill Suites By Marriott Columbia Fort Meade Area</v>
      </c>
      <c r="H57" s="15">
        <v>46084</v>
      </c>
      <c r="I57" t="s">
        <v>14</v>
      </c>
      <c r="J57">
        <f>VLOOKUP(E57,'Room Count'!A$2:B$2616,2,FALSE)</f>
        <v>117</v>
      </c>
      <c r="K57" s="19"/>
      <c r="M57" s="19"/>
      <c r="Q57"/>
    </row>
    <row r="58" spans="1:17" ht="17.100000000000001">
      <c r="A58" s="13" t="s">
        <v>38</v>
      </c>
      <c r="B58" s="14" t="s">
        <v>114</v>
      </c>
      <c r="C58" s="25">
        <v>100139</v>
      </c>
      <c r="D58" s="14" t="s">
        <v>114</v>
      </c>
      <c r="E58" s="14">
        <v>157</v>
      </c>
      <c r="F58" s="13" t="s">
        <v>12</v>
      </c>
      <c r="G58" s="9" t="str">
        <f>VLOOKUP(B58,'Property Name List'!A$2:D$834,3,FALSE)</f>
        <v>Courtyard By Marriott Charlotte Fort Mill, SC</v>
      </c>
      <c r="H58" s="15">
        <v>46084</v>
      </c>
      <c r="I58" t="s">
        <v>14</v>
      </c>
      <c r="J58">
        <f>VLOOKUP(E58,'Room Count'!A$2:B$2616,2,FALSE)</f>
        <v>129</v>
      </c>
      <c r="K58" s="19"/>
      <c r="M58" s="19"/>
      <c r="Q58"/>
    </row>
    <row r="59" spans="1:17" ht="17.100000000000001">
      <c r="A59" s="13" t="s">
        <v>38</v>
      </c>
      <c r="B59" s="14" t="s">
        <v>115</v>
      </c>
      <c r="C59" s="25">
        <v>100141</v>
      </c>
      <c r="D59" s="14" t="s">
        <v>115</v>
      </c>
      <c r="E59" s="14">
        <v>158</v>
      </c>
      <c r="F59" s="13" t="s">
        <v>12</v>
      </c>
      <c r="G59" s="9" t="str">
        <f>VLOOKUP(B59,'Property Name List'!A$2:D$834,3,FALSE)</f>
        <v>Fairfield Inn &amp; Suites Atlantic City Absecon</v>
      </c>
      <c r="H59" s="15">
        <v>46084</v>
      </c>
      <c r="I59" t="s">
        <v>14</v>
      </c>
      <c r="J59">
        <f>VLOOKUP(E59,'Room Count'!A$2:B$2616,2,FALSE)</f>
        <v>122</v>
      </c>
      <c r="K59" s="19"/>
      <c r="M59" s="19"/>
      <c r="Q59"/>
    </row>
    <row r="60" spans="1:17" ht="17.100000000000001">
      <c r="A60" s="8" t="s">
        <v>36</v>
      </c>
      <c r="B60" s="14" t="s">
        <v>116</v>
      </c>
      <c r="C60" s="25">
        <v>100143</v>
      </c>
      <c r="D60" s="14" t="s">
        <v>116</v>
      </c>
      <c r="E60" s="14">
        <v>159</v>
      </c>
      <c r="F60" s="13" t="s">
        <v>12</v>
      </c>
      <c r="G60" s="9" t="str">
        <f>VLOOKUP(B60,'Property Name List'!A$2:D$834,3,FALSE)</f>
        <v>SpringHill Suites By Marriott Dulles Airport</v>
      </c>
      <c r="H60" s="11">
        <v>46042</v>
      </c>
      <c r="I60" t="s">
        <v>14</v>
      </c>
      <c r="J60">
        <f>VLOOKUP(E60,'Room Count'!A$2:B$2616,2,FALSE)</f>
        <v>158</v>
      </c>
      <c r="K60" s="19"/>
      <c r="M60" s="19"/>
      <c r="Q60"/>
    </row>
    <row r="61" spans="1:17" ht="17.100000000000001">
      <c r="A61" s="13" t="s">
        <v>38</v>
      </c>
      <c r="B61" s="14" t="s">
        <v>117</v>
      </c>
      <c r="C61" s="25">
        <v>100145</v>
      </c>
      <c r="D61" s="14" t="s">
        <v>117</v>
      </c>
      <c r="E61" s="14">
        <v>160</v>
      </c>
      <c r="F61" s="13" t="s">
        <v>12</v>
      </c>
      <c r="G61" s="9" t="str">
        <f>VLOOKUP(B61,'Property Name List'!A$2:D$834,3,FALSE)</f>
        <v>SpringHill Suites by Marriott Suwanee Johns Creek</v>
      </c>
      <c r="H61" s="15">
        <v>46084</v>
      </c>
      <c r="I61" t="s">
        <v>14</v>
      </c>
      <c r="J61">
        <f>VLOOKUP(E61,'Room Count'!A$2:B$2616,2,FALSE)</f>
        <v>82</v>
      </c>
      <c r="K61" s="19"/>
      <c r="M61" s="19"/>
      <c r="Q61"/>
    </row>
    <row r="62" spans="1:17" ht="17.100000000000001">
      <c r="A62" s="8" t="s">
        <v>36</v>
      </c>
      <c r="B62" s="14" t="s">
        <v>118</v>
      </c>
      <c r="C62" s="25">
        <v>100147</v>
      </c>
      <c r="D62" s="14" t="s">
        <v>118</v>
      </c>
      <c r="E62" s="14">
        <v>161</v>
      </c>
      <c r="F62" s="13" t="s">
        <v>12</v>
      </c>
      <c r="G62" s="9" t="str">
        <f>VLOOKUP(B62,'Property Name List'!A$2:D$834,3,FALSE)</f>
        <v>Fairfield Inn &amp; Suites Winston-Salem Hanes Mall</v>
      </c>
      <c r="H62" s="11">
        <v>46042</v>
      </c>
      <c r="I62" t="s">
        <v>14</v>
      </c>
      <c r="J62">
        <f>VLOOKUP(E62,'Room Count'!A$2:B$2616,2,FALSE)</f>
        <v>126</v>
      </c>
      <c r="K62" s="19"/>
      <c r="M62" s="19"/>
      <c r="Q62"/>
    </row>
    <row r="63" spans="1:17" ht="17.100000000000001">
      <c r="A63" s="13" t="s">
        <v>38</v>
      </c>
      <c r="B63" s="14" t="s">
        <v>119</v>
      </c>
      <c r="C63" s="25">
        <v>100149</v>
      </c>
      <c r="D63" s="14" t="s">
        <v>119</v>
      </c>
      <c r="E63" s="14">
        <v>162</v>
      </c>
      <c r="F63" s="13" t="s">
        <v>12</v>
      </c>
      <c r="G63" s="9" t="str">
        <f>VLOOKUP(B63,'Property Name List'!A$2:D$834,3,FALSE)</f>
        <v>Fairfield by Marriott Inn &amp; Suites Columbia Downtown</v>
      </c>
      <c r="H63" s="15">
        <v>46084</v>
      </c>
      <c r="I63" t="s">
        <v>14</v>
      </c>
      <c r="J63">
        <f>VLOOKUP(E63,'Room Count'!A$2:B$2616,2,FALSE)</f>
        <v>83</v>
      </c>
      <c r="K63" s="19"/>
      <c r="M63" s="19"/>
      <c r="Q63"/>
    </row>
    <row r="64" spans="1:17" ht="17.100000000000001">
      <c r="A64" s="13" t="s">
        <v>38</v>
      </c>
      <c r="B64" s="14" t="s">
        <v>120</v>
      </c>
      <c r="C64" s="25">
        <v>100151</v>
      </c>
      <c r="D64" s="14" t="s">
        <v>120</v>
      </c>
      <c r="E64" s="14">
        <v>163</v>
      </c>
      <c r="F64" s="13" t="s">
        <v>12</v>
      </c>
      <c r="G64" s="9" t="str">
        <f>VLOOKUP(B64,'Property Name List'!A$2:D$834,3,FALSE)</f>
        <v>Fairfield Inn By Marriott Binghamton</v>
      </c>
      <c r="H64" s="15">
        <v>46084</v>
      </c>
      <c r="I64" t="s">
        <v>14</v>
      </c>
      <c r="J64">
        <f>VLOOKUP(E64,'Room Count'!A$2:B$2616,2,FALSE)</f>
        <v>82</v>
      </c>
      <c r="K64" s="19"/>
      <c r="M64" s="19"/>
      <c r="Q64"/>
    </row>
    <row r="65" spans="1:17" ht="17.100000000000001">
      <c r="A65" s="8" t="s">
        <v>36</v>
      </c>
      <c r="B65" s="14" t="s">
        <v>121</v>
      </c>
      <c r="C65" s="25">
        <v>100153</v>
      </c>
      <c r="D65" s="14" t="s">
        <v>121</v>
      </c>
      <c r="E65" s="14">
        <v>164</v>
      </c>
      <c r="F65" s="13" t="s">
        <v>12</v>
      </c>
      <c r="G65" s="9" t="str">
        <f>VLOOKUP(B65,'Property Name List'!A$2:D$834,3,FALSE)</f>
        <v>Fairfield by Marriott Inn &amp; Suites Tampa Riverview</v>
      </c>
      <c r="H65" s="11">
        <v>46042</v>
      </c>
      <c r="I65" t="s">
        <v>14</v>
      </c>
      <c r="J65">
        <f>VLOOKUP(E65,'Room Count'!A$2:B$2616,2,FALSE)</f>
        <v>108</v>
      </c>
      <c r="K65" s="19"/>
      <c r="M65" s="19"/>
      <c r="Q65"/>
    </row>
    <row r="66" spans="1:17" ht="17.100000000000001">
      <c r="A66" s="13" t="s">
        <v>38</v>
      </c>
      <c r="B66" s="14" t="s">
        <v>122</v>
      </c>
      <c r="C66" s="25">
        <v>100155</v>
      </c>
      <c r="D66" s="14" t="s">
        <v>122</v>
      </c>
      <c r="E66" s="14">
        <v>165</v>
      </c>
      <c r="F66" s="13" t="s">
        <v>12</v>
      </c>
      <c r="G66" s="9" t="str">
        <f>VLOOKUP(B66,'Property Name List'!A$2:D$834,3,FALSE)</f>
        <v>Fairfield by Marriott Inn &amp; Suites Charlotte University Research Park</v>
      </c>
      <c r="H66" s="15">
        <v>46084</v>
      </c>
      <c r="I66" t="s">
        <v>14</v>
      </c>
      <c r="J66">
        <f>VLOOKUP(E66,'Room Count'!A$2:B$2616,2,FALSE)</f>
        <v>104</v>
      </c>
      <c r="K66" s="19"/>
      <c r="M66" s="19"/>
      <c r="Q66"/>
    </row>
    <row r="67" spans="1:17" ht="17.100000000000001">
      <c r="A67" s="8" t="s">
        <v>36</v>
      </c>
      <c r="B67" s="14" t="s">
        <v>123</v>
      </c>
      <c r="C67" s="25">
        <v>100157</v>
      </c>
      <c r="D67" s="14" t="s">
        <v>123</v>
      </c>
      <c r="E67" s="14">
        <v>166</v>
      </c>
      <c r="F67" s="13" t="s">
        <v>12</v>
      </c>
      <c r="G67" s="9" t="str">
        <f>VLOOKUP(B67,'Property Name List'!A$2:D$834,3,FALSE)</f>
        <v>Fairfield Inn &amp; Suites Lexington North</v>
      </c>
      <c r="H67" s="11">
        <v>46042</v>
      </c>
      <c r="I67" t="s">
        <v>14</v>
      </c>
      <c r="J67">
        <f>VLOOKUP(E67,'Room Count'!A$2:B$2616,2,FALSE)</f>
        <v>114</v>
      </c>
      <c r="K67" s="19"/>
      <c r="M67" s="19"/>
      <c r="Q67"/>
    </row>
    <row r="68" spans="1:17" ht="17.100000000000001">
      <c r="A68" s="13" t="s">
        <v>38</v>
      </c>
      <c r="B68" s="14" t="s">
        <v>124</v>
      </c>
      <c r="C68" s="25">
        <v>100159</v>
      </c>
      <c r="D68" s="14" t="s">
        <v>124</v>
      </c>
      <c r="E68" s="14">
        <v>167</v>
      </c>
      <c r="F68" s="13" t="s">
        <v>12</v>
      </c>
      <c r="G68" s="9" t="str">
        <f>VLOOKUP(B68,'Property Name List'!A$2:D$834,3,FALSE)</f>
        <v>Fairfield Inn &amp; Suites Shelby</v>
      </c>
      <c r="H68" s="15">
        <v>46084</v>
      </c>
      <c r="I68" t="s">
        <v>14</v>
      </c>
      <c r="J68">
        <f>VLOOKUP(E68,'Room Count'!A$2:B$2616,2,FALSE)</f>
        <v>86</v>
      </c>
      <c r="K68" s="19"/>
      <c r="M68" s="19"/>
      <c r="Q68"/>
    </row>
    <row r="69" spans="1:17" ht="17.100000000000001">
      <c r="A69" s="13" t="s">
        <v>38</v>
      </c>
      <c r="B69" s="14" t="s">
        <v>125</v>
      </c>
      <c r="C69" s="25">
        <v>100161</v>
      </c>
      <c r="D69" s="14" t="s">
        <v>125</v>
      </c>
      <c r="E69" s="14">
        <v>168</v>
      </c>
      <c r="F69" s="13" t="s">
        <v>12</v>
      </c>
      <c r="G69" s="9" t="str">
        <f>VLOOKUP(B69,'Property Name List'!A$2:D$834,3,FALSE)</f>
        <v>Courtyard By Marriott Albany Thruway</v>
      </c>
      <c r="H69" s="15">
        <v>46084</v>
      </c>
      <c r="I69" t="s">
        <v>14</v>
      </c>
      <c r="J69">
        <f>VLOOKUP(E69,'Room Count'!A$2:B$2616,2,FALSE)</f>
        <v>78</v>
      </c>
      <c r="K69" s="19"/>
      <c r="M69" s="19"/>
      <c r="Q69"/>
    </row>
    <row r="70" spans="1:17" ht="17.100000000000001">
      <c r="A70" s="13" t="s">
        <v>38</v>
      </c>
      <c r="B70" s="14" t="s">
        <v>126</v>
      </c>
      <c r="C70" s="25">
        <v>100163</v>
      </c>
      <c r="D70" s="14" t="s">
        <v>126</v>
      </c>
      <c r="E70" s="14">
        <v>169</v>
      </c>
      <c r="F70" s="13" t="s">
        <v>12</v>
      </c>
      <c r="G70" s="9" t="str">
        <f>VLOOKUP(B70,'Property Name List'!A$2:D$834,3,FALSE)</f>
        <v>Fairfield by Marriott Inn &amp; Suites Cincinnati Airport South/Florence</v>
      </c>
      <c r="H70" s="15">
        <v>46084</v>
      </c>
      <c r="I70" t="s">
        <v>14</v>
      </c>
      <c r="J70">
        <f>VLOOKUP(E70,'Room Count'!A$2:B$2616,2,FALSE)</f>
        <v>92</v>
      </c>
      <c r="K70" s="19"/>
      <c r="M70" s="19"/>
      <c r="Q70"/>
    </row>
    <row r="71" spans="1:17" ht="17.100000000000001">
      <c r="A71" s="13" t="s">
        <v>38</v>
      </c>
      <c r="B71" s="14" t="s">
        <v>127</v>
      </c>
      <c r="C71" s="25">
        <v>100165</v>
      </c>
      <c r="D71" s="14" t="s">
        <v>127</v>
      </c>
      <c r="E71" s="14">
        <v>170</v>
      </c>
      <c r="F71" s="13" t="s">
        <v>12</v>
      </c>
      <c r="G71" s="9" t="str">
        <f>VLOOKUP(B71,'Property Name List'!A$2:D$834,3,FALSE)</f>
        <v>SpringHill Suites By Marriott Baltimore Downtown/Inner Harbor</v>
      </c>
      <c r="H71" s="15">
        <v>46084</v>
      </c>
      <c r="I71" t="s">
        <v>14</v>
      </c>
      <c r="J71">
        <f>VLOOKUP(E71,'Room Count'!A$2:B$2616,2,FALSE)</f>
        <v>99</v>
      </c>
      <c r="K71" s="19"/>
      <c r="M71" s="19"/>
      <c r="Q71"/>
    </row>
    <row r="72" spans="1:17" ht="17.100000000000001">
      <c r="A72" s="8" t="s">
        <v>36</v>
      </c>
      <c r="B72" s="14" t="s">
        <v>128</v>
      </c>
      <c r="C72" s="25">
        <v>100167</v>
      </c>
      <c r="D72" s="14" t="s">
        <v>128</v>
      </c>
      <c r="E72" s="14">
        <v>171</v>
      </c>
      <c r="F72" s="13" t="s">
        <v>12</v>
      </c>
      <c r="G72" s="9" t="str">
        <f>VLOOKUP(B72,'Property Name List'!A$2:D$834,3,FALSE)</f>
        <v>Fairfield Inn &amp; Suites Plymouth</v>
      </c>
      <c r="H72" s="11">
        <v>46042</v>
      </c>
      <c r="I72" t="s">
        <v>14</v>
      </c>
      <c r="J72">
        <f>VLOOKUP(E72,'Room Count'!A$2:B$2616,2,FALSE)</f>
        <v>108</v>
      </c>
      <c r="K72" s="19"/>
      <c r="M72" s="19"/>
      <c r="Q72"/>
    </row>
    <row r="73" spans="1:17" ht="17.100000000000001">
      <c r="A73" s="13" t="s">
        <v>38</v>
      </c>
      <c r="B73" s="13" t="s">
        <v>129</v>
      </c>
      <c r="C73" s="25">
        <v>100169</v>
      </c>
      <c r="D73" s="13" t="s">
        <v>129</v>
      </c>
      <c r="E73" s="13">
        <v>172</v>
      </c>
      <c r="F73" s="13" t="s">
        <v>12</v>
      </c>
      <c r="G73" s="9" t="str">
        <f>VLOOKUP(B73,'Property Name List'!A$2:D$834,3,FALSE)</f>
        <v>SpringHill Suites By Marriott Nashville Brentwood</v>
      </c>
      <c r="H73" s="15">
        <v>46084</v>
      </c>
      <c r="I73" t="s">
        <v>14</v>
      </c>
      <c r="J73">
        <f>VLOOKUP(E73,'Room Count'!A$2:B$2616,2,FALSE)</f>
        <v>134</v>
      </c>
      <c r="K73" s="19"/>
      <c r="M73" s="19"/>
      <c r="Q73"/>
    </row>
    <row r="74" spans="1:17" ht="17.100000000000001">
      <c r="A74" s="8" t="s">
        <v>36</v>
      </c>
      <c r="B74" s="13" t="s">
        <v>130</v>
      </c>
      <c r="C74" s="25">
        <v>100171</v>
      </c>
      <c r="D74" s="13" t="s">
        <v>130</v>
      </c>
      <c r="E74" s="13">
        <v>173</v>
      </c>
      <c r="F74" s="13" t="s">
        <v>12</v>
      </c>
      <c r="G74" s="9" t="str">
        <f>VLOOKUP(B74,'Property Name List'!A$2:D$834,3,FALSE)</f>
        <v>Courtyard By Marriott Vicksburg</v>
      </c>
      <c r="H74" s="11">
        <v>46042</v>
      </c>
      <c r="I74" t="s">
        <v>14</v>
      </c>
      <c r="J74">
        <f>VLOOKUP(E74,'Room Count'!A$2:B$2616,2,FALSE)</f>
        <v>111</v>
      </c>
      <c r="K74" s="19"/>
      <c r="M74" s="19"/>
      <c r="Q74"/>
    </row>
    <row r="75" spans="1:17" ht="17.100000000000001">
      <c r="A75" s="13" t="s">
        <v>38</v>
      </c>
      <c r="B75" s="13" t="s">
        <v>131</v>
      </c>
      <c r="C75" s="25">
        <v>100173</v>
      </c>
      <c r="D75" s="13" t="s">
        <v>131</v>
      </c>
      <c r="E75" s="13">
        <v>175</v>
      </c>
      <c r="F75" s="13" t="s">
        <v>12</v>
      </c>
      <c r="G75" s="9" t="str">
        <f>VLOOKUP(B75,'Property Name List'!A$2:D$834,3,FALSE)</f>
        <v>SpringHill Suites By Marriott Birmingham Gardendale</v>
      </c>
      <c r="H75" s="15">
        <v>46084</v>
      </c>
      <c r="I75" t="s">
        <v>14</v>
      </c>
      <c r="J75">
        <f>VLOOKUP(E75,'Room Count'!A$2:B$2616,2,FALSE)</f>
        <v>100</v>
      </c>
      <c r="K75" s="19"/>
      <c r="M75" s="19"/>
      <c r="Q75"/>
    </row>
    <row r="76" spans="1:17" ht="17.100000000000001">
      <c r="A76" s="8" t="s">
        <v>36</v>
      </c>
      <c r="B76" s="13" t="s">
        <v>132</v>
      </c>
      <c r="C76" s="25">
        <v>100175</v>
      </c>
      <c r="D76" s="13" t="s">
        <v>132</v>
      </c>
      <c r="E76" s="13">
        <v>177</v>
      </c>
      <c r="F76" s="13" t="s">
        <v>12</v>
      </c>
      <c r="G76" s="9" t="str">
        <f>VLOOKUP(B76,'Property Name List'!A$2:D$834,3,FALSE)</f>
        <v>Fairfield Inn &amp; Suites Northfield</v>
      </c>
      <c r="H76" s="11">
        <v>46042</v>
      </c>
      <c r="I76" t="s">
        <v>14</v>
      </c>
      <c r="J76">
        <f>VLOOKUP(E76,'Room Count'!A$2:B$2616,2,FALSE)</f>
        <v>80</v>
      </c>
      <c r="K76" s="19"/>
      <c r="M76" s="19"/>
      <c r="Q76"/>
    </row>
    <row r="77" spans="1:17" ht="17.100000000000001">
      <c r="A77" s="13" t="s">
        <v>38</v>
      </c>
      <c r="B77" s="13" t="s">
        <v>133</v>
      </c>
      <c r="C77" s="25">
        <v>100177</v>
      </c>
      <c r="D77" s="13" t="s">
        <v>133</v>
      </c>
      <c r="E77" s="13">
        <v>179</v>
      </c>
      <c r="F77" s="13" t="s">
        <v>12</v>
      </c>
      <c r="G77" s="9" t="str">
        <f>VLOOKUP(B77,'Property Name List'!A$2:D$834,3,FALSE)</f>
        <v>SpringHill Suites By Marriott Birmingham Colonnade/Grandview</v>
      </c>
      <c r="H77" s="15">
        <v>46084</v>
      </c>
      <c r="I77" t="s">
        <v>14</v>
      </c>
      <c r="J77">
        <f>VLOOKUP(E77,'Room Count'!A$2:B$2616,2,FALSE)</f>
        <v>120</v>
      </c>
      <c r="K77" s="19"/>
      <c r="M77" s="19"/>
      <c r="Q77"/>
    </row>
    <row r="78" spans="1:17" ht="17.100000000000001">
      <c r="A78" s="13" t="s">
        <v>38</v>
      </c>
      <c r="B78" s="13" t="s">
        <v>134</v>
      </c>
      <c r="C78" s="25">
        <v>100179</v>
      </c>
      <c r="D78" s="13" t="s">
        <v>134</v>
      </c>
      <c r="E78" s="13">
        <v>181</v>
      </c>
      <c r="F78" s="13" t="s">
        <v>12</v>
      </c>
      <c r="G78" s="9" t="str">
        <f>VLOOKUP(B78,'Property Name List'!A$2:D$834,3,FALSE)</f>
        <v>SpringHill Suites by Marriott Franklin Mint</v>
      </c>
      <c r="H78" s="15">
        <v>46084</v>
      </c>
      <c r="I78" t="s">
        <v>14</v>
      </c>
      <c r="J78">
        <f>VLOOKUP(E78,'Room Count'!A$2:B$2616,2,FALSE)</f>
        <v>114</v>
      </c>
      <c r="K78" s="19"/>
      <c r="M78" s="19"/>
      <c r="Q78"/>
    </row>
    <row r="79" spans="1:17" ht="17.100000000000001">
      <c r="A79" s="13" t="s">
        <v>38</v>
      </c>
      <c r="B79" s="13" t="s">
        <v>135</v>
      </c>
      <c r="C79" s="25">
        <v>100181</v>
      </c>
      <c r="D79" s="13" t="s">
        <v>135</v>
      </c>
      <c r="E79" s="13">
        <v>183</v>
      </c>
      <c r="F79" s="13" t="s">
        <v>12</v>
      </c>
      <c r="G79" s="9" t="str">
        <f>VLOOKUP(B79,'Property Name List'!A$2:D$834,3,FALSE)</f>
        <v>Fairfield Inn &amp; Suites Chicago Southeast/Hammond, IN</v>
      </c>
      <c r="H79" s="15">
        <v>46084</v>
      </c>
      <c r="I79" t="s">
        <v>14</v>
      </c>
      <c r="J79">
        <f>VLOOKUP(E79,'Room Count'!A$2:B$2616,2,FALSE)</f>
        <v>94</v>
      </c>
      <c r="K79" s="19"/>
      <c r="M79" s="19"/>
      <c r="Q79"/>
    </row>
    <row r="80" spans="1:17" ht="17.100000000000001">
      <c r="A80" s="13" t="s">
        <v>38</v>
      </c>
      <c r="B80" s="13" t="s">
        <v>136</v>
      </c>
      <c r="C80" s="25">
        <v>100183</v>
      </c>
      <c r="D80" s="13" t="s">
        <v>136</v>
      </c>
      <c r="E80" s="13">
        <v>185</v>
      </c>
      <c r="F80" s="13" t="s">
        <v>12</v>
      </c>
      <c r="G80" s="9" t="str">
        <f>VLOOKUP(B80,'Property Name List'!A$2:D$834,3,FALSE)</f>
        <v>Fairfield Inn &amp; Suites Gadsden</v>
      </c>
      <c r="H80" s="15">
        <v>46084</v>
      </c>
      <c r="I80" t="s">
        <v>14</v>
      </c>
      <c r="J80">
        <f>VLOOKUP(E80,'Room Count'!A$2:B$2616,2,FALSE)</f>
        <v>91</v>
      </c>
      <c r="K80" s="19"/>
      <c r="M80" s="19"/>
      <c r="Q80"/>
    </row>
    <row r="81" spans="1:17" ht="17.100000000000001">
      <c r="A81" s="13" t="s">
        <v>38</v>
      </c>
      <c r="B81" s="13" t="s">
        <v>137</v>
      </c>
      <c r="C81" s="25">
        <v>100185</v>
      </c>
      <c r="D81" s="13" t="s">
        <v>137</v>
      </c>
      <c r="E81" s="13">
        <v>187</v>
      </c>
      <c r="F81" s="13" t="s">
        <v>12</v>
      </c>
      <c r="G81" s="9" t="str">
        <f>VLOOKUP(B81,'Property Name List'!A$2:D$834,3,FALSE)</f>
        <v>Fairfield Inn &amp; Suites Duluth</v>
      </c>
      <c r="H81" s="15">
        <v>46084</v>
      </c>
      <c r="I81" t="s">
        <v>14</v>
      </c>
      <c r="J81">
        <f>VLOOKUP(E81,'Room Count'!A$2:B$2616,2,FALSE)</f>
        <v>82</v>
      </c>
      <c r="K81" s="19"/>
      <c r="M81" s="19"/>
      <c r="Q81"/>
    </row>
    <row r="82" spans="1:17" ht="17.100000000000001">
      <c r="A82" s="13" t="s">
        <v>38</v>
      </c>
      <c r="B82" s="13" t="s">
        <v>138</v>
      </c>
      <c r="C82" s="25">
        <v>100187</v>
      </c>
      <c r="D82" s="13" t="s">
        <v>138</v>
      </c>
      <c r="E82" s="13">
        <v>190</v>
      </c>
      <c r="F82" s="13" t="s">
        <v>12</v>
      </c>
      <c r="G82" s="9" t="str">
        <f>VLOOKUP(B82,'Property Name List'!A$2:D$834,3,FALSE)</f>
        <v>Fairfield by Marriott Inn &amp; Suites Livingston Yellowstone</v>
      </c>
      <c r="H82" s="15">
        <v>46084</v>
      </c>
      <c r="I82" t="s">
        <v>14</v>
      </c>
      <c r="J82">
        <f>VLOOKUP(E82,'Room Count'!A$2:B$2616,2,FALSE)</f>
        <v>90</v>
      </c>
      <c r="K82" s="19"/>
      <c r="M82" s="19"/>
      <c r="Q82"/>
    </row>
    <row r="83" spans="1:17" ht="17.100000000000001">
      <c r="A83" s="13" t="s">
        <v>38</v>
      </c>
      <c r="B83" s="13" t="s">
        <v>139</v>
      </c>
      <c r="C83" s="25">
        <v>100189</v>
      </c>
      <c r="D83" s="13" t="s">
        <v>139</v>
      </c>
      <c r="E83" s="13">
        <v>192</v>
      </c>
      <c r="F83" s="13" t="s">
        <v>12</v>
      </c>
      <c r="G83" s="9" t="str">
        <f>VLOOKUP(B83,'Property Name List'!A$2:D$834,3,FALSE)</f>
        <v>Fairfield by Marriott Inn &amp; Suites Clear Lake</v>
      </c>
      <c r="H83" s="15">
        <v>46084</v>
      </c>
      <c r="I83" t="s">
        <v>14</v>
      </c>
      <c r="J83">
        <f>VLOOKUP(E83,'Room Count'!A$2:B$2616,2,FALSE)</f>
        <v>84</v>
      </c>
      <c r="K83" s="19"/>
      <c r="M83" s="19"/>
      <c r="Q83"/>
    </row>
    <row r="84" spans="1:17" ht="17.100000000000001">
      <c r="A84" s="13" t="s">
        <v>38</v>
      </c>
      <c r="B84" s="13" t="s">
        <v>140</v>
      </c>
      <c r="C84" s="25">
        <v>100191</v>
      </c>
      <c r="D84" s="13" t="s">
        <v>140</v>
      </c>
      <c r="E84" s="13">
        <v>193</v>
      </c>
      <c r="F84" s="13" t="s">
        <v>12</v>
      </c>
      <c r="G84" s="9" t="str">
        <f>VLOOKUP(B84,'Property Name List'!A$2:D$834,3,FALSE)</f>
        <v>Courtyard By Marriott Appleton Riverfront</v>
      </c>
      <c r="H84" s="15">
        <v>46084</v>
      </c>
      <c r="I84" t="s">
        <v>14</v>
      </c>
      <c r="J84">
        <f>VLOOKUP(E84,'Room Count'!A$2:B$2616,2,FALSE)</f>
        <v>97</v>
      </c>
      <c r="K84" s="19"/>
      <c r="M84" s="19"/>
      <c r="Q84"/>
    </row>
    <row r="85" spans="1:17" ht="17.100000000000001">
      <c r="A85" s="8" t="s">
        <v>36</v>
      </c>
      <c r="B85" s="13" t="s">
        <v>141</v>
      </c>
      <c r="C85" s="25">
        <v>100193</v>
      </c>
      <c r="D85" s="13" t="s">
        <v>141</v>
      </c>
      <c r="E85" s="13">
        <v>199</v>
      </c>
      <c r="F85" s="13" t="s">
        <v>12</v>
      </c>
      <c r="G85" s="9" t="str">
        <f>VLOOKUP(B85,'Property Name List'!A$2:D$834,3,FALSE)</f>
        <v>Courtyard By Marriott Omaha East/Council Bluffs, IA</v>
      </c>
      <c r="H85" s="11">
        <v>46042</v>
      </c>
      <c r="I85" t="s">
        <v>14</v>
      </c>
      <c r="J85">
        <f>VLOOKUP(E85,'Room Count'!A$2:B$2616,2,FALSE)</f>
        <v>131</v>
      </c>
      <c r="K85" s="19"/>
      <c r="M85" s="19"/>
      <c r="Q85"/>
    </row>
    <row r="86" spans="1:17" ht="17.100000000000001">
      <c r="A86" s="8" t="s">
        <v>36</v>
      </c>
      <c r="B86" s="13" t="s">
        <v>142</v>
      </c>
      <c r="C86" s="25">
        <v>100195</v>
      </c>
      <c r="D86" s="13" t="s">
        <v>142</v>
      </c>
      <c r="E86" s="13">
        <v>203</v>
      </c>
      <c r="F86" s="13" t="s">
        <v>12</v>
      </c>
      <c r="G86" s="9" t="str">
        <f>VLOOKUP(B86,'Property Name List'!A$2:D$834,3,FALSE)</f>
        <v>SpringHill Suites By Marriott Ames</v>
      </c>
      <c r="H86" s="11">
        <v>46042</v>
      </c>
      <c r="I86" t="s">
        <v>14</v>
      </c>
      <c r="J86">
        <f>VLOOKUP(E86,'Room Count'!A$2:B$2616,2,FALSE)</f>
        <v>96</v>
      </c>
      <c r="K86" s="19"/>
      <c r="M86" s="19"/>
      <c r="Q86"/>
    </row>
    <row r="87" spans="1:17" ht="17.100000000000001">
      <c r="A87" s="13" t="s">
        <v>37</v>
      </c>
      <c r="B87" s="13" t="s">
        <v>143</v>
      </c>
      <c r="C87" s="26">
        <v>100197</v>
      </c>
      <c r="D87" s="13" t="s">
        <v>143</v>
      </c>
      <c r="E87" s="13">
        <v>211</v>
      </c>
      <c r="F87" s="13" t="s">
        <v>12</v>
      </c>
      <c r="G87" s="9" t="str">
        <f>VLOOKUP(B87,'Property Name List'!A$2:D$834,3,FALSE)</f>
        <v>Courtyard By Marriott St. John's Newfoundland</v>
      </c>
      <c r="H87" s="15">
        <v>46070</v>
      </c>
      <c r="I87" t="s">
        <v>14</v>
      </c>
      <c r="J87">
        <f>VLOOKUP(E87,'Room Count'!A$2:B$2616,2,FALSE)</f>
        <v>86</v>
      </c>
      <c r="K87" s="19"/>
      <c r="M87" s="19"/>
      <c r="Q87"/>
    </row>
    <row r="88" spans="1:17" ht="17.100000000000001">
      <c r="A88" s="13" t="s">
        <v>37</v>
      </c>
      <c r="B88" s="13" t="s">
        <v>144</v>
      </c>
      <c r="C88" s="26">
        <v>100199</v>
      </c>
      <c r="D88" s="13" t="s">
        <v>144</v>
      </c>
      <c r="E88" s="13">
        <v>212</v>
      </c>
      <c r="F88" s="13" t="s">
        <v>12</v>
      </c>
      <c r="G88" s="9" t="str">
        <f>VLOOKUP(B88,'Property Name List'!A$2:D$834,3,FALSE)</f>
        <v>Fairfield Inn &amp; Suites St. John's Newfoundland</v>
      </c>
      <c r="H88" s="15">
        <v>46070</v>
      </c>
      <c r="I88" t="s">
        <v>14</v>
      </c>
      <c r="J88">
        <f>VLOOKUP(E88,'Room Count'!A$2:B$2616,2,FALSE)</f>
        <v>148</v>
      </c>
      <c r="K88" s="19"/>
      <c r="M88" s="19"/>
      <c r="Q88"/>
    </row>
    <row r="89" spans="1:17" ht="17.100000000000001">
      <c r="A89" s="13" t="s">
        <v>37</v>
      </c>
      <c r="B89" s="13" t="s">
        <v>145</v>
      </c>
      <c r="C89" s="26">
        <v>100201</v>
      </c>
      <c r="D89" s="13" t="s">
        <v>145</v>
      </c>
      <c r="E89" s="13">
        <v>213</v>
      </c>
      <c r="F89" s="13" t="s">
        <v>12</v>
      </c>
      <c r="G89" s="9" t="str">
        <f>VLOOKUP(B89,'Property Name List'!A$2:D$834,3,FALSE)</f>
        <v>Moxy Halifax Downtown</v>
      </c>
      <c r="H89" s="15">
        <v>46070</v>
      </c>
      <c r="I89" t="s">
        <v>14</v>
      </c>
      <c r="J89">
        <f>VLOOKUP(E89,'Room Count'!A$2:B$2616,2,FALSE)</f>
        <v>160</v>
      </c>
      <c r="K89" s="19"/>
      <c r="M89" s="19"/>
      <c r="Q89"/>
    </row>
    <row r="90" spans="1:17" ht="17.100000000000001">
      <c r="A90" s="13" t="s">
        <v>37</v>
      </c>
      <c r="B90" s="13" t="s">
        <v>146</v>
      </c>
      <c r="C90" s="26">
        <v>100203</v>
      </c>
      <c r="D90" s="13" t="s">
        <v>146</v>
      </c>
      <c r="E90" s="13">
        <v>214</v>
      </c>
      <c r="F90" s="13" t="s">
        <v>12</v>
      </c>
      <c r="G90" s="9" t="str">
        <f>VLOOKUP(B90,'Property Name List'!A$2:D$834,3,FALSE)</f>
        <v>Courtyard By Marriott Halifax Downtown</v>
      </c>
      <c r="H90" s="15">
        <v>46070</v>
      </c>
      <c r="I90" t="s">
        <v>14</v>
      </c>
      <c r="J90">
        <f>VLOOKUP(E90,'Room Count'!A$2:B$2616,2,FALSE)</f>
        <v>125</v>
      </c>
      <c r="K90" s="19"/>
      <c r="M90" s="19"/>
      <c r="Q90"/>
    </row>
    <row r="91" spans="1:17" ht="17.100000000000001">
      <c r="A91" s="13" t="s">
        <v>38</v>
      </c>
      <c r="B91" s="13" t="s">
        <v>147</v>
      </c>
      <c r="C91" s="26">
        <v>100205</v>
      </c>
      <c r="D91" s="13" t="s">
        <v>147</v>
      </c>
      <c r="E91" s="13">
        <v>215</v>
      </c>
      <c r="F91" s="13" t="s">
        <v>12</v>
      </c>
      <c r="G91" s="9" t="str">
        <f>VLOOKUP(B91,'Property Name List'!A$2:D$834,3,FALSE)</f>
        <v>Fairfield by Marriott Inn &amp; Suites Rochester Hills</v>
      </c>
      <c r="H91" s="15">
        <v>46084</v>
      </c>
      <c r="I91" t="s">
        <v>14</v>
      </c>
      <c r="J91">
        <f>VLOOKUP(E91,'Room Count'!A$2:B$2616,2,FALSE)</f>
        <v>108</v>
      </c>
      <c r="K91" s="19"/>
      <c r="M91" s="19"/>
      <c r="Q91"/>
    </row>
    <row r="92" spans="1:17" ht="17.100000000000001">
      <c r="A92" s="13" t="s">
        <v>38</v>
      </c>
      <c r="B92" s="13" t="s">
        <v>148</v>
      </c>
      <c r="C92" s="26">
        <v>100207</v>
      </c>
      <c r="D92" s="13" t="s">
        <v>148</v>
      </c>
      <c r="E92" s="13">
        <v>216</v>
      </c>
      <c r="F92" s="13" t="s">
        <v>12</v>
      </c>
      <c r="G92" s="9" t="str">
        <f>VLOOKUP(B92,'Property Name List'!A$2:D$834,3,FALSE)</f>
        <v>SpringHill Suites By Marriott Lumberton</v>
      </c>
      <c r="H92" s="15">
        <v>46084</v>
      </c>
      <c r="I92" t="s">
        <v>14</v>
      </c>
      <c r="J92">
        <f>VLOOKUP(E92,'Room Count'!A$2:B$2616,2,FALSE)</f>
        <v>118</v>
      </c>
      <c r="K92" s="19"/>
      <c r="M92" s="19"/>
      <c r="Q92"/>
    </row>
    <row r="93" spans="1:17" ht="17.100000000000001">
      <c r="A93" s="13" t="s">
        <v>38</v>
      </c>
      <c r="B93" s="13" t="s">
        <v>149</v>
      </c>
      <c r="C93" s="26">
        <v>100209</v>
      </c>
      <c r="D93" s="13" t="s">
        <v>149</v>
      </c>
      <c r="E93" s="13">
        <v>217</v>
      </c>
      <c r="F93" s="13" t="s">
        <v>12</v>
      </c>
      <c r="G93" s="9" t="str">
        <f>VLOOKUP(B93,'Property Name List'!A$2:D$834,3,FALSE)</f>
        <v>Fairfield Inn &amp; Suites Cape Cod Hyannis</v>
      </c>
      <c r="H93" s="15">
        <v>46084</v>
      </c>
      <c r="I93" t="s">
        <v>14</v>
      </c>
      <c r="J93">
        <f>VLOOKUP(E93,'Room Count'!A$2:B$2616,2,FALSE)</f>
        <v>125</v>
      </c>
      <c r="K93" s="19"/>
      <c r="M93" s="19"/>
      <c r="Q93"/>
    </row>
    <row r="94" spans="1:17" ht="17.100000000000001">
      <c r="A94" s="13" t="s">
        <v>37</v>
      </c>
      <c r="B94" s="13" t="s">
        <v>150</v>
      </c>
      <c r="C94" s="26">
        <v>100211</v>
      </c>
      <c r="D94" s="13" t="s">
        <v>150</v>
      </c>
      <c r="E94" s="13">
        <v>218</v>
      </c>
      <c r="F94" s="13" t="s">
        <v>12</v>
      </c>
      <c r="G94" s="9" t="str">
        <f>VLOOKUP(B94,'Property Name List'!A$2:D$834,3,FALSE)</f>
        <v>SpringHill Suites By Marriott Chesapeake Greenbrier</v>
      </c>
      <c r="H94" s="15">
        <v>46070</v>
      </c>
      <c r="I94" t="s">
        <v>14</v>
      </c>
      <c r="J94">
        <f>VLOOKUP(E94,'Room Count'!A$2:B$2616,2,FALSE)</f>
        <v>132</v>
      </c>
      <c r="K94" s="19"/>
      <c r="M94" s="19"/>
      <c r="Q94"/>
    </row>
    <row r="95" spans="1:17" ht="17.100000000000001">
      <c r="A95" s="13" t="s">
        <v>38</v>
      </c>
      <c r="B95" s="13" t="s">
        <v>151</v>
      </c>
      <c r="C95" s="26">
        <v>100213</v>
      </c>
      <c r="D95" s="13" t="s">
        <v>151</v>
      </c>
      <c r="E95" s="13">
        <v>219</v>
      </c>
      <c r="F95" s="13" t="s">
        <v>12</v>
      </c>
      <c r="G95" s="9" t="str">
        <f>VLOOKUP(B95,'Property Name List'!A$2:D$834,3,FALSE)</f>
        <v>Fairfield by Marriott Inn &amp; Suites Lebanon Near Expo Center</v>
      </c>
      <c r="H95" s="15">
        <v>46084</v>
      </c>
      <c r="I95" t="s">
        <v>14</v>
      </c>
      <c r="J95">
        <f>VLOOKUP(E95,'Room Count'!A$2:B$2616,2,FALSE)</f>
        <v>90</v>
      </c>
      <c r="K95" s="19"/>
      <c r="M95" s="19"/>
      <c r="Q95"/>
    </row>
    <row r="96" spans="1:17" ht="17.100000000000001">
      <c r="A96" s="13" t="s">
        <v>37</v>
      </c>
      <c r="B96" s="13" t="s">
        <v>152</v>
      </c>
      <c r="C96" s="26">
        <v>100215</v>
      </c>
      <c r="D96" s="13" t="s">
        <v>152</v>
      </c>
      <c r="E96" s="13">
        <v>220</v>
      </c>
      <c r="F96" s="13" t="s">
        <v>12</v>
      </c>
      <c r="G96" s="9" t="str">
        <f>VLOOKUP(B96,'Property Name List'!A$2:D$834,3,FALSE)</f>
        <v>Fairfield Inn &amp; Suites St. Petersburg Clearwater</v>
      </c>
      <c r="H96" s="15">
        <v>46070</v>
      </c>
      <c r="I96" t="s">
        <v>14</v>
      </c>
      <c r="J96">
        <f>VLOOKUP(E96,'Room Count'!A$2:B$2616,2,FALSE)</f>
        <v>82</v>
      </c>
      <c r="K96" s="19"/>
      <c r="M96" s="19"/>
      <c r="Q96"/>
    </row>
    <row r="97" spans="1:17" ht="17.100000000000001">
      <c r="A97" s="13" t="s">
        <v>38</v>
      </c>
      <c r="B97" s="13" t="s">
        <v>153</v>
      </c>
      <c r="C97" s="26">
        <v>100217</v>
      </c>
      <c r="D97" s="13" t="s">
        <v>153</v>
      </c>
      <c r="E97" s="13">
        <v>221</v>
      </c>
      <c r="F97" s="13" t="s">
        <v>12</v>
      </c>
      <c r="G97" s="9" t="str">
        <f>VLOOKUP(B97,'Property Name List'!A$2:D$834,3,FALSE)</f>
        <v>Courtyard By Marriott Fishkill</v>
      </c>
      <c r="H97" s="15">
        <v>46084</v>
      </c>
      <c r="I97" t="s">
        <v>14</v>
      </c>
      <c r="J97">
        <f>VLOOKUP(E97,'Room Count'!A$2:B$2616,2,FALSE)</f>
        <v>152</v>
      </c>
      <c r="K97" s="19"/>
      <c r="M97" s="19"/>
      <c r="Q97"/>
    </row>
    <row r="98" spans="1:17" ht="33.950000000000003">
      <c r="A98" s="13" t="s">
        <v>38</v>
      </c>
      <c r="B98" s="13" t="s">
        <v>154</v>
      </c>
      <c r="C98" s="26">
        <v>100219</v>
      </c>
      <c r="D98" s="13" t="s">
        <v>154</v>
      </c>
      <c r="E98" s="13">
        <v>222</v>
      </c>
      <c r="F98" s="13" t="s">
        <v>12</v>
      </c>
      <c r="G98" s="9" t="str">
        <f>VLOOKUP(B98,'Property Name List'!A$2:D$834,3,FALSE)</f>
        <v>Fairfield by Marriott Inn &amp; Suites Queensbury Glens Falls/Lake George Area</v>
      </c>
      <c r="H98" s="15">
        <v>46084</v>
      </c>
      <c r="I98" t="s">
        <v>14</v>
      </c>
      <c r="J98">
        <f>VLOOKUP(E98,'Room Count'!A$2:B$2616,2,FALSE)</f>
        <v>77</v>
      </c>
      <c r="K98" s="19"/>
      <c r="M98" s="19"/>
      <c r="Q98"/>
    </row>
    <row r="99" spans="1:17" ht="17.100000000000001">
      <c r="A99" s="13" t="s">
        <v>37</v>
      </c>
      <c r="B99" s="13" t="s">
        <v>155</v>
      </c>
      <c r="C99" s="26">
        <v>100221</v>
      </c>
      <c r="D99" s="13" t="s">
        <v>155</v>
      </c>
      <c r="E99" s="13">
        <v>223</v>
      </c>
      <c r="F99" s="13" t="s">
        <v>12</v>
      </c>
      <c r="G99" s="9" t="str">
        <f>VLOOKUP(B99,'Property Name List'!A$2:D$834,3,FALSE)</f>
        <v>Courtyard By Marriott Waterloo St. Jacobs</v>
      </c>
      <c r="H99" s="15">
        <v>46070</v>
      </c>
      <c r="I99" t="s">
        <v>14</v>
      </c>
      <c r="J99">
        <f>VLOOKUP(E99,'Room Count'!A$2:B$2616,2,FALSE)</f>
        <v>118</v>
      </c>
      <c r="K99" s="19"/>
      <c r="M99" s="19"/>
      <c r="Q99"/>
    </row>
    <row r="100" spans="1:17" ht="17.100000000000001">
      <c r="A100" s="13" t="s">
        <v>38</v>
      </c>
      <c r="B100" s="13" t="s">
        <v>156</v>
      </c>
      <c r="C100" s="26">
        <v>100223</v>
      </c>
      <c r="D100" s="13" t="s">
        <v>156</v>
      </c>
      <c r="E100" s="13">
        <v>224</v>
      </c>
      <c r="F100" s="13" t="s">
        <v>12</v>
      </c>
      <c r="G100" s="9" t="str">
        <f>VLOOKUP(B100,'Property Name List'!A$2:D$834,3,FALSE)</f>
        <v>SpringHill Suites by Marriott Columbia near Fort Jackson</v>
      </c>
      <c r="H100" s="15">
        <v>46084</v>
      </c>
      <c r="I100" t="s">
        <v>14</v>
      </c>
      <c r="J100">
        <f>VLOOKUP(E100,'Room Count'!A$2:B$2616,2,FALSE)</f>
        <v>104</v>
      </c>
      <c r="K100" s="19"/>
      <c r="M100" s="19"/>
      <c r="Q100"/>
    </row>
    <row r="101" spans="1:17" ht="17.100000000000001">
      <c r="A101" s="13" t="s">
        <v>37</v>
      </c>
      <c r="B101" s="13" t="s">
        <v>157</v>
      </c>
      <c r="C101" s="26">
        <v>100225</v>
      </c>
      <c r="D101" s="13" t="s">
        <v>157</v>
      </c>
      <c r="E101" s="13">
        <v>225</v>
      </c>
      <c r="F101" s="13" t="s">
        <v>12</v>
      </c>
      <c r="G101" s="9" t="str">
        <f>VLOOKUP(B101,'Property Name List'!A$2:D$834,3,FALSE)</f>
        <v>Fairfield Inn &amp; Suites Holiday Tarpon Springs</v>
      </c>
      <c r="H101" s="15">
        <v>46070</v>
      </c>
      <c r="I101" t="s">
        <v>14</v>
      </c>
      <c r="J101">
        <f>VLOOKUP(E101,'Room Count'!A$2:B$2616,2,FALSE)</f>
        <v>78</v>
      </c>
      <c r="K101" s="19"/>
      <c r="M101" s="19"/>
      <c r="Q101"/>
    </row>
    <row r="102" spans="1:17" ht="17.100000000000001">
      <c r="A102" s="13" t="s">
        <v>38</v>
      </c>
      <c r="B102" s="13" t="s">
        <v>158</v>
      </c>
      <c r="C102" s="26">
        <v>100227</v>
      </c>
      <c r="D102" s="13" t="s">
        <v>158</v>
      </c>
      <c r="E102" s="13">
        <v>226</v>
      </c>
      <c r="F102" s="13" t="s">
        <v>12</v>
      </c>
      <c r="G102" s="9" t="str">
        <f>VLOOKUP(B102,'Property Name List'!A$2:D$834,3,FALSE)</f>
        <v>Courtyard By Marriott Long Island MacArthur Airport</v>
      </c>
      <c r="H102" s="15">
        <v>46084</v>
      </c>
      <c r="I102" t="s">
        <v>14</v>
      </c>
      <c r="J102">
        <f>VLOOKUP(E102,'Room Count'!A$2:B$2616,2,FALSE)</f>
        <v>154</v>
      </c>
      <c r="K102" s="19"/>
      <c r="M102" s="19"/>
      <c r="Q102"/>
    </row>
    <row r="103" spans="1:17" ht="17.100000000000001">
      <c r="A103" s="13" t="s">
        <v>38</v>
      </c>
      <c r="B103" s="13" t="s">
        <v>159</v>
      </c>
      <c r="C103" s="26">
        <v>100229</v>
      </c>
      <c r="D103" s="13" t="s">
        <v>159</v>
      </c>
      <c r="E103" s="13">
        <v>227</v>
      </c>
      <c r="F103" s="13" t="s">
        <v>12</v>
      </c>
      <c r="G103" s="9" t="str">
        <f>VLOOKUP(B103,'Property Name List'!A$2:D$834,3,FALSE)</f>
        <v>AC Hotel Fort Lauderdale Beach</v>
      </c>
      <c r="H103" s="15">
        <v>46084</v>
      </c>
      <c r="I103" t="s">
        <v>14</v>
      </c>
      <c r="J103">
        <f>VLOOKUP(E103,'Room Count'!A$2:B$2616,2,FALSE)</f>
        <v>171</v>
      </c>
      <c r="K103" s="19"/>
      <c r="M103" s="19"/>
      <c r="Q103"/>
    </row>
    <row r="104" spans="1:17" ht="17.100000000000001">
      <c r="A104" s="13" t="s">
        <v>37</v>
      </c>
      <c r="B104" s="13" t="s">
        <v>160</v>
      </c>
      <c r="C104" s="26">
        <v>100231</v>
      </c>
      <c r="D104" s="13" t="s">
        <v>160</v>
      </c>
      <c r="E104" s="13">
        <v>228</v>
      </c>
      <c r="F104" s="13" t="s">
        <v>12</v>
      </c>
      <c r="G104" s="9" t="str">
        <f>VLOOKUP(B104,'Property Name List'!A$2:D$834,3,FALSE)</f>
        <v>Fairfield by Marriott Inn &amp; Suites Marathon Florida Keys</v>
      </c>
      <c r="H104" s="15">
        <v>46070</v>
      </c>
      <c r="I104" t="s">
        <v>14</v>
      </c>
      <c r="J104">
        <f>VLOOKUP(E104,'Room Count'!A$2:B$2616,2,FALSE)</f>
        <v>161</v>
      </c>
      <c r="K104" s="19"/>
      <c r="M104" s="19"/>
      <c r="Q104"/>
    </row>
    <row r="105" spans="1:17" ht="17.100000000000001">
      <c r="A105" s="13" t="s">
        <v>37</v>
      </c>
      <c r="B105" s="13" t="s">
        <v>161</v>
      </c>
      <c r="C105" s="26">
        <v>100233</v>
      </c>
      <c r="D105" s="13" t="s">
        <v>161</v>
      </c>
      <c r="E105" s="13">
        <v>229</v>
      </c>
      <c r="F105" s="13" t="s">
        <v>12</v>
      </c>
      <c r="G105" s="9" t="str">
        <f>VLOOKUP(B105,'Property Name List'!A$2:D$834,3,FALSE)</f>
        <v>Fairfield Inn &amp; Suites Harrisonburg</v>
      </c>
      <c r="H105" s="15">
        <v>46070</v>
      </c>
      <c r="I105" t="s">
        <v>14</v>
      </c>
      <c r="J105">
        <f>VLOOKUP(E105,'Room Count'!A$2:B$2616,2,FALSE)</f>
        <v>100</v>
      </c>
      <c r="K105" s="19"/>
      <c r="M105" s="19"/>
      <c r="Q105"/>
    </row>
    <row r="106" spans="1:17" ht="17.100000000000001">
      <c r="A106" s="13" t="s">
        <v>37</v>
      </c>
      <c r="B106" s="13" t="s">
        <v>162</v>
      </c>
      <c r="C106" s="26">
        <v>100235</v>
      </c>
      <c r="D106" s="13" t="s">
        <v>162</v>
      </c>
      <c r="E106" s="13">
        <v>230</v>
      </c>
      <c r="F106" s="13" t="s">
        <v>12</v>
      </c>
      <c r="G106" s="9" t="str">
        <f>VLOOKUP(B106,'Property Name List'!A$2:D$834,3,FALSE)</f>
        <v>SpringHill Suites By Marriott Boca Raton</v>
      </c>
      <c r="H106" s="15">
        <v>46070</v>
      </c>
      <c r="I106" t="s">
        <v>14</v>
      </c>
      <c r="J106">
        <f>VLOOKUP(E106,'Room Count'!A$2:B$2616,2,FALSE)</f>
        <v>146</v>
      </c>
      <c r="K106" s="19"/>
      <c r="M106" s="19"/>
      <c r="Q106"/>
    </row>
    <row r="107" spans="1:17" ht="17.100000000000001">
      <c r="A107" s="13" t="s">
        <v>38</v>
      </c>
      <c r="B107" s="13" t="s">
        <v>163</v>
      </c>
      <c r="C107" s="26">
        <v>100237</v>
      </c>
      <c r="D107" s="13" t="s">
        <v>163</v>
      </c>
      <c r="E107" s="13">
        <v>231</v>
      </c>
      <c r="F107" s="13" t="s">
        <v>12</v>
      </c>
      <c r="G107" s="9" t="str">
        <f>VLOOKUP(B107,'Property Name List'!A$2:D$834,3,FALSE)</f>
        <v>Courtyard By Marriott Hilton Head Island</v>
      </c>
      <c r="H107" s="15">
        <v>46084</v>
      </c>
      <c r="I107" t="s">
        <v>14</v>
      </c>
      <c r="J107">
        <f>VLOOKUP(E107,'Room Count'!A$2:B$2616,2,FALSE)</f>
        <v>115</v>
      </c>
      <c r="K107" s="19"/>
      <c r="M107" s="19"/>
      <c r="Q107"/>
    </row>
    <row r="108" spans="1:17" ht="17.100000000000001">
      <c r="A108" s="13" t="s">
        <v>37</v>
      </c>
      <c r="B108" s="13" t="s">
        <v>164</v>
      </c>
      <c r="C108" s="26">
        <v>100239</v>
      </c>
      <c r="D108" s="13" t="s">
        <v>164</v>
      </c>
      <c r="E108" s="13">
        <v>232</v>
      </c>
      <c r="F108" s="13" t="s">
        <v>12</v>
      </c>
      <c r="G108" s="9" t="str">
        <f>VLOOKUP(B108,'Property Name List'!A$2:D$834,3,FALSE)</f>
        <v>Courtyard By Marriott Providence Lincoln</v>
      </c>
      <c r="H108" s="15">
        <v>46070</v>
      </c>
      <c r="I108" t="s">
        <v>14</v>
      </c>
      <c r="J108">
        <f>VLOOKUP(E108,'Room Count'!A$2:B$2616,2,FALSE)</f>
        <v>121</v>
      </c>
      <c r="K108" s="19"/>
      <c r="M108" s="19"/>
      <c r="Q108"/>
    </row>
    <row r="109" spans="1:17" ht="17.100000000000001">
      <c r="A109" s="13" t="s">
        <v>37</v>
      </c>
      <c r="B109" s="13" t="s">
        <v>165</v>
      </c>
      <c r="C109" s="26">
        <v>100241</v>
      </c>
      <c r="D109" s="13" t="s">
        <v>165</v>
      </c>
      <c r="E109" s="13">
        <v>233</v>
      </c>
      <c r="F109" s="13" t="s">
        <v>12</v>
      </c>
      <c r="G109" s="9" t="str">
        <f>VLOOKUP(B109,'Property Name List'!A$2:D$834,3,FALSE)</f>
        <v>Fairfield Inn &amp; Suites Ocean City</v>
      </c>
      <c r="H109" s="15">
        <v>46070</v>
      </c>
      <c r="I109" t="s">
        <v>14</v>
      </c>
      <c r="J109">
        <f>VLOOKUP(E109,'Room Count'!A$2:B$2616,2,FALSE)</f>
        <v>108</v>
      </c>
      <c r="K109" s="19"/>
      <c r="M109" s="19"/>
      <c r="Q109"/>
    </row>
    <row r="110" spans="1:17" ht="17.100000000000001">
      <c r="A110" s="13" t="s">
        <v>37</v>
      </c>
      <c r="B110" s="13" t="s">
        <v>166</v>
      </c>
      <c r="C110" s="26">
        <v>100243</v>
      </c>
      <c r="D110" s="13" t="s">
        <v>166</v>
      </c>
      <c r="E110" s="13">
        <v>234</v>
      </c>
      <c r="F110" s="13" t="s">
        <v>12</v>
      </c>
      <c r="G110" s="9" t="str">
        <f>VLOOKUP(B110,'Property Name List'!A$2:D$834,3,FALSE)</f>
        <v>Fairfield by Marriott Inn &amp; Suites Cape Coral/North Fort Myers</v>
      </c>
      <c r="H110" s="15">
        <v>46070</v>
      </c>
      <c r="I110" t="s">
        <v>14</v>
      </c>
      <c r="J110">
        <f>VLOOKUP(E110,'Room Count'!A$2:B$2616,2,FALSE)</f>
        <v>109</v>
      </c>
      <c r="K110" s="19"/>
      <c r="M110" s="19"/>
      <c r="Q110"/>
    </row>
    <row r="111" spans="1:17" ht="17.100000000000001">
      <c r="A111" s="13" t="s">
        <v>37</v>
      </c>
      <c r="B111" s="13" t="s">
        <v>167</v>
      </c>
      <c r="C111" s="26">
        <v>100245</v>
      </c>
      <c r="D111" s="13" t="s">
        <v>167</v>
      </c>
      <c r="E111" s="13">
        <v>235</v>
      </c>
      <c r="F111" s="13" t="s">
        <v>12</v>
      </c>
      <c r="G111" s="9" t="str">
        <f>VLOOKUP(B111,'Property Name List'!A$2:D$834,3,FALSE)</f>
        <v>Fairfield Inn &amp; Suites Youngstown Austintown</v>
      </c>
      <c r="H111" s="15">
        <v>46070</v>
      </c>
      <c r="I111" t="s">
        <v>14</v>
      </c>
      <c r="J111">
        <f>VLOOKUP(E111,'Room Count'!A$2:B$2616,2,FALSE)</f>
        <v>75</v>
      </c>
      <c r="K111" s="19"/>
      <c r="M111" s="19"/>
      <c r="Q111"/>
    </row>
    <row r="112" spans="1:17" ht="17.100000000000001">
      <c r="A112" s="13" t="s">
        <v>38</v>
      </c>
      <c r="B112" s="13" t="s">
        <v>168</v>
      </c>
      <c r="C112" s="26">
        <v>100247</v>
      </c>
      <c r="D112" s="13" t="s">
        <v>168</v>
      </c>
      <c r="E112" s="13">
        <v>236</v>
      </c>
      <c r="F112" s="13" t="s">
        <v>12</v>
      </c>
      <c r="G112" s="9" t="str">
        <f>VLOOKUP(B112,'Property Name List'!A$2:D$834,3,FALSE)</f>
        <v>SpringHill Suites By Marriott Florence</v>
      </c>
      <c r="H112" s="15">
        <v>46084</v>
      </c>
      <c r="I112" t="s">
        <v>14</v>
      </c>
      <c r="J112">
        <f>VLOOKUP(E112,'Room Count'!A$2:B$2616,2,FALSE)</f>
        <v>95</v>
      </c>
      <c r="K112" s="19"/>
      <c r="M112" s="19"/>
      <c r="Q112"/>
    </row>
    <row r="113" spans="1:17" ht="17.100000000000001">
      <c r="A113" s="13" t="s">
        <v>37</v>
      </c>
      <c r="B113" s="13" t="s">
        <v>169</v>
      </c>
      <c r="C113" s="26">
        <v>100249</v>
      </c>
      <c r="D113" s="13" t="s">
        <v>169</v>
      </c>
      <c r="E113" s="13">
        <v>237</v>
      </c>
      <c r="F113" s="13" t="s">
        <v>12</v>
      </c>
      <c r="G113" s="9" t="str">
        <f>VLOOKUP(B113,'Property Name List'!A$2:D$834,3,FALSE)</f>
        <v>SpringHill Suites By Marriott Lynchburg Airport/University Area</v>
      </c>
      <c r="H113" s="15">
        <v>46070</v>
      </c>
      <c r="I113" t="s">
        <v>14</v>
      </c>
      <c r="J113">
        <f>VLOOKUP(E113,'Room Count'!A$2:B$2616,2,FALSE)</f>
        <v>106</v>
      </c>
      <c r="K113" s="19"/>
      <c r="M113" s="19"/>
      <c r="Q113"/>
    </row>
    <row r="114" spans="1:17" ht="17.100000000000001">
      <c r="A114" s="13" t="s">
        <v>37</v>
      </c>
      <c r="B114" s="13" t="s">
        <v>170</v>
      </c>
      <c r="C114" s="26">
        <v>100251</v>
      </c>
      <c r="D114" s="13" t="s">
        <v>170</v>
      </c>
      <c r="E114" s="13">
        <v>238</v>
      </c>
      <c r="F114" s="13" t="s">
        <v>12</v>
      </c>
      <c r="G114" s="9" t="str">
        <f>VLOOKUP(B114,'Property Name List'!A$2:D$834,3,FALSE)</f>
        <v>Fairfield Inn &amp; Suites Morgantown</v>
      </c>
      <c r="H114" s="15">
        <v>46070</v>
      </c>
      <c r="I114" t="s">
        <v>14</v>
      </c>
      <c r="J114">
        <f>VLOOKUP(E114,'Room Count'!A$2:B$2616,2,FALSE)</f>
        <v>95</v>
      </c>
      <c r="K114" s="19"/>
      <c r="M114" s="19"/>
      <c r="Q114"/>
    </row>
    <row r="115" spans="1:17" ht="17.100000000000001">
      <c r="A115" s="13" t="s">
        <v>37</v>
      </c>
      <c r="B115" s="13" t="s">
        <v>171</v>
      </c>
      <c r="C115" s="26">
        <v>100253</v>
      </c>
      <c r="D115" s="13" t="s">
        <v>171</v>
      </c>
      <c r="E115" s="13">
        <v>239</v>
      </c>
      <c r="F115" s="13" t="s">
        <v>12</v>
      </c>
      <c r="G115" s="9" t="str">
        <f>VLOOKUP(B115,'Property Name List'!A$2:D$834,3,FALSE)</f>
        <v>Courtyard By Marriott Kitchener</v>
      </c>
      <c r="H115" s="15">
        <v>46070</v>
      </c>
      <c r="I115" t="s">
        <v>14</v>
      </c>
      <c r="J115">
        <f>VLOOKUP(E115,'Room Count'!A$2:B$2616,2,FALSE)</f>
        <v>172</v>
      </c>
      <c r="K115" s="19"/>
      <c r="M115" s="19"/>
      <c r="Q115"/>
    </row>
    <row r="116" spans="1:17" ht="17.100000000000001">
      <c r="A116" s="13" t="s">
        <v>38</v>
      </c>
      <c r="B116" s="13" t="s">
        <v>172</v>
      </c>
      <c r="C116" s="26">
        <v>100255</v>
      </c>
      <c r="D116" s="13" t="s">
        <v>172</v>
      </c>
      <c r="E116" s="13">
        <v>240</v>
      </c>
      <c r="F116" s="13" t="s">
        <v>12</v>
      </c>
      <c r="G116" s="9" t="str">
        <f>VLOOKUP(B116,'Property Name List'!A$2:D$834,3,FALSE)</f>
        <v>Fairfield Inn &amp; Suites Baltimore White Marsh</v>
      </c>
      <c r="H116" s="15">
        <v>46084</v>
      </c>
      <c r="I116" t="s">
        <v>14</v>
      </c>
      <c r="J116">
        <f>VLOOKUP(E116,'Room Count'!A$2:B$2616,2,FALSE)</f>
        <v>116</v>
      </c>
      <c r="K116" s="19"/>
      <c r="M116" s="19"/>
      <c r="Q116"/>
    </row>
    <row r="117" spans="1:17" ht="17.100000000000001">
      <c r="A117" s="13" t="s">
        <v>38</v>
      </c>
      <c r="B117" s="13" t="s">
        <v>173</v>
      </c>
      <c r="C117" s="26">
        <v>100257</v>
      </c>
      <c r="D117" s="13" t="s">
        <v>173</v>
      </c>
      <c r="E117" s="13">
        <v>241</v>
      </c>
      <c r="F117" s="13" t="s">
        <v>12</v>
      </c>
      <c r="G117" s="9" t="str">
        <f>VLOOKUP(B117,'Property Name List'!A$2:D$834,3,FALSE)</f>
        <v>Courtyard By Marriott Hickory</v>
      </c>
      <c r="H117" s="15">
        <v>46084</v>
      </c>
      <c r="I117" t="s">
        <v>14</v>
      </c>
      <c r="J117">
        <f>VLOOKUP(E117,'Room Count'!A$2:B$2616,2,FALSE)</f>
        <v>140</v>
      </c>
      <c r="K117" s="19"/>
      <c r="M117" s="19"/>
      <c r="Q117"/>
    </row>
    <row r="118" spans="1:17" ht="17.100000000000001">
      <c r="A118" s="13" t="s">
        <v>38</v>
      </c>
      <c r="B118" s="13" t="s">
        <v>174</v>
      </c>
      <c r="C118" s="26">
        <v>100259</v>
      </c>
      <c r="D118" s="13" t="s">
        <v>174</v>
      </c>
      <c r="E118" s="13">
        <v>242</v>
      </c>
      <c r="F118" s="13" t="s">
        <v>12</v>
      </c>
      <c r="G118" s="9" t="str">
        <f>VLOOKUP(B118,'Property Name List'!A$2:D$834,3,FALSE)</f>
        <v>Fairfield by Marriott Inn &amp; Suites Wallingford New Haven</v>
      </c>
      <c r="H118" s="15">
        <v>46084</v>
      </c>
      <c r="I118" t="s">
        <v>14</v>
      </c>
      <c r="J118">
        <f>VLOOKUP(E118,'Room Count'!A$2:B$2616,2,FALSE)</f>
        <v>116</v>
      </c>
      <c r="K118" s="19"/>
      <c r="M118" s="19"/>
      <c r="Q118"/>
    </row>
    <row r="119" spans="1:17" ht="17.100000000000001">
      <c r="A119" s="13" t="s">
        <v>37</v>
      </c>
      <c r="B119" s="13" t="s">
        <v>175</v>
      </c>
      <c r="C119" s="26">
        <v>100261</v>
      </c>
      <c r="D119" s="13" t="s">
        <v>175</v>
      </c>
      <c r="E119" s="13">
        <v>243</v>
      </c>
      <c r="F119" s="13" t="s">
        <v>12</v>
      </c>
      <c r="G119" s="9" t="str">
        <f>VLOOKUP(B119,'Property Name List'!A$2:D$834,3,FALSE)</f>
        <v>Fairfield by Marriott Inn &amp; Suites Orlando at Millenia</v>
      </c>
      <c r="H119" s="15">
        <v>46070</v>
      </c>
      <c r="I119" t="s">
        <v>14</v>
      </c>
      <c r="J119">
        <f>VLOOKUP(E119,'Room Count'!A$2:B$2616,2,FALSE)</f>
        <v>109</v>
      </c>
      <c r="K119" s="19"/>
      <c r="M119" s="19"/>
      <c r="Q119"/>
    </row>
    <row r="120" spans="1:17" ht="17.100000000000001">
      <c r="A120" s="13" t="s">
        <v>38</v>
      </c>
      <c r="B120" s="13" t="s">
        <v>176</v>
      </c>
      <c r="C120" s="26">
        <v>100263</v>
      </c>
      <c r="D120" s="13" t="s">
        <v>176</v>
      </c>
      <c r="E120" s="13">
        <v>244</v>
      </c>
      <c r="F120" s="13" t="s">
        <v>12</v>
      </c>
      <c r="G120" s="9" t="str">
        <f>VLOOKUP(B120,'Property Name List'!A$2:D$834,3,FALSE)</f>
        <v>Fairfield Inn &amp; Suites Cherokee</v>
      </c>
      <c r="H120" s="15">
        <v>46084</v>
      </c>
      <c r="I120" t="s">
        <v>14</v>
      </c>
      <c r="J120">
        <f>VLOOKUP(E120,'Room Count'!A$2:B$2616,2,FALSE)</f>
        <v>100</v>
      </c>
      <c r="K120" s="19"/>
      <c r="M120" s="19"/>
      <c r="Q120"/>
    </row>
    <row r="121" spans="1:17" ht="17.100000000000001">
      <c r="A121" s="13" t="s">
        <v>37</v>
      </c>
      <c r="B121" s="13" t="s">
        <v>177</v>
      </c>
      <c r="C121" s="26">
        <v>100265</v>
      </c>
      <c r="D121" s="13" t="s">
        <v>177</v>
      </c>
      <c r="E121" s="13">
        <v>245</v>
      </c>
      <c r="F121" s="13" t="s">
        <v>12</v>
      </c>
      <c r="G121" s="9" t="str">
        <f>VLOOKUP(B121,'Property Name List'!A$2:D$834,3,FALSE)</f>
        <v>Fairfield Inn &amp; Suites Stony Creek</v>
      </c>
      <c r="H121" s="15">
        <v>46070</v>
      </c>
      <c r="I121" t="s">
        <v>14</v>
      </c>
      <c r="J121">
        <f>VLOOKUP(E121,'Room Count'!A$2:B$2616,2,FALSE)</f>
        <v>77</v>
      </c>
      <c r="K121" s="19"/>
      <c r="M121" s="19"/>
      <c r="Q121"/>
    </row>
    <row r="122" spans="1:17" ht="17.100000000000001">
      <c r="A122" s="13" t="s">
        <v>37</v>
      </c>
      <c r="B122" s="13" t="s">
        <v>178</v>
      </c>
      <c r="C122" s="26">
        <v>100267</v>
      </c>
      <c r="D122" s="13" t="s">
        <v>178</v>
      </c>
      <c r="E122" s="13">
        <v>246</v>
      </c>
      <c r="F122" s="13" t="s">
        <v>12</v>
      </c>
      <c r="G122" s="9" t="str">
        <f>VLOOKUP(B122,'Property Name List'!A$2:D$834,3,FALSE)</f>
        <v>Fairfield by Marriott Inn &amp; Suites Portland Maine Airport</v>
      </c>
      <c r="H122" s="15">
        <v>46070</v>
      </c>
      <c r="I122" t="s">
        <v>14</v>
      </c>
      <c r="J122">
        <f>VLOOKUP(E122,'Room Count'!A$2:B$2616,2,FALSE)</f>
        <v>116</v>
      </c>
      <c r="K122" s="19"/>
      <c r="M122" s="19"/>
      <c r="Q122"/>
    </row>
    <row r="123" spans="1:17" ht="17.100000000000001">
      <c r="A123" s="13" t="s">
        <v>37</v>
      </c>
      <c r="B123" s="13" t="s">
        <v>179</v>
      </c>
      <c r="C123" s="26">
        <v>100269</v>
      </c>
      <c r="D123" s="13" t="s">
        <v>179</v>
      </c>
      <c r="E123" s="13">
        <v>247</v>
      </c>
      <c r="F123" s="13" t="s">
        <v>12</v>
      </c>
      <c r="G123" s="9" t="str">
        <f>VLOOKUP(B123,'Property Name List'!A$2:D$834,3,FALSE)</f>
        <v>Fairfield Inn &amp; Suites Tampa North</v>
      </c>
      <c r="H123" s="15">
        <v>46070</v>
      </c>
      <c r="I123" t="s">
        <v>14</v>
      </c>
      <c r="J123">
        <f>VLOOKUP(E123,'Room Count'!A$2:B$2616,2,FALSE)</f>
        <v>82</v>
      </c>
      <c r="K123" s="19"/>
      <c r="M123" s="19"/>
      <c r="Q123"/>
    </row>
    <row r="124" spans="1:17" ht="17.100000000000001">
      <c r="A124" s="13" t="s">
        <v>37</v>
      </c>
      <c r="B124" s="13" t="s">
        <v>180</v>
      </c>
      <c r="C124" s="26">
        <v>100271</v>
      </c>
      <c r="D124" s="13" t="s">
        <v>180</v>
      </c>
      <c r="E124" s="13">
        <v>248</v>
      </c>
      <c r="F124" s="13" t="s">
        <v>12</v>
      </c>
      <c r="G124" s="9" t="str">
        <f>VLOOKUP(B124,'Property Name List'!A$2:D$834,3,FALSE)</f>
        <v>SpringHill Suites By Marriott Toronto Vaughan</v>
      </c>
      <c r="H124" s="15">
        <v>46070</v>
      </c>
      <c r="I124" t="s">
        <v>14</v>
      </c>
      <c r="J124">
        <f>VLOOKUP(E124,'Room Count'!A$2:B$2616,2,FALSE)</f>
        <v>175</v>
      </c>
      <c r="K124" s="19"/>
      <c r="M124" s="19"/>
      <c r="Q124"/>
    </row>
    <row r="125" spans="1:17" ht="17.100000000000001">
      <c r="A125" s="13" t="s">
        <v>38</v>
      </c>
      <c r="B125" s="13" t="s">
        <v>181</v>
      </c>
      <c r="C125" s="26">
        <v>100273</v>
      </c>
      <c r="D125" s="13" t="s">
        <v>181</v>
      </c>
      <c r="E125" s="13">
        <v>249</v>
      </c>
      <c r="F125" s="13" t="s">
        <v>12</v>
      </c>
      <c r="G125" s="9" t="str">
        <f>VLOOKUP(B125,'Property Name List'!A$2:D$834,3,FALSE)</f>
        <v>Fairfield Inn &amp; Suites Asheville Tunnel Road</v>
      </c>
      <c r="H125" s="15">
        <v>46084</v>
      </c>
      <c r="I125" t="s">
        <v>14</v>
      </c>
      <c r="J125">
        <f>VLOOKUP(E125,'Room Count'!A$2:B$2616,2,FALSE)</f>
        <v>80</v>
      </c>
      <c r="K125" s="19"/>
      <c r="M125" s="19"/>
      <c r="Q125"/>
    </row>
    <row r="126" spans="1:17" ht="17.100000000000001">
      <c r="A126" s="13" t="s">
        <v>38</v>
      </c>
      <c r="B126" s="13" t="s">
        <v>182</v>
      </c>
      <c r="C126" s="26">
        <v>100275</v>
      </c>
      <c r="D126" s="13" t="s">
        <v>182</v>
      </c>
      <c r="E126" s="13">
        <v>250</v>
      </c>
      <c r="F126" s="13" t="s">
        <v>12</v>
      </c>
      <c r="G126" s="9" t="str">
        <f>VLOOKUP(B126,'Property Name List'!A$2:D$834,3,FALSE)</f>
        <v>Courtyard By Marriott Holland Downtown</v>
      </c>
      <c r="H126" s="15">
        <v>46084</v>
      </c>
      <c r="I126" t="s">
        <v>14</v>
      </c>
      <c r="J126">
        <f>VLOOKUP(E126,'Room Count'!A$2:B$2616,2,FALSE)</f>
        <v>140</v>
      </c>
      <c r="K126" s="19"/>
      <c r="M126" s="19"/>
      <c r="Q126"/>
    </row>
    <row r="127" spans="1:17" ht="17.100000000000001">
      <c r="A127" s="13" t="s">
        <v>37</v>
      </c>
      <c r="B127" s="13" t="s">
        <v>183</v>
      </c>
      <c r="C127" s="26">
        <v>100277</v>
      </c>
      <c r="D127" s="13" t="s">
        <v>183</v>
      </c>
      <c r="E127" s="13">
        <v>251</v>
      </c>
      <c r="F127" s="13" t="s">
        <v>12</v>
      </c>
      <c r="G127" s="9" t="str">
        <f>VLOOKUP(B127,'Property Name List'!A$2:D$834,3,FALSE)</f>
        <v>AC Hotel Durham</v>
      </c>
      <c r="H127" s="15">
        <v>46070</v>
      </c>
      <c r="I127" t="s">
        <v>14</v>
      </c>
      <c r="J127">
        <f>VLOOKUP(E127,'Room Count'!A$2:B$2616,2,FALSE)</f>
        <v>142</v>
      </c>
      <c r="K127" s="19"/>
      <c r="M127" s="19"/>
      <c r="Q127"/>
    </row>
    <row r="128" spans="1:17" ht="17.100000000000001">
      <c r="A128" s="13" t="s">
        <v>37</v>
      </c>
      <c r="B128" s="13" t="s">
        <v>184</v>
      </c>
      <c r="C128" s="26">
        <v>100279</v>
      </c>
      <c r="D128" s="13" t="s">
        <v>184</v>
      </c>
      <c r="E128" s="13">
        <v>252</v>
      </c>
      <c r="F128" s="13" t="s">
        <v>12</v>
      </c>
      <c r="G128" s="9" t="str">
        <f>VLOOKUP(B128,'Property Name List'!A$2:D$834,3,FALSE)</f>
        <v>Fairfield Inn &amp; Suites Clearwater</v>
      </c>
      <c r="H128" s="15">
        <v>46070</v>
      </c>
      <c r="I128" t="s">
        <v>14</v>
      </c>
      <c r="J128">
        <f>VLOOKUP(E128,'Room Count'!A$2:B$2616,2,FALSE)</f>
        <v>127</v>
      </c>
      <c r="K128" s="19"/>
      <c r="M128" s="19"/>
      <c r="Q128"/>
    </row>
    <row r="129" spans="1:17" ht="17.100000000000001" hidden="1">
      <c r="A129" s="13" t="s">
        <v>42</v>
      </c>
      <c r="B129" s="13" t="s">
        <v>185</v>
      </c>
      <c r="C129" s="26">
        <v>100281</v>
      </c>
      <c r="D129" s="13" t="s">
        <v>185</v>
      </c>
      <c r="E129" s="13">
        <v>253</v>
      </c>
      <c r="F129" s="13" t="s">
        <v>12</v>
      </c>
      <c r="G129" s="9" t="str">
        <f>VLOOKUP(B129,'Property Name List'!A$2:D$834,3,FALSE)</f>
        <v>SpringHill Suites by Marriott Beaufort</v>
      </c>
      <c r="H129" s="15" t="s">
        <v>42</v>
      </c>
      <c r="I129" t="s">
        <v>14</v>
      </c>
      <c r="J129">
        <f>VLOOKUP(E129,'Room Count'!A$2:B$2616,2,FALSE)</f>
        <v>111</v>
      </c>
      <c r="K129" s="19"/>
      <c r="M129" s="19"/>
      <c r="Q129"/>
    </row>
    <row r="130" spans="1:17" ht="17.100000000000001">
      <c r="A130" s="13" t="s">
        <v>37</v>
      </c>
      <c r="B130" s="13" t="s">
        <v>186</v>
      </c>
      <c r="C130" s="26">
        <v>100283</v>
      </c>
      <c r="D130" s="13" t="s">
        <v>186</v>
      </c>
      <c r="E130" s="13">
        <v>254</v>
      </c>
      <c r="F130" s="13" t="s">
        <v>12</v>
      </c>
      <c r="G130" s="9" t="str">
        <f>VLOOKUP(B130,'Property Name List'!A$2:D$834,3,FALSE)</f>
        <v>Courtyard By Marriott Rochester Downtown</v>
      </c>
      <c r="H130" s="15">
        <v>46070</v>
      </c>
      <c r="I130" t="s">
        <v>14</v>
      </c>
      <c r="J130">
        <f>VLOOKUP(E130,'Room Count'!A$2:B$2616,2,FALSE)</f>
        <v>126</v>
      </c>
      <c r="K130" s="19"/>
      <c r="M130" s="19"/>
      <c r="Q130"/>
    </row>
    <row r="131" spans="1:17" ht="17.100000000000001">
      <c r="A131" s="13" t="s">
        <v>38</v>
      </c>
      <c r="B131" s="13" t="s">
        <v>187</v>
      </c>
      <c r="C131" s="26">
        <v>100285</v>
      </c>
      <c r="D131" s="13" t="s">
        <v>187</v>
      </c>
      <c r="E131" s="13">
        <v>255</v>
      </c>
      <c r="F131" s="13" t="s">
        <v>12</v>
      </c>
      <c r="G131" s="9" t="str">
        <f>VLOOKUP(B131,'Property Name List'!A$2:D$834,3,FALSE)</f>
        <v>Courtyard By Marriott Hershey Chocolate Avenue</v>
      </c>
      <c r="H131" s="15">
        <v>46084</v>
      </c>
      <c r="I131" t="s">
        <v>14</v>
      </c>
      <c r="J131">
        <f>VLOOKUP(E131,'Room Count'!A$2:B$2616,2,FALSE)</f>
        <v>120</v>
      </c>
      <c r="K131" s="19"/>
      <c r="M131" s="19"/>
      <c r="Q131"/>
    </row>
    <row r="132" spans="1:17" ht="17.100000000000001">
      <c r="A132" s="13" t="s">
        <v>38</v>
      </c>
      <c r="B132" s="13" t="s">
        <v>188</v>
      </c>
      <c r="C132" s="26">
        <v>100287</v>
      </c>
      <c r="D132" s="13" t="s">
        <v>188</v>
      </c>
      <c r="E132" s="13">
        <v>256</v>
      </c>
      <c r="F132" s="13" t="s">
        <v>12</v>
      </c>
      <c r="G132" s="9" t="str">
        <f>VLOOKUP(B132,'Property Name List'!A$2:D$834,3,FALSE)</f>
        <v>Moxy Columbus Short North</v>
      </c>
      <c r="H132" s="15">
        <v>46084</v>
      </c>
      <c r="I132" t="s">
        <v>14</v>
      </c>
      <c r="J132">
        <f>VLOOKUP(E132,'Room Count'!A$2:B$2616,2,FALSE)</f>
        <v>116</v>
      </c>
      <c r="K132" s="19"/>
      <c r="M132" s="19"/>
      <c r="Q132"/>
    </row>
    <row r="133" spans="1:17" ht="17.100000000000001">
      <c r="A133" s="13" t="s">
        <v>37</v>
      </c>
      <c r="B133" s="13" t="s">
        <v>189</v>
      </c>
      <c r="C133" s="26">
        <v>100289</v>
      </c>
      <c r="D133" s="13" t="s">
        <v>189</v>
      </c>
      <c r="E133" s="13">
        <v>257</v>
      </c>
      <c r="F133" s="13" t="s">
        <v>12</v>
      </c>
      <c r="G133" s="9" t="str">
        <f>VLOOKUP(B133,'Property Name List'!A$2:D$834,3,FALSE)</f>
        <v>Courtyard By Marriott Pittsburgh Monroeville</v>
      </c>
      <c r="H133" s="15">
        <v>46070</v>
      </c>
      <c r="I133" t="s">
        <v>14</v>
      </c>
      <c r="J133">
        <f>VLOOKUP(E133,'Room Count'!A$2:B$2616,2,FALSE)</f>
        <v>98</v>
      </c>
      <c r="K133" s="19"/>
      <c r="M133" s="19"/>
      <c r="Q133"/>
    </row>
    <row r="134" spans="1:17" ht="17.100000000000001">
      <c r="A134" s="13" t="s">
        <v>38</v>
      </c>
      <c r="B134" s="13" t="s">
        <v>190</v>
      </c>
      <c r="C134" s="26">
        <v>100291</v>
      </c>
      <c r="D134" s="13" t="s">
        <v>190</v>
      </c>
      <c r="E134" s="13">
        <v>258</v>
      </c>
      <c r="F134" s="13" t="s">
        <v>12</v>
      </c>
      <c r="G134" s="9" t="str">
        <f>VLOOKUP(B134,'Property Name List'!A$2:D$834,3,FALSE)</f>
        <v>SpringHill Suites By Marriott Erie</v>
      </c>
      <c r="H134" s="15">
        <v>46084</v>
      </c>
      <c r="I134" t="s">
        <v>14</v>
      </c>
      <c r="J134">
        <f>VLOOKUP(E134,'Room Count'!A$2:B$2616,2,FALSE)</f>
        <v>117</v>
      </c>
      <c r="K134" s="19"/>
      <c r="M134" s="19"/>
      <c r="Q134"/>
    </row>
    <row r="135" spans="1:17" ht="17.100000000000001">
      <c r="A135" s="13" t="s">
        <v>38</v>
      </c>
      <c r="B135" s="13" t="s">
        <v>191</v>
      </c>
      <c r="C135" s="26">
        <v>100293</v>
      </c>
      <c r="D135" s="13" t="s">
        <v>191</v>
      </c>
      <c r="E135" s="13">
        <v>259</v>
      </c>
      <c r="F135" s="13" t="s">
        <v>12</v>
      </c>
      <c r="G135" s="9" t="str">
        <f>VLOOKUP(B135,'Property Name List'!A$2:D$834,3,FALSE)</f>
        <v>Fairfield Inn &amp; Suites Cincinnati Eastgate</v>
      </c>
      <c r="H135" s="15">
        <v>46084</v>
      </c>
      <c r="I135" t="s">
        <v>14</v>
      </c>
      <c r="J135">
        <f>VLOOKUP(E135,'Room Count'!A$2:B$2616,2,FALSE)</f>
        <v>78</v>
      </c>
      <c r="K135" s="19"/>
      <c r="M135" s="19"/>
      <c r="Q135"/>
    </row>
    <row r="136" spans="1:17" ht="17.100000000000001">
      <c r="A136" s="13" t="s">
        <v>37</v>
      </c>
      <c r="B136" s="13" t="s">
        <v>192</v>
      </c>
      <c r="C136" s="26">
        <v>100295</v>
      </c>
      <c r="D136" s="13" t="s">
        <v>192</v>
      </c>
      <c r="E136" s="13">
        <v>260</v>
      </c>
      <c r="F136" s="13" t="s">
        <v>12</v>
      </c>
      <c r="G136" s="9" t="str">
        <f>VLOOKUP(B136,'Property Name List'!A$2:D$834,3,FALSE)</f>
        <v>Fairfield Inn &amp; Suites Delray Beach I-95</v>
      </c>
      <c r="H136" s="15">
        <v>46070</v>
      </c>
      <c r="I136" t="s">
        <v>14</v>
      </c>
      <c r="J136">
        <f>VLOOKUP(E136,'Room Count'!A$2:B$2616,2,FALSE)</f>
        <v>95</v>
      </c>
      <c r="K136" s="19"/>
      <c r="M136" s="19"/>
      <c r="Q136"/>
    </row>
    <row r="137" spans="1:17" ht="17.100000000000001">
      <c r="A137" s="13" t="s">
        <v>38</v>
      </c>
      <c r="B137" s="13" t="s">
        <v>193</v>
      </c>
      <c r="C137" s="26">
        <v>100297</v>
      </c>
      <c r="D137" s="13" t="s">
        <v>193</v>
      </c>
      <c r="E137" s="13">
        <v>261</v>
      </c>
      <c r="F137" s="13" t="s">
        <v>12</v>
      </c>
      <c r="G137" s="9" t="str">
        <f>VLOOKUP(B137,'Property Name List'!A$2:D$834,3,FALSE)</f>
        <v>Fairfield by Marriott Inn &amp; Suites Newport Cincinnati</v>
      </c>
      <c r="H137" s="15">
        <v>46084</v>
      </c>
      <c r="I137" t="s">
        <v>14</v>
      </c>
      <c r="J137">
        <f>VLOOKUP(E137,'Room Count'!A$2:B$2616,2,FALSE)</f>
        <v>125</v>
      </c>
      <c r="K137" s="19"/>
      <c r="M137" s="19"/>
      <c r="Q137"/>
    </row>
    <row r="138" spans="1:17" ht="17.100000000000001">
      <c r="A138" s="13" t="s">
        <v>37</v>
      </c>
      <c r="B138" s="13" t="s">
        <v>194</v>
      </c>
      <c r="C138" s="26" t="s">
        <v>195</v>
      </c>
      <c r="D138" s="13" t="s">
        <v>194</v>
      </c>
      <c r="E138" s="13">
        <v>262</v>
      </c>
      <c r="F138" s="13" t="s">
        <v>12</v>
      </c>
      <c r="G138" s="9" t="str">
        <f>VLOOKUP(B138,'Property Name List'!A$2:D$834,3,FALSE)</f>
        <v>AC Hotel Chapel Hill Downtown</v>
      </c>
      <c r="H138" s="15">
        <v>46070</v>
      </c>
      <c r="I138" t="s">
        <v>14</v>
      </c>
      <c r="J138">
        <f>VLOOKUP(E138,'Room Count'!A$2:B$2616,2,FALSE)</f>
        <v>123</v>
      </c>
      <c r="K138" s="19"/>
      <c r="M138" s="19"/>
      <c r="Q138"/>
    </row>
    <row r="139" spans="1:17" ht="17.100000000000001">
      <c r="A139" s="13" t="s">
        <v>37</v>
      </c>
      <c r="B139" s="13" t="s">
        <v>196</v>
      </c>
      <c r="C139" s="26">
        <v>100301</v>
      </c>
      <c r="D139" s="13" t="s">
        <v>196</v>
      </c>
      <c r="E139" s="13">
        <v>263</v>
      </c>
      <c r="F139" s="13" t="s">
        <v>12</v>
      </c>
      <c r="G139" s="9" t="str">
        <f>VLOOKUP(B139,'Property Name List'!A$2:D$834,3,FALSE)</f>
        <v>Fairfield by Marriott Inn &amp; Suites Plymouth White Mountains</v>
      </c>
      <c r="H139" s="15">
        <v>46070</v>
      </c>
      <c r="I139" t="s">
        <v>14</v>
      </c>
      <c r="J139">
        <f>VLOOKUP(E139,'Room Count'!A$2:B$2616,2,FALSE)</f>
        <v>85</v>
      </c>
      <c r="K139" s="19"/>
      <c r="M139" s="19"/>
      <c r="Q139"/>
    </row>
    <row r="140" spans="1:17" ht="17.100000000000001">
      <c r="A140" s="13" t="s">
        <v>38</v>
      </c>
      <c r="B140" s="13" t="s">
        <v>197</v>
      </c>
      <c r="C140" s="26">
        <v>100303</v>
      </c>
      <c r="D140" s="13" t="s">
        <v>197</v>
      </c>
      <c r="E140" s="13">
        <v>264</v>
      </c>
      <c r="F140" s="13" t="s">
        <v>12</v>
      </c>
      <c r="G140" s="9" t="str">
        <f>VLOOKUP(B140,'Property Name List'!A$2:D$834,3,FALSE)</f>
        <v>SpringHill Suites By Marriott Hershey Near the Park</v>
      </c>
      <c r="H140" s="15">
        <v>46084</v>
      </c>
      <c r="I140" t="s">
        <v>14</v>
      </c>
      <c r="J140">
        <f>VLOOKUP(E140,'Room Count'!A$2:B$2616,2,FALSE)</f>
        <v>80</v>
      </c>
      <c r="K140" s="19"/>
      <c r="M140" s="19"/>
      <c r="Q140"/>
    </row>
    <row r="141" spans="1:17" ht="17.100000000000001">
      <c r="A141" s="13" t="s">
        <v>37</v>
      </c>
      <c r="B141" s="13" t="s">
        <v>198</v>
      </c>
      <c r="C141" s="26">
        <v>100305</v>
      </c>
      <c r="D141" s="13" t="s">
        <v>198</v>
      </c>
      <c r="E141" s="13">
        <v>265</v>
      </c>
      <c r="F141" s="13" t="s">
        <v>12</v>
      </c>
      <c r="G141" s="9" t="str">
        <f>VLOOKUP(B141,'Property Name List'!A$2:D$834,3,FALSE)</f>
        <v>Fairfield Inn &amp; Suites Wheeling-St. Clairsville, OH</v>
      </c>
      <c r="H141" s="15">
        <v>46070</v>
      </c>
      <c r="I141" t="s">
        <v>14</v>
      </c>
      <c r="J141">
        <f>VLOOKUP(E141,'Room Count'!A$2:B$2616,2,FALSE)</f>
        <v>66</v>
      </c>
      <c r="K141" s="19"/>
      <c r="M141" s="19"/>
      <c r="Q141"/>
    </row>
    <row r="142" spans="1:17" ht="17.100000000000001">
      <c r="A142" s="13" t="s">
        <v>37</v>
      </c>
      <c r="B142" s="13" t="s">
        <v>199</v>
      </c>
      <c r="C142" s="26">
        <v>100307</v>
      </c>
      <c r="D142" s="13" t="s">
        <v>199</v>
      </c>
      <c r="E142" s="13">
        <v>266</v>
      </c>
      <c r="F142" s="13" t="s">
        <v>12</v>
      </c>
      <c r="G142" s="9" t="str">
        <f>VLOOKUP(B142,'Property Name List'!A$2:D$834,3,FALSE)</f>
        <v>Courtyard By Marriott Springfield</v>
      </c>
      <c r="H142" s="15">
        <v>46070</v>
      </c>
      <c r="I142" t="s">
        <v>14</v>
      </c>
      <c r="J142">
        <f>VLOOKUP(E142,'Room Count'!A$2:B$2616,2,FALSE)</f>
        <v>191</v>
      </c>
      <c r="K142" s="19"/>
      <c r="M142" s="19"/>
      <c r="Q142"/>
    </row>
    <row r="143" spans="1:17" ht="17.100000000000001">
      <c r="A143" s="13" t="s">
        <v>38</v>
      </c>
      <c r="B143" s="13" t="s">
        <v>200</v>
      </c>
      <c r="C143" s="26">
        <v>100309</v>
      </c>
      <c r="D143" s="13" t="s">
        <v>200</v>
      </c>
      <c r="E143" s="13">
        <v>267</v>
      </c>
      <c r="F143" s="13" t="s">
        <v>12</v>
      </c>
      <c r="G143" s="9" t="str">
        <f>VLOOKUP(B143,'Property Name List'!A$2:D$834,3,FALSE)</f>
        <v>Courtyard By Marriott Fort Lauderdale SW/Miramar</v>
      </c>
      <c r="H143" s="15">
        <v>46084</v>
      </c>
      <c r="I143" t="s">
        <v>14</v>
      </c>
      <c r="J143">
        <f>VLOOKUP(E143,'Room Count'!A$2:B$2616,2,FALSE)</f>
        <v>128</v>
      </c>
      <c r="K143" s="19"/>
      <c r="M143" s="19"/>
      <c r="Q143"/>
    </row>
    <row r="144" spans="1:17" ht="17.100000000000001">
      <c r="A144" s="13" t="s">
        <v>37</v>
      </c>
      <c r="B144" s="13" t="s">
        <v>201</v>
      </c>
      <c r="C144" s="26">
        <v>100311</v>
      </c>
      <c r="D144" s="13" t="s">
        <v>201</v>
      </c>
      <c r="E144" s="13">
        <v>268</v>
      </c>
      <c r="F144" s="13" t="s">
        <v>12</v>
      </c>
      <c r="G144" s="9" t="str">
        <f>VLOOKUP(B144,'Property Name List'!A$2:D$834,3,FALSE)</f>
        <v>Fairfield by Marriott Inn &amp; Suites Melbourne West/Palm Bay</v>
      </c>
      <c r="H144" s="15">
        <v>46070</v>
      </c>
      <c r="I144" t="s">
        <v>14</v>
      </c>
      <c r="J144">
        <f>VLOOKUP(E144,'Room Count'!A$2:B$2616,2,FALSE)</f>
        <v>83</v>
      </c>
      <c r="K144" s="19"/>
      <c r="M144" s="19"/>
      <c r="Q144"/>
    </row>
    <row r="145" spans="1:17" ht="17.100000000000001">
      <c r="A145" s="13" t="s">
        <v>37</v>
      </c>
      <c r="B145" s="13" t="s">
        <v>202</v>
      </c>
      <c r="C145" s="26">
        <v>100313</v>
      </c>
      <c r="D145" s="13" t="s">
        <v>202</v>
      </c>
      <c r="E145" s="13">
        <v>269</v>
      </c>
      <c r="F145" s="13" t="s">
        <v>12</v>
      </c>
      <c r="G145" s="9" t="str">
        <f>VLOOKUP(B145,'Property Name List'!A$2:D$834,3,FALSE)</f>
        <v>Fairfield by Marriott Inn &amp; Suites Goshen Middletown</v>
      </c>
      <c r="H145" s="15">
        <v>46070</v>
      </c>
      <c r="I145" t="s">
        <v>14</v>
      </c>
      <c r="J145">
        <f>VLOOKUP(E145,'Room Count'!A$2:B$2616,2,FALSE)</f>
        <v>96</v>
      </c>
      <c r="K145" s="19"/>
      <c r="M145" s="19"/>
      <c r="Q145"/>
    </row>
    <row r="146" spans="1:17" ht="17.100000000000001">
      <c r="A146" s="13" t="s">
        <v>38</v>
      </c>
      <c r="B146" s="13" t="s">
        <v>203</v>
      </c>
      <c r="C146" s="26">
        <v>100315</v>
      </c>
      <c r="D146" s="13" t="s">
        <v>203</v>
      </c>
      <c r="E146" s="13">
        <v>270</v>
      </c>
      <c r="F146" s="13" t="s">
        <v>12</v>
      </c>
      <c r="G146" s="9" t="str">
        <f>VLOOKUP(B146,'Property Name List'!A$2:D$834,3,FALSE)</f>
        <v>SpringHill Suites by Marriott Charlotte City Center</v>
      </c>
      <c r="H146" s="15">
        <v>46084</v>
      </c>
      <c r="I146" t="s">
        <v>14</v>
      </c>
      <c r="J146">
        <f>VLOOKUP(E146,'Room Count'!A$2:B$2616,2,FALSE)</f>
        <v>195</v>
      </c>
      <c r="K146" s="19"/>
      <c r="M146" s="19"/>
      <c r="Q146"/>
    </row>
    <row r="147" spans="1:17" ht="17.100000000000001">
      <c r="A147" s="13" t="s">
        <v>38</v>
      </c>
      <c r="B147" s="13" t="s">
        <v>204</v>
      </c>
      <c r="C147" s="26">
        <v>100317</v>
      </c>
      <c r="D147" s="13" t="s">
        <v>204</v>
      </c>
      <c r="E147" s="13">
        <v>271</v>
      </c>
      <c r="F147" s="13" t="s">
        <v>12</v>
      </c>
      <c r="G147" s="9" t="str">
        <f>VLOOKUP(B147,'Property Name List'!A$2:D$834,3,FALSE)</f>
        <v>Fairfield by Marriott Inn &amp; Suites Rome</v>
      </c>
      <c r="H147" s="15">
        <v>46084</v>
      </c>
      <c r="I147" t="s">
        <v>14</v>
      </c>
      <c r="J147">
        <f>VLOOKUP(E147,'Room Count'!A$2:B$2616,2,FALSE)</f>
        <v>81</v>
      </c>
      <c r="K147" s="19"/>
      <c r="M147" s="19"/>
      <c r="Q147"/>
    </row>
    <row r="148" spans="1:17" ht="17.100000000000001">
      <c r="A148" s="13" t="s">
        <v>38</v>
      </c>
      <c r="B148" s="13" t="s">
        <v>205</v>
      </c>
      <c r="C148" s="26">
        <v>100319</v>
      </c>
      <c r="D148" s="13" t="s">
        <v>205</v>
      </c>
      <c r="E148" s="13">
        <v>272</v>
      </c>
      <c r="F148" s="13" t="s">
        <v>12</v>
      </c>
      <c r="G148" s="9" t="str">
        <f>VLOOKUP(B148,'Property Name List'!A$2:D$834,3,FALSE)</f>
        <v>SpringHill Suites By Marriott Charlotte Concord Mills/Speedway</v>
      </c>
      <c r="H148" s="15">
        <v>46084</v>
      </c>
      <c r="I148" t="s">
        <v>14</v>
      </c>
      <c r="J148">
        <f>VLOOKUP(E148,'Room Count'!A$2:B$2616,2,FALSE)</f>
        <v>95</v>
      </c>
      <c r="K148" s="19"/>
      <c r="M148" s="19"/>
      <c r="Q148"/>
    </row>
    <row r="149" spans="1:17" ht="17.100000000000001">
      <c r="A149" s="13" t="s">
        <v>38</v>
      </c>
      <c r="B149" s="13" t="s">
        <v>206</v>
      </c>
      <c r="C149" s="26">
        <v>100321</v>
      </c>
      <c r="D149" s="13" t="s">
        <v>206</v>
      </c>
      <c r="E149" s="13">
        <v>273</v>
      </c>
      <c r="F149" s="13" t="s">
        <v>12</v>
      </c>
      <c r="G149" s="9" t="str">
        <f>VLOOKUP(B149,'Property Name List'!A$2:D$834,3,FALSE)</f>
        <v>Courtyard by Marriott Oceanside Fort Lauderdale Beach</v>
      </c>
      <c r="H149" s="15">
        <v>46084</v>
      </c>
      <c r="I149" t="s">
        <v>14</v>
      </c>
      <c r="J149">
        <f>VLOOKUP(E149,'Room Count'!A$2:B$2616,2,FALSE)</f>
        <v>261</v>
      </c>
      <c r="K149" s="19"/>
      <c r="M149" s="19"/>
      <c r="Q149"/>
    </row>
    <row r="150" spans="1:17" ht="17.100000000000001">
      <c r="A150" s="13" t="s">
        <v>37</v>
      </c>
      <c r="B150" s="13" t="s">
        <v>207</v>
      </c>
      <c r="C150" s="26">
        <v>100323</v>
      </c>
      <c r="D150" s="13" t="s">
        <v>207</v>
      </c>
      <c r="E150" s="13">
        <v>274</v>
      </c>
      <c r="F150" s="13" t="s">
        <v>12</v>
      </c>
      <c r="G150" s="9" t="str">
        <f>VLOOKUP(B150,'Property Name List'!A$2:D$834,3,FALSE)</f>
        <v>Courtyard By Marriott Naples</v>
      </c>
      <c r="H150" s="15">
        <v>46070</v>
      </c>
      <c r="I150" t="s">
        <v>14</v>
      </c>
      <c r="J150">
        <f>VLOOKUP(E150,'Room Count'!A$2:B$2616,2,FALSE)</f>
        <v>102</v>
      </c>
      <c r="K150" s="19"/>
      <c r="M150" s="19"/>
      <c r="Q150"/>
    </row>
    <row r="151" spans="1:17" ht="17.100000000000001">
      <c r="A151" s="13" t="s">
        <v>38</v>
      </c>
      <c r="B151" s="13" t="s">
        <v>208</v>
      </c>
      <c r="C151" s="26">
        <v>100325</v>
      </c>
      <c r="D151" s="13" t="s">
        <v>208</v>
      </c>
      <c r="E151" s="13">
        <v>275</v>
      </c>
      <c r="F151" s="13" t="s">
        <v>12</v>
      </c>
      <c r="G151" s="9" t="str">
        <f>VLOOKUP(B151,'Property Name List'!A$2:D$834,3,FALSE)</f>
        <v>Courtyard By Marriott Fort Lauderdale North/Cypress Creek</v>
      </c>
      <c r="H151" s="15">
        <v>46084</v>
      </c>
      <c r="I151" t="s">
        <v>14</v>
      </c>
      <c r="J151">
        <f>VLOOKUP(E151,'Room Count'!A$2:B$2616,2,FALSE)</f>
        <v>136</v>
      </c>
      <c r="K151" s="19"/>
      <c r="M151" s="19"/>
      <c r="Q151"/>
    </row>
    <row r="152" spans="1:17" ht="17.100000000000001">
      <c r="A152" s="13" t="s">
        <v>38</v>
      </c>
      <c r="B152" s="13" t="s">
        <v>209</v>
      </c>
      <c r="C152" s="26">
        <v>100327</v>
      </c>
      <c r="D152" s="13" t="s">
        <v>209</v>
      </c>
      <c r="E152" s="13">
        <v>276</v>
      </c>
      <c r="F152" s="13" t="s">
        <v>12</v>
      </c>
      <c r="G152" s="9" t="str">
        <f>VLOOKUP(B152,'Property Name List'!A$2:D$834,3,FALSE)</f>
        <v>Fairfield Inn By Marriott Orangeburg</v>
      </c>
      <c r="H152" s="15">
        <v>46084</v>
      </c>
      <c r="I152" t="s">
        <v>14</v>
      </c>
      <c r="J152">
        <f>VLOOKUP(E152,'Room Count'!A$2:B$2616,2,FALSE)</f>
        <v>64</v>
      </c>
      <c r="K152" s="19"/>
      <c r="M152" s="19"/>
      <c r="Q152"/>
    </row>
    <row r="153" spans="1:17" ht="17.100000000000001">
      <c r="A153" s="13" t="s">
        <v>38</v>
      </c>
      <c r="B153" s="13" t="s">
        <v>210</v>
      </c>
      <c r="C153" s="26">
        <v>100329</v>
      </c>
      <c r="D153" s="13" t="s">
        <v>210</v>
      </c>
      <c r="E153" s="13">
        <v>277</v>
      </c>
      <c r="F153" s="13" t="s">
        <v>12</v>
      </c>
      <c r="G153" s="9" t="str">
        <f>VLOOKUP(B153,'Property Name List'!A$2:D$834,3,FALSE)</f>
        <v>Fairfield Inn &amp; Suites Statesville</v>
      </c>
      <c r="H153" s="15">
        <v>46084</v>
      </c>
      <c r="I153" t="s">
        <v>14</v>
      </c>
      <c r="J153">
        <f>VLOOKUP(E153,'Room Count'!A$2:B$2616,2,FALSE)</f>
        <v>94</v>
      </c>
      <c r="K153" s="19"/>
      <c r="M153" s="19"/>
      <c r="Q153"/>
    </row>
    <row r="154" spans="1:17" ht="17.100000000000001">
      <c r="A154" s="13" t="s">
        <v>37</v>
      </c>
      <c r="B154" s="13" t="s">
        <v>211</v>
      </c>
      <c r="C154" s="26">
        <v>100331</v>
      </c>
      <c r="D154" s="13" t="s">
        <v>211</v>
      </c>
      <c r="E154" s="13">
        <v>278</v>
      </c>
      <c r="F154" s="13" t="s">
        <v>12</v>
      </c>
      <c r="G154" s="9" t="str">
        <f>VLOOKUP(B154,'Property Name List'!A$2:D$834,3,FALSE)</f>
        <v>Fairfield Inn &amp; Suites South Kingstown Newport Area</v>
      </c>
      <c r="H154" s="15">
        <v>46070</v>
      </c>
      <c r="I154" t="s">
        <v>14</v>
      </c>
      <c r="J154">
        <f>VLOOKUP(E154,'Room Count'!A$2:B$2616,2,FALSE)</f>
        <v>100</v>
      </c>
      <c r="K154" s="19"/>
      <c r="M154" s="19"/>
      <c r="Q154"/>
    </row>
    <row r="155" spans="1:17" ht="17.100000000000001">
      <c r="A155" s="13" t="s">
        <v>37</v>
      </c>
      <c r="B155" s="13" t="s">
        <v>212</v>
      </c>
      <c r="C155" s="26">
        <v>100333</v>
      </c>
      <c r="D155" s="13" t="s">
        <v>212</v>
      </c>
      <c r="E155" s="13">
        <v>279</v>
      </c>
      <c r="F155" s="13" t="s">
        <v>12</v>
      </c>
      <c r="G155" s="9" t="str">
        <f>VLOOKUP(B155,'Property Name List'!A$2:D$834,3,FALSE)</f>
        <v>Fairfield Inn &amp; Suites Fort Pierce</v>
      </c>
      <c r="H155" s="15">
        <v>46070</v>
      </c>
      <c r="I155" t="s">
        <v>14</v>
      </c>
      <c r="J155">
        <f>VLOOKUP(E155,'Room Count'!A$2:B$2616,2,FALSE)</f>
        <v>108</v>
      </c>
      <c r="K155" s="19"/>
      <c r="M155" s="19"/>
      <c r="Q155"/>
    </row>
    <row r="156" spans="1:17" ht="17.100000000000001">
      <c r="A156" s="13" t="s">
        <v>37</v>
      </c>
      <c r="B156" s="13" t="s">
        <v>213</v>
      </c>
      <c r="C156" s="26">
        <v>100335</v>
      </c>
      <c r="D156" s="13" t="s">
        <v>213</v>
      </c>
      <c r="E156" s="13">
        <v>280</v>
      </c>
      <c r="F156" s="13" t="s">
        <v>12</v>
      </c>
      <c r="G156" s="9" t="str">
        <f>VLOOKUP(B156,'Property Name List'!A$2:D$834,3,FALSE)</f>
        <v>SpringHill Suites By Marriott Norfolk Virginia Beach</v>
      </c>
      <c r="H156" s="15">
        <v>46070</v>
      </c>
      <c r="I156" t="s">
        <v>14</v>
      </c>
      <c r="J156">
        <f>VLOOKUP(E156,'Room Count'!A$2:B$2616,2,FALSE)</f>
        <v>131</v>
      </c>
      <c r="K156" s="19"/>
      <c r="M156" s="19"/>
      <c r="Q156"/>
    </row>
    <row r="157" spans="1:17" ht="17.100000000000001">
      <c r="A157" s="13" t="s">
        <v>37</v>
      </c>
      <c r="B157" s="13" t="s">
        <v>214</v>
      </c>
      <c r="C157" s="26">
        <v>100337</v>
      </c>
      <c r="D157" s="13" t="s">
        <v>214</v>
      </c>
      <c r="E157" s="13">
        <v>281</v>
      </c>
      <c r="F157" s="13" t="s">
        <v>12</v>
      </c>
      <c r="G157" s="9" t="str">
        <f>VLOOKUP(B157,'Property Name List'!A$2:D$834,3,FALSE)</f>
        <v>Courtyard By Marriott Bay City</v>
      </c>
      <c r="H157" s="15">
        <v>46070</v>
      </c>
      <c r="I157" t="s">
        <v>14</v>
      </c>
      <c r="J157">
        <f>VLOOKUP(E157,'Room Count'!A$2:B$2616,2,FALSE)</f>
        <v>100</v>
      </c>
      <c r="K157" s="19"/>
      <c r="M157" s="19"/>
      <c r="Q157"/>
    </row>
    <row r="158" spans="1:17" ht="17.100000000000001">
      <c r="A158" s="13" t="s">
        <v>38</v>
      </c>
      <c r="B158" s="13" t="s">
        <v>215</v>
      </c>
      <c r="C158" s="26">
        <v>100339</v>
      </c>
      <c r="D158" s="13" t="s">
        <v>215</v>
      </c>
      <c r="E158" s="13">
        <v>282</v>
      </c>
      <c r="F158" s="13" t="s">
        <v>12</v>
      </c>
      <c r="G158" s="9" t="str">
        <f>VLOOKUP(B158,'Property Name List'!A$2:D$834,3,FALSE)</f>
        <v>Fairfield Inn &amp; Suites Fort Lauderdale Downtown/Las Olas</v>
      </c>
      <c r="H158" s="15">
        <v>46084</v>
      </c>
      <c r="I158" t="s">
        <v>14</v>
      </c>
      <c r="J158">
        <f>VLOOKUP(E158,'Room Count'!A$2:B$2616,2,FALSE)</f>
        <v>108</v>
      </c>
      <c r="K158" s="19"/>
      <c r="M158" s="19"/>
      <c r="Q158"/>
    </row>
    <row r="159" spans="1:17" ht="17.100000000000001">
      <c r="A159" s="13" t="s">
        <v>38</v>
      </c>
      <c r="B159" s="13" t="s">
        <v>216</v>
      </c>
      <c r="C159" s="26">
        <v>100341</v>
      </c>
      <c r="D159" s="13" t="s">
        <v>216</v>
      </c>
      <c r="E159" s="13">
        <v>283</v>
      </c>
      <c r="F159" s="13" t="s">
        <v>12</v>
      </c>
      <c r="G159" s="9" t="str">
        <f>VLOOKUP(B159,'Property Name List'!A$2:D$834,3,FALSE)</f>
        <v>Courtyard By Marriott Wilmington Brandywine</v>
      </c>
      <c r="H159" s="15">
        <v>46084</v>
      </c>
      <c r="I159" t="s">
        <v>14</v>
      </c>
      <c r="J159">
        <f>VLOOKUP(E159,'Room Count'!A$2:B$2616,2,FALSE)</f>
        <v>78</v>
      </c>
      <c r="K159" s="19"/>
      <c r="M159" s="19"/>
      <c r="Q159"/>
    </row>
    <row r="160" spans="1:17" ht="17.100000000000001">
      <c r="A160" s="13" t="s">
        <v>38</v>
      </c>
      <c r="B160" s="13" t="s">
        <v>217</v>
      </c>
      <c r="C160" s="26">
        <v>100343</v>
      </c>
      <c r="D160" s="13" t="s">
        <v>217</v>
      </c>
      <c r="E160" s="13">
        <v>284</v>
      </c>
      <c r="F160" s="13" t="s">
        <v>12</v>
      </c>
      <c r="G160" s="9" t="str">
        <f>VLOOKUP(B160,'Property Name List'!A$2:D$834,3,FALSE)</f>
        <v>SpringHill Suites by Marriott Charlotte Airport Lake Pointe</v>
      </c>
      <c r="H160" s="15">
        <v>46084</v>
      </c>
      <c r="I160" t="s">
        <v>14</v>
      </c>
      <c r="J160">
        <f>VLOOKUP(E160,'Room Count'!A$2:B$2616,2,FALSE)</f>
        <v>126</v>
      </c>
      <c r="K160" s="19"/>
      <c r="M160" s="19"/>
      <c r="Q160"/>
    </row>
    <row r="161" spans="1:17" ht="17.100000000000001">
      <c r="A161" s="13" t="s">
        <v>38</v>
      </c>
      <c r="B161" s="13" t="s">
        <v>218</v>
      </c>
      <c r="C161" s="26">
        <v>100345</v>
      </c>
      <c r="D161" s="13" t="s">
        <v>218</v>
      </c>
      <c r="E161" s="13">
        <v>285</v>
      </c>
      <c r="F161" s="13" t="s">
        <v>12</v>
      </c>
      <c r="G161" s="9" t="str">
        <f>VLOOKUP(B161,'Property Name List'!A$2:D$834,3,FALSE)</f>
        <v>SpringHill Suites By Marriott Terre Haute</v>
      </c>
      <c r="H161" s="15">
        <v>46084</v>
      </c>
      <c r="I161" t="s">
        <v>14</v>
      </c>
      <c r="J161">
        <f>VLOOKUP(E161,'Room Count'!A$2:B$2616,2,FALSE)</f>
        <v>92</v>
      </c>
      <c r="K161" s="19"/>
      <c r="M161" s="19"/>
      <c r="Q161"/>
    </row>
    <row r="162" spans="1:17" ht="17.100000000000001">
      <c r="A162" s="13" t="s">
        <v>37</v>
      </c>
      <c r="B162" s="13" t="s">
        <v>219</v>
      </c>
      <c r="C162" s="26">
        <v>100347</v>
      </c>
      <c r="D162" s="13" t="s">
        <v>219</v>
      </c>
      <c r="E162" s="13">
        <v>286</v>
      </c>
      <c r="F162" s="13" t="s">
        <v>12</v>
      </c>
      <c r="G162" s="9" t="str">
        <f>VLOOKUP(B162,'Property Name List'!A$2:D$834,3,FALSE)</f>
        <v>SpringHill Suites By Marriott Raleigh Apex</v>
      </c>
      <c r="H162" s="15">
        <v>46070</v>
      </c>
      <c r="I162" t="s">
        <v>14</v>
      </c>
      <c r="J162">
        <f>VLOOKUP(E162,'Room Count'!A$2:B$2616,2,FALSE)</f>
        <v>94</v>
      </c>
      <c r="K162" s="19"/>
      <c r="M162" s="19"/>
      <c r="Q162"/>
    </row>
    <row r="163" spans="1:17" ht="17.100000000000001">
      <c r="A163" s="13" t="s">
        <v>38</v>
      </c>
      <c r="B163" s="13" t="s">
        <v>220</v>
      </c>
      <c r="C163" s="26">
        <v>100349</v>
      </c>
      <c r="D163" s="13" t="s">
        <v>220</v>
      </c>
      <c r="E163" s="13">
        <v>287</v>
      </c>
      <c r="F163" s="13" t="s">
        <v>12</v>
      </c>
      <c r="G163" s="9" t="str">
        <f>VLOOKUP(B163,'Property Name List'!A$2:D$834,3,FALSE)</f>
        <v>Fairfield by Marriott Inn &amp; Suites Fort Lauderdale Northwest</v>
      </c>
      <c r="H163" s="15">
        <v>46084</v>
      </c>
      <c r="I163" t="s">
        <v>14</v>
      </c>
      <c r="J163">
        <f>VLOOKUP(E163,'Room Count'!A$2:B$2616,2,FALSE)</f>
        <v>120</v>
      </c>
      <c r="K163" s="19"/>
      <c r="M163" s="19"/>
      <c r="Q163"/>
    </row>
    <row r="164" spans="1:17" ht="17.100000000000001">
      <c r="A164" s="13" t="s">
        <v>38</v>
      </c>
      <c r="B164" s="13" t="s">
        <v>221</v>
      </c>
      <c r="C164" s="26">
        <v>100351</v>
      </c>
      <c r="D164" s="13" t="s">
        <v>221</v>
      </c>
      <c r="E164" s="13">
        <v>288</v>
      </c>
      <c r="F164" s="13" t="s">
        <v>12</v>
      </c>
      <c r="G164" s="9" t="str">
        <f>VLOOKUP(B164,'Property Name List'!A$2:D$834,3,FALSE)</f>
        <v>Courtyard By Marriott Indianapolis West-Speedway</v>
      </c>
      <c r="H164" s="15">
        <v>46084</v>
      </c>
      <c r="I164" t="s">
        <v>14</v>
      </c>
      <c r="J164">
        <f>VLOOKUP(E164,'Room Count'!A$2:B$2616,2,FALSE)</f>
        <v>97</v>
      </c>
      <c r="K164" s="19"/>
      <c r="M164" s="19"/>
      <c r="Q164"/>
    </row>
    <row r="165" spans="1:17" ht="17.100000000000001">
      <c r="A165" s="13" t="s">
        <v>38</v>
      </c>
      <c r="B165" s="13" t="s">
        <v>222</v>
      </c>
      <c r="C165" s="26" t="s">
        <v>223</v>
      </c>
      <c r="D165" s="13" t="s">
        <v>222</v>
      </c>
      <c r="E165" s="13">
        <v>289</v>
      </c>
      <c r="F165" s="13" t="s">
        <v>12</v>
      </c>
      <c r="G165" s="9" t="str">
        <f>VLOOKUP(B165,'Property Name List'!A$2:D$834,3,FALSE)</f>
        <v>SpringHill Suites By Marriott Fort Lauderdale Airport &amp; Cruise Port</v>
      </c>
      <c r="H165" s="15">
        <v>46084</v>
      </c>
      <c r="I165" t="s">
        <v>14</v>
      </c>
      <c r="J165">
        <f>VLOOKUP(E165,'Room Count'!A$2:B$2616,2,FALSE)</f>
        <v>168</v>
      </c>
      <c r="K165" s="19"/>
      <c r="M165" s="19"/>
      <c r="Q165"/>
    </row>
    <row r="166" spans="1:17" ht="17.100000000000001">
      <c r="A166" s="13" t="s">
        <v>38</v>
      </c>
      <c r="B166" s="13" t="s">
        <v>224</v>
      </c>
      <c r="C166" s="26">
        <v>100355</v>
      </c>
      <c r="D166" s="13" t="s">
        <v>224</v>
      </c>
      <c r="E166" s="13">
        <v>290</v>
      </c>
      <c r="F166" s="13" t="s">
        <v>12</v>
      </c>
      <c r="G166" s="9" t="str">
        <f>VLOOKUP(B166,'Property Name List'!A$2:D$834,3,FALSE)</f>
        <v>Fairfield Inn &amp; Suites Harrisburg West/Mechanicsburg</v>
      </c>
      <c r="H166" s="15">
        <v>46084</v>
      </c>
      <c r="I166" t="s">
        <v>14</v>
      </c>
      <c r="J166">
        <f>VLOOKUP(E166,'Room Count'!A$2:B$2616,2,FALSE)</f>
        <v>107</v>
      </c>
      <c r="K166" s="19"/>
      <c r="M166" s="19"/>
      <c r="Q166"/>
    </row>
    <row r="167" spans="1:17" ht="17.100000000000001">
      <c r="A167" s="13" t="s">
        <v>38</v>
      </c>
      <c r="B167" s="13" t="s">
        <v>225</v>
      </c>
      <c r="C167" s="26">
        <v>100357</v>
      </c>
      <c r="D167" s="13" t="s">
        <v>225</v>
      </c>
      <c r="E167" s="13">
        <v>291</v>
      </c>
      <c r="F167" s="13" t="s">
        <v>12</v>
      </c>
      <c r="G167" s="9" t="str">
        <f>VLOOKUP(B167,'Property Name List'!A$2:D$834,3,FALSE)</f>
        <v>AC Hotel Columbus Dublin</v>
      </c>
      <c r="H167" s="15">
        <v>46084</v>
      </c>
      <c r="I167" t="s">
        <v>14</v>
      </c>
      <c r="J167">
        <f>VLOOKUP(E167,'Room Count'!A$2:B$2616,2,FALSE)</f>
        <v>150</v>
      </c>
      <c r="K167" s="19"/>
      <c r="M167" s="19"/>
      <c r="Q167"/>
    </row>
    <row r="168" spans="1:17" ht="17.100000000000001">
      <c r="A168" s="13" t="s">
        <v>38</v>
      </c>
      <c r="B168" s="13" t="s">
        <v>226</v>
      </c>
      <c r="C168" s="26">
        <v>100359</v>
      </c>
      <c r="D168" s="13" t="s">
        <v>226</v>
      </c>
      <c r="E168" s="13">
        <v>292</v>
      </c>
      <c r="F168" s="13" t="s">
        <v>12</v>
      </c>
      <c r="G168" s="9" t="str">
        <f>VLOOKUP(B168,'Property Name List'!A$2:D$834,3,FALSE)</f>
        <v>Fairfield Inn &amp; Suites Indianapolis Fishers</v>
      </c>
      <c r="H168" s="15">
        <v>46084</v>
      </c>
      <c r="I168" t="s">
        <v>14</v>
      </c>
      <c r="J168">
        <f>VLOOKUP(E168,'Room Count'!A$2:B$2616,2,FALSE)</f>
        <v>99</v>
      </c>
      <c r="K168" s="19"/>
      <c r="M168" s="19"/>
      <c r="Q168"/>
    </row>
    <row r="169" spans="1:17" ht="17.100000000000001">
      <c r="A169" s="13" t="s">
        <v>37</v>
      </c>
      <c r="B169" s="13" t="s">
        <v>227</v>
      </c>
      <c r="C169" s="26">
        <v>100361</v>
      </c>
      <c r="D169" s="13" t="s">
        <v>227</v>
      </c>
      <c r="E169" s="13">
        <v>293</v>
      </c>
      <c r="F169" s="13" t="s">
        <v>12</v>
      </c>
      <c r="G169" s="9" t="str">
        <f>VLOOKUP(B169,'Property Name List'!A$2:D$834,3,FALSE)</f>
        <v>Courtyard By Marriott Princeton</v>
      </c>
      <c r="H169" s="15">
        <v>46070</v>
      </c>
      <c r="I169" t="s">
        <v>14</v>
      </c>
      <c r="J169">
        <f>VLOOKUP(E169,'Room Count'!A$2:B$2616,2,FALSE)</f>
        <v>154</v>
      </c>
      <c r="K169" s="19"/>
      <c r="M169" s="19"/>
      <c r="Q169"/>
    </row>
    <row r="170" spans="1:17" ht="17.100000000000001">
      <c r="A170" s="13" t="s">
        <v>38</v>
      </c>
      <c r="B170" s="13" t="s">
        <v>228</v>
      </c>
      <c r="C170" s="26">
        <v>100363</v>
      </c>
      <c r="D170" s="13" t="s">
        <v>228</v>
      </c>
      <c r="E170" s="13">
        <v>294</v>
      </c>
      <c r="F170" s="13" t="s">
        <v>12</v>
      </c>
      <c r="G170" s="9" t="str">
        <f>VLOOKUP(B170,'Property Name List'!A$2:D$834,3,FALSE)</f>
        <v>Fairfield Inn &amp; Suites Charleston North/Ashley Phosphate</v>
      </c>
      <c r="H170" s="15">
        <v>46084</v>
      </c>
      <c r="I170" t="s">
        <v>14</v>
      </c>
      <c r="J170">
        <f>VLOOKUP(E170,'Room Count'!A$2:B$2616,2,FALSE)</f>
        <v>84</v>
      </c>
      <c r="K170" s="19"/>
      <c r="M170" s="19"/>
      <c r="Q170"/>
    </row>
    <row r="171" spans="1:17" ht="17.100000000000001">
      <c r="A171" s="13" t="s">
        <v>38</v>
      </c>
      <c r="B171" s="13" t="s">
        <v>229</v>
      </c>
      <c r="C171" s="26">
        <v>100365</v>
      </c>
      <c r="D171" s="13" t="s">
        <v>229</v>
      </c>
      <c r="E171" s="13">
        <v>295</v>
      </c>
      <c r="F171" s="13" t="s">
        <v>12</v>
      </c>
      <c r="G171" s="9" t="str">
        <f>VLOOKUP(B171,'Property Name List'!A$2:D$834,3,FALSE)</f>
        <v>Courtyard By Marriott Fort Lauderdale Coral Springs</v>
      </c>
      <c r="H171" s="15">
        <v>46084</v>
      </c>
      <c r="I171" t="s">
        <v>14</v>
      </c>
      <c r="J171">
        <f>VLOOKUP(E171,'Room Count'!A$2:B$2616,2,FALSE)</f>
        <v>110</v>
      </c>
      <c r="K171" s="19"/>
      <c r="M171" s="19"/>
      <c r="Q171"/>
    </row>
    <row r="172" spans="1:17" ht="17.100000000000001">
      <c r="A172" s="13" t="s">
        <v>38</v>
      </c>
      <c r="B172" s="13" t="s">
        <v>230</v>
      </c>
      <c r="C172" s="26">
        <v>100367</v>
      </c>
      <c r="D172" s="13" t="s">
        <v>230</v>
      </c>
      <c r="E172" s="13">
        <v>296</v>
      </c>
      <c r="F172" s="13" t="s">
        <v>12</v>
      </c>
      <c r="G172" s="9" t="str">
        <f>VLOOKUP(B172,'Property Name List'!A$2:D$834,3,FALSE)</f>
        <v>SpringHill Suites by Marriott Kalamazoo Portage</v>
      </c>
      <c r="H172" s="15">
        <v>46084</v>
      </c>
      <c r="I172" t="s">
        <v>14</v>
      </c>
      <c r="J172">
        <f>VLOOKUP(E172,'Room Count'!A$2:B$2616,2,FALSE)</f>
        <v>93</v>
      </c>
      <c r="K172" s="19"/>
      <c r="M172" s="19"/>
      <c r="Q172"/>
    </row>
    <row r="173" spans="1:17" ht="17.100000000000001">
      <c r="A173" s="13" t="s">
        <v>37</v>
      </c>
      <c r="B173" s="13" t="s">
        <v>231</v>
      </c>
      <c r="C173" s="26">
        <v>100369</v>
      </c>
      <c r="D173" s="13" t="s">
        <v>231</v>
      </c>
      <c r="E173" s="13">
        <v>297</v>
      </c>
      <c r="F173" s="13" t="s">
        <v>12</v>
      </c>
      <c r="G173" s="9" t="str">
        <f>VLOOKUP(B173,'Property Name List'!A$2:D$834,3,FALSE)</f>
        <v>SpringHill Suites By Marriott Fort Myers Estero</v>
      </c>
      <c r="H173" s="15">
        <v>46070</v>
      </c>
      <c r="I173" t="s">
        <v>14</v>
      </c>
      <c r="J173">
        <f>VLOOKUP(E173,'Room Count'!A$2:B$2616,2,FALSE)</f>
        <v>100</v>
      </c>
      <c r="K173" s="19"/>
      <c r="M173" s="19"/>
      <c r="Q173"/>
    </row>
    <row r="174" spans="1:17" ht="17.100000000000001">
      <c r="A174" s="13" t="s">
        <v>38</v>
      </c>
      <c r="B174" s="13" t="s">
        <v>232</v>
      </c>
      <c r="C174" s="26">
        <v>100371</v>
      </c>
      <c r="D174" s="13" t="s">
        <v>232</v>
      </c>
      <c r="E174" s="13">
        <v>298</v>
      </c>
      <c r="F174" s="13" t="s">
        <v>12</v>
      </c>
      <c r="G174" s="9" t="str">
        <f>VLOOKUP(B174,'Property Name List'!A$2:D$834,3,FALSE)</f>
        <v>Fairfield Inn &amp; Suites Akron Fairlawn</v>
      </c>
      <c r="H174" s="15">
        <v>46084</v>
      </c>
      <c r="I174" t="s">
        <v>14</v>
      </c>
      <c r="J174">
        <f>VLOOKUP(E174,'Room Count'!A$2:B$2616,2,FALSE)</f>
        <v>98</v>
      </c>
      <c r="K174" s="19"/>
      <c r="M174" s="19"/>
      <c r="Q174"/>
    </row>
    <row r="175" spans="1:17" ht="17.100000000000001">
      <c r="A175" s="13" t="s">
        <v>38</v>
      </c>
      <c r="B175" s="13" t="s">
        <v>233</v>
      </c>
      <c r="C175" s="26">
        <v>100373</v>
      </c>
      <c r="D175" s="13" t="s">
        <v>233</v>
      </c>
      <c r="E175" s="13">
        <v>299</v>
      </c>
      <c r="F175" s="13" t="s">
        <v>12</v>
      </c>
      <c r="G175" s="9" t="str">
        <f>VLOOKUP(B175,'Property Name List'!A$2:D$834,3,FALSE)</f>
        <v>Fairfield Inn &amp; Suites Fort Lauderdale Airport &amp; Cruise Port</v>
      </c>
      <c r="H175" s="15">
        <v>46084</v>
      </c>
      <c r="I175" t="s">
        <v>14</v>
      </c>
      <c r="J175">
        <f>VLOOKUP(E175,'Room Count'!A$2:B$2616,2,FALSE)</f>
        <v>157</v>
      </c>
      <c r="K175" s="19"/>
      <c r="M175" s="19"/>
      <c r="Q175"/>
    </row>
    <row r="176" spans="1:17" ht="17.100000000000001">
      <c r="A176" s="13" t="s">
        <v>37</v>
      </c>
      <c r="B176" s="13" t="s">
        <v>234</v>
      </c>
      <c r="C176" s="26">
        <v>100377</v>
      </c>
      <c r="D176" s="13" t="s">
        <v>234</v>
      </c>
      <c r="E176" s="13">
        <v>301</v>
      </c>
      <c r="F176" s="13" t="s">
        <v>12</v>
      </c>
      <c r="G176" s="9" t="str">
        <f>VLOOKUP(B176,'Property Name List'!A$2:D$834,3,FALSE)</f>
        <v>SpringHill Suites By Marriott Montgomery Downtown</v>
      </c>
      <c r="H176" s="15">
        <v>46070</v>
      </c>
      <c r="I176" t="s">
        <v>14</v>
      </c>
      <c r="J176">
        <f>VLOOKUP(E176,'Room Count'!A$2:B$2616,2,FALSE)</f>
        <v>105</v>
      </c>
      <c r="K176" s="19"/>
      <c r="M176" s="19"/>
      <c r="Q176"/>
    </row>
    <row r="177" spans="1:17" ht="17.100000000000001">
      <c r="A177" s="13" t="s">
        <v>37</v>
      </c>
      <c r="B177" s="13" t="s">
        <v>235</v>
      </c>
      <c r="C177" s="26">
        <v>100379</v>
      </c>
      <c r="D177" s="13" t="s">
        <v>235</v>
      </c>
      <c r="E177" s="13">
        <v>302</v>
      </c>
      <c r="F177" s="13" t="s">
        <v>12</v>
      </c>
      <c r="G177" s="9" t="str">
        <f>VLOOKUP(B177,'Property Name List'!A$2:D$834,3,FALSE)</f>
        <v>Fairfield Inn &amp; Suites Alexandria</v>
      </c>
      <c r="H177" s="15">
        <v>46070</v>
      </c>
      <c r="I177" t="s">
        <v>14</v>
      </c>
      <c r="J177">
        <f>VLOOKUP(E177,'Room Count'!A$2:B$2616,2,FALSE)</f>
        <v>80</v>
      </c>
      <c r="K177" s="19"/>
      <c r="M177" s="19"/>
      <c r="Q177"/>
    </row>
    <row r="178" spans="1:17" ht="17.100000000000001">
      <c r="A178" s="13" t="s">
        <v>37</v>
      </c>
      <c r="B178" s="13" t="s">
        <v>236</v>
      </c>
      <c r="C178" s="26">
        <v>100381</v>
      </c>
      <c r="D178" s="13" t="s">
        <v>236</v>
      </c>
      <c r="E178" s="13">
        <v>303</v>
      </c>
      <c r="F178" s="13" t="s">
        <v>12</v>
      </c>
      <c r="G178" s="9" t="str">
        <f>VLOOKUP(B178,'Property Name List'!A$2:D$834,3,FALSE)</f>
        <v>Courtyard By Marriott St. Cloud</v>
      </c>
      <c r="H178" s="15">
        <v>46070</v>
      </c>
      <c r="I178" t="s">
        <v>14</v>
      </c>
      <c r="J178">
        <f>VLOOKUP(E178,'Room Count'!A$2:B$2616,2,FALSE)</f>
        <v>103</v>
      </c>
      <c r="K178" s="19"/>
      <c r="M178" s="19"/>
      <c r="Q178"/>
    </row>
    <row r="179" spans="1:17" ht="17.100000000000001">
      <c r="A179" s="13" t="s">
        <v>37</v>
      </c>
      <c r="B179" s="13" t="s">
        <v>237</v>
      </c>
      <c r="C179" s="26">
        <v>100383</v>
      </c>
      <c r="D179" s="13" t="s">
        <v>237</v>
      </c>
      <c r="E179" s="13">
        <v>305</v>
      </c>
      <c r="F179" s="13" t="s">
        <v>12</v>
      </c>
      <c r="G179" s="9" t="str">
        <f>VLOOKUP(B179,'Property Name List'!A$2:D$834,3,FALSE)</f>
        <v>Fairfield Inn &amp; Suites Rochester Mayo Clinic Area/Saint Marys</v>
      </c>
      <c r="H179" s="15">
        <v>46070</v>
      </c>
      <c r="I179" t="s">
        <v>14</v>
      </c>
      <c r="J179">
        <f>VLOOKUP(E179,'Room Count'!A$2:B$2616,2,FALSE)</f>
        <v>91</v>
      </c>
      <c r="K179" s="19"/>
      <c r="M179" s="19"/>
      <c r="Q179"/>
    </row>
    <row r="180" spans="1:17" ht="17.100000000000001">
      <c r="A180" s="13" t="s">
        <v>37</v>
      </c>
      <c r="B180" s="13" t="s">
        <v>238</v>
      </c>
      <c r="C180" s="26">
        <v>100385</v>
      </c>
      <c r="D180" s="13" t="s">
        <v>238</v>
      </c>
      <c r="E180" s="13">
        <v>307</v>
      </c>
      <c r="F180" s="13" t="s">
        <v>12</v>
      </c>
      <c r="G180" s="9" t="str">
        <f>VLOOKUP(B180,'Property Name List'!A$2:D$834,3,FALSE)</f>
        <v>Fairfield Inn &amp; Suites Des Moines West</v>
      </c>
      <c r="H180" s="15">
        <v>46070</v>
      </c>
      <c r="I180" t="s">
        <v>14</v>
      </c>
      <c r="J180">
        <f>VLOOKUP(E180,'Room Count'!A$2:B$2616,2,FALSE)</f>
        <v>102</v>
      </c>
      <c r="K180" s="19"/>
      <c r="M180" s="19"/>
      <c r="Q180"/>
    </row>
    <row r="181" spans="1:17" ht="17.100000000000001">
      <c r="A181" s="13" t="s">
        <v>37</v>
      </c>
      <c r="B181" s="13" t="s">
        <v>239</v>
      </c>
      <c r="C181" s="26">
        <v>100387</v>
      </c>
      <c r="D181" s="13" t="s">
        <v>239</v>
      </c>
      <c r="E181" s="13">
        <v>309</v>
      </c>
      <c r="F181" s="13" t="s">
        <v>12</v>
      </c>
      <c r="G181" s="9" t="str">
        <f>VLOOKUP(B181,'Property Name List'!A$2:D$834,3,FALSE)</f>
        <v>Courtyard By Marriott La Crosse Downtown/Mississippi Riverfront</v>
      </c>
      <c r="H181" s="15">
        <v>46070</v>
      </c>
      <c r="I181" t="s">
        <v>14</v>
      </c>
      <c r="J181">
        <f>VLOOKUP(E181,'Room Count'!A$2:B$2616,2,FALSE)</f>
        <v>78</v>
      </c>
      <c r="K181" s="19"/>
      <c r="M181" s="19"/>
      <c r="Q181"/>
    </row>
    <row r="182" spans="1:17" ht="17.100000000000001">
      <c r="A182" s="13" t="s">
        <v>37</v>
      </c>
      <c r="B182" s="13" t="s">
        <v>240</v>
      </c>
      <c r="C182" s="26">
        <v>100389</v>
      </c>
      <c r="D182" s="13" t="s">
        <v>240</v>
      </c>
      <c r="E182" s="13">
        <v>310</v>
      </c>
      <c r="F182" s="13" t="s">
        <v>12</v>
      </c>
      <c r="G182" s="9" t="str">
        <f>VLOOKUP(B182,'Property Name List'!A$2:D$834,3,FALSE)</f>
        <v>Courtyard By Marriott St. Paul Woodbury</v>
      </c>
      <c r="H182" s="15">
        <v>46070</v>
      </c>
      <c r="I182" t="s">
        <v>14</v>
      </c>
      <c r="J182">
        <f>VLOOKUP(E182,'Room Count'!A$2:B$2616,2,FALSE)</f>
        <v>120</v>
      </c>
      <c r="K182" s="19"/>
      <c r="M182" s="19"/>
      <c r="Q182"/>
    </row>
    <row r="183" spans="1:17" ht="17.100000000000001">
      <c r="A183" s="13" t="s">
        <v>37</v>
      </c>
      <c r="B183" s="13" t="s">
        <v>241</v>
      </c>
      <c r="C183" s="26">
        <v>100391</v>
      </c>
      <c r="D183" s="13" t="s">
        <v>241</v>
      </c>
      <c r="E183" s="13">
        <v>311</v>
      </c>
      <c r="F183" s="13" t="s">
        <v>12</v>
      </c>
      <c r="G183" s="9" t="str">
        <f>VLOOKUP(B183,'Property Name List'!A$2:D$834,3,FALSE)</f>
        <v>Courtyard by Marriott Bettendorf</v>
      </c>
      <c r="H183" s="15">
        <v>46070</v>
      </c>
      <c r="I183" t="s">
        <v>14</v>
      </c>
      <c r="J183">
        <f>VLOOKUP(E183,'Room Count'!A$2:B$2616,2,FALSE)</f>
        <v>113</v>
      </c>
      <c r="K183" s="19"/>
      <c r="M183" s="19"/>
      <c r="Q183"/>
    </row>
    <row r="184" spans="1:17" ht="17.100000000000001">
      <c r="A184" s="13" t="s">
        <v>37</v>
      </c>
      <c r="B184" s="13" t="s">
        <v>242</v>
      </c>
      <c r="C184" s="26">
        <v>100395</v>
      </c>
      <c r="D184" s="13" t="s">
        <v>242</v>
      </c>
      <c r="E184" s="13">
        <v>314</v>
      </c>
      <c r="F184" s="13" t="s">
        <v>12</v>
      </c>
      <c r="G184" s="9" t="str">
        <f>VLOOKUP(B184,'Property Name List'!A$2:D$834,3,FALSE)</f>
        <v>Fairfield by Marriott Inn &amp; Suites Southaven Snowden Grove</v>
      </c>
      <c r="H184" s="15">
        <v>46070</v>
      </c>
      <c r="I184" t="s">
        <v>14</v>
      </c>
      <c r="J184">
        <f>VLOOKUP(E184,'Room Count'!A$2:B$2616,2,FALSE)</f>
        <v>94</v>
      </c>
      <c r="K184" s="19"/>
      <c r="M184" s="19"/>
      <c r="Q184"/>
    </row>
    <row r="185" spans="1:17" ht="17.100000000000001">
      <c r="A185" s="13" t="s">
        <v>37</v>
      </c>
      <c r="B185" s="13" t="s">
        <v>243</v>
      </c>
      <c r="C185" s="26">
        <v>100397</v>
      </c>
      <c r="D185" s="13" t="s">
        <v>243</v>
      </c>
      <c r="E185" s="13">
        <v>315</v>
      </c>
      <c r="F185" s="13" t="s">
        <v>12</v>
      </c>
      <c r="G185" s="9" t="str">
        <f>VLOOKUP(B185,'Property Name List'!A$2:D$834,3,FALSE)</f>
        <v>Fairfield Inn &amp; Suites Minneapolis North/Blaine</v>
      </c>
      <c r="H185" s="15">
        <v>46070</v>
      </c>
      <c r="I185" t="s">
        <v>14</v>
      </c>
      <c r="J185">
        <f>VLOOKUP(E185,'Room Count'!A$2:B$2616,2,FALSE)</f>
        <v>82</v>
      </c>
      <c r="K185" s="19"/>
      <c r="M185" s="19"/>
      <c r="Q185"/>
    </row>
    <row r="186" spans="1:17" ht="17.100000000000001">
      <c r="A186" s="13" t="s">
        <v>37</v>
      </c>
      <c r="B186" s="13" t="s">
        <v>244</v>
      </c>
      <c r="C186" s="26">
        <v>100401</v>
      </c>
      <c r="D186" s="13" t="s">
        <v>244</v>
      </c>
      <c r="E186" s="13">
        <v>319</v>
      </c>
      <c r="F186" s="13" t="s">
        <v>12</v>
      </c>
      <c r="G186" s="9" t="str">
        <f>VLOOKUP(B186,'Property Name List'!A$2:D$834,3,FALSE)</f>
        <v>Fairfield Inn &amp; Suites Minneapolis St. Paul/Roseville</v>
      </c>
      <c r="H186" s="15">
        <v>46070</v>
      </c>
      <c r="I186" t="s">
        <v>14</v>
      </c>
      <c r="J186">
        <f>VLOOKUP(E186,'Room Count'!A$2:B$2616,2,FALSE)</f>
        <v>79</v>
      </c>
      <c r="K186" s="19"/>
      <c r="M186" s="19"/>
      <c r="Q186"/>
    </row>
    <row r="187" spans="1:17" ht="17.100000000000001">
      <c r="A187" s="13" t="s">
        <v>37</v>
      </c>
      <c r="B187" s="13" t="s">
        <v>245</v>
      </c>
      <c r="C187" s="26">
        <v>100403</v>
      </c>
      <c r="D187" s="13" t="s">
        <v>245</v>
      </c>
      <c r="E187" s="13">
        <v>320</v>
      </c>
      <c r="F187" s="13" t="s">
        <v>12</v>
      </c>
      <c r="G187" s="9" t="str">
        <f>VLOOKUP(B187,'Property Name List'!A$2:D$834,3,FALSE)</f>
        <v>Courtyard By Marriott Paducah</v>
      </c>
      <c r="H187" s="15">
        <v>46070</v>
      </c>
      <c r="I187" t="s">
        <v>14</v>
      </c>
      <c r="J187">
        <f>VLOOKUP(E187,'Room Count'!A$2:B$2616,2,FALSE)</f>
        <v>96</v>
      </c>
      <c r="K187" s="19"/>
      <c r="M187" s="19"/>
      <c r="Q187"/>
    </row>
    <row r="188" spans="1:17" ht="17.100000000000001">
      <c r="A188" s="13" t="s">
        <v>37</v>
      </c>
      <c r="B188" s="13" t="s">
        <v>246</v>
      </c>
      <c r="C188" s="26">
        <v>100405</v>
      </c>
      <c r="D188" s="13" t="s">
        <v>246</v>
      </c>
      <c r="E188" s="13">
        <v>321</v>
      </c>
      <c r="F188" s="13" t="s">
        <v>12</v>
      </c>
      <c r="G188" s="9" t="str">
        <f>VLOOKUP(B188,'Property Name List'!A$2:D$834,3,FALSE)</f>
        <v>Courtyard By Marriott Memphis Germantown</v>
      </c>
      <c r="H188" s="15">
        <v>46070</v>
      </c>
      <c r="I188" t="s">
        <v>14</v>
      </c>
      <c r="J188">
        <f>VLOOKUP(E188,'Room Count'!A$2:B$2616,2,FALSE)</f>
        <v>93</v>
      </c>
      <c r="K188" s="19"/>
      <c r="M188" s="19"/>
      <c r="Q188"/>
    </row>
    <row r="189" spans="1:17" ht="17.100000000000001">
      <c r="A189" s="13" t="s">
        <v>37</v>
      </c>
      <c r="B189" s="13" t="s">
        <v>247</v>
      </c>
      <c r="C189" s="26">
        <v>100407</v>
      </c>
      <c r="D189" s="13" t="s">
        <v>247</v>
      </c>
      <c r="E189" s="13">
        <v>323</v>
      </c>
      <c r="F189" s="13" t="s">
        <v>12</v>
      </c>
      <c r="G189" s="9" t="str">
        <f>VLOOKUP(B189,'Property Name List'!A$2:D$834,3,FALSE)</f>
        <v>SpringHill Suites By Marriott Des Moines West</v>
      </c>
      <c r="H189" s="15">
        <v>46070</v>
      </c>
      <c r="I189" t="s">
        <v>14</v>
      </c>
      <c r="J189">
        <f>VLOOKUP(E189,'Room Count'!A$2:B$2616,2,FALSE)</f>
        <v>97</v>
      </c>
      <c r="K189" s="19"/>
      <c r="M189" s="19"/>
      <c r="Q189"/>
    </row>
    <row r="190" spans="1:17" ht="17.100000000000001">
      <c r="A190" s="13" t="s">
        <v>37</v>
      </c>
      <c r="B190" s="13" t="s">
        <v>248</v>
      </c>
      <c r="C190" s="26">
        <v>100409</v>
      </c>
      <c r="D190" s="13" t="s">
        <v>248</v>
      </c>
      <c r="E190" s="13">
        <v>324</v>
      </c>
      <c r="F190" s="13" t="s">
        <v>12</v>
      </c>
      <c r="G190" s="9" t="str">
        <f>VLOOKUP(B190,'Property Name List'!A$2:D$834,3,FALSE)</f>
        <v>Fairfield Inn &amp; Suites Milwaukee West</v>
      </c>
      <c r="H190" s="15">
        <v>46070</v>
      </c>
      <c r="I190" t="s">
        <v>14</v>
      </c>
      <c r="J190">
        <f>VLOOKUP(E190,'Room Count'!A$2:B$2616,2,FALSE)</f>
        <v>110</v>
      </c>
      <c r="K190" s="19"/>
      <c r="M190" s="19"/>
      <c r="Q190"/>
    </row>
    <row r="191" spans="1:17" ht="17.100000000000001">
      <c r="A191" s="13" t="s">
        <v>37</v>
      </c>
      <c r="B191" s="13" t="s">
        <v>249</v>
      </c>
      <c r="C191" s="26">
        <v>100411</v>
      </c>
      <c r="D191" s="13" t="s">
        <v>249</v>
      </c>
      <c r="E191" s="13">
        <v>326</v>
      </c>
      <c r="F191" s="13" t="s">
        <v>12</v>
      </c>
      <c r="G191" s="9" t="str">
        <f>VLOOKUP(B191,'Property Name List'!A$2:D$834,3,FALSE)</f>
        <v>Fairfield Inn &amp; Suites Panama City Beach</v>
      </c>
      <c r="H191" s="15">
        <v>46070</v>
      </c>
      <c r="I191" t="s">
        <v>14</v>
      </c>
      <c r="J191">
        <f>VLOOKUP(E191,'Room Count'!A$2:B$2616,2,FALSE)</f>
        <v>109</v>
      </c>
      <c r="K191" s="19"/>
      <c r="M191" s="19"/>
      <c r="Q191"/>
    </row>
    <row r="192" spans="1:17" ht="17.100000000000001">
      <c r="A192" s="13" t="s">
        <v>37</v>
      </c>
      <c r="B192" s="13" t="s">
        <v>250</v>
      </c>
      <c r="C192" s="26">
        <v>100415</v>
      </c>
      <c r="D192" s="13" t="s">
        <v>250</v>
      </c>
      <c r="E192" s="13">
        <v>328</v>
      </c>
      <c r="F192" s="13" t="s">
        <v>12</v>
      </c>
      <c r="G192" s="9" t="str">
        <f>VLOOKUP(B192,'Property Name List'!A$2:D$834,3,FALSE)</f>
        <v>Fairfield Inn &amp; Suites Kenosha Pleasant Prairie</v>
      </c>
      <c r="H192" s="15">
        <v>46070</v>
      </c>
      <c r="I192" t="s">
        <v>14</v>
      </c>
      <c r="J192">
        <f>VLOOKUP(E192,'Room Count'!A$2:B$2616,2,FALSE)</f>
        <v>108</v>
      </c>
      <c r="K192" s="19"/>
      <c r="M192" s="19"/>
      <c r="Q192"/>
    </row>
    <row r="193" spans="1:17" ht="17.100000000000001">
      <c r="A193" s="13" t="s">
        <v>37</v>
      </c>
      <c r="B193" s="13" t="s">
        <v>251</v>
      </c>
      <c r="C193" s="26">
        <v>100417</v>
      </c>
      <c r="D193" s="13" t="s">
        <v>251</v>
      </c>
      <c r="E193" s="13">
        <v>329</v>
      </c>
      <c r="F193" s="13" t="s">
        <v>12</v>
      </c>
      <c r="G193" s="9" t="str">
        <f>VLOOKUP(B193,'Property Name List'!A$2:D$834,3,FALSE)</f>
        <v>Courtyard By Marriott Columbus</v>
      </c>
      <c r="H193" s="15">
        <v>46070</v>
      </c>
      <c r="I193" t="s">
        <v>14</v>
      </c>
      <c r="J193">
        <f>VLOOKUP(E193,'Room Count'!A$2:B$2616,2,FALSE)</f>
        <v>110</v>
      </c>
      <c r="K193" s="19"/>
      <c r="M193" s="19"/>
      <c r="Q193"/>
    </row>
    <row r="194" spans="1:17" ht="17.100000000000001">
      <c r="A194" s="13" t="s">
        <v>37</v>
      </c>
      <c r="B194" s="13" t="s">
        <v>252</v>
      </c>
      <c r="C194" s="26">
        <v>100419</v>
      </c>
      <c r="D194" s="13" t="s">
        <v>252</v>
      </c>
      <c r="E194" s="13">
        <v>330</v>
      </c>
      <c r="F194" s="13" t="s">
        <v>12</v>
      </c>
      <c r="G194" s="9" t="str">
        <f>VLOOKUP(B194,'Property Name List'!A$2:D$834,3,FALSE)</f>
        <v>Courtyard By Marriott Mobile</v>
      </c>
      <c r="H194" s="15">
        <v>46070</v>
      </c>
      <c r="I194" t="s">
        <v>14</v>
      </c>
      <c r="J194">
        <f>VLOOKUP(E194,'Room Count'!A$2:B$2616,2,FALSE)</f>
        <v>78</v>
      </c>
      <c r="K194" s="19"/>
      <c r="M194" s="19"/>
      <c r="Q194"/>
    </row>
    <row r="195" spans="1:17" ht="17.100000000000001">
      <c r="A195" s="13" t="s">
        <v>37</v>
      </c>
      <c r="B195" s="13" t="s">
        <v>253</v>
      </c>
      <c r="C195" s="26">
        <v>100421</v>
      </c>
      <c r="D195" s="13" t="s">
        <v>253</v>
      </c>
      <c r="E195" s="13">
        <v>332</v>
      </c>
      <c r="F195" s="13" t="s">
        <v>12</v>
      </c>
      <c r="G195" s="9" t="str">
        <f>VLOOKUP(B195,'Property Name List'!A$2:D$834,3,FALSE)</f>
        <v>Fairfield Inn &amp; Suites Columbus</v>
      </c>
      <c r="H195" s="15">
        <v>46070</v>
      </c>
      <c r="I195" t="s">
        <v>14</v>
      </c>
      <c r="J195">
        <f>VLOOKUP(E195,'Room Count'!A$2:B$2616,2,FALSE)</f>
        <v>85</v>
      </c>
      <c r="K195" s="19"/>
      <c r="M195" s="19"/>
      <c r="Q195"/>
    </row>
    <row r="196" spans="1:17" ht="17.100000000000001">
      <c r="A196" s="13" t="s">
        <v>37</v>
      </c>
      <c r="B196" s="13" t="s">
        <v>254</v>
      </c>
      <c r="C196" s="26">
        <v>100423</v>
      </c>
      <c r="D196" s="13" t="s">
        <v>254</v>
      </c>
      <c r="E196" s="13">
        <v>335</v>
      </c>
      <c r="F196" s="13" t="s">
        <v>12</v>
      </c>
      <c r="G196" s="9" t="str">
        <f>VLOOKUP(B196,'Property Name List'!A$2:D$834,3,FALSE)</f>
        <v>Courtyard By Marriott Owensboro</v>
      </c>
      <c r="H196" s="15">
        <v>46070</v>
      </c>
      <c r="I196" t="s">
        <v>14</v>
      </c>
      <c r="J196">
        <f>VLOOKUP(E196,'Room Count'!A$2:B$2616,2,FALSE)</f>
        <v>109</v>
      </c>
      <c r="K196" s="19"/>
      <c r="M196" s="19"/>
      <c r="Q196"/>
    </row>
    <row r="197" spans="1:17" ht="17.100000000000001">
      <c r="A197" s="13" t="s">
        <v>37</v>
      </c>
      <c r="B197" s="13" t="s">
        <v>255</v>
      </c>
      <c r="C197" s="26">
        <v>100427</v>
      </c>
      <c r="D197" s="13" t="s">
        <v>255</v>
      </c>
      <c r="E197" s="13">
        <v>338</v>
      </c>
      <c r="F197" s="13" t="s">
        <v>12</v>
      </c>
      <c r="G197" s="9" t="str">
        <f>VLOOKUP(B197,'Property Name List'!A$2:D$834,3,FALSE)</f>
        <v>Fairfield by Marriott Inn &amp; Suites Sheboygan</v>
      </c>
      <c r="H197" s="15">
        <v>46070</v>
      </c>
      <c r="I197" t="s">
        <v>14</v>
      </c>
      <c r="J197">
        <f>VLOOKUP(E197,'Room Count'!A$2:B$2616,2,FALSE)</f>
        <v>108</v>
      </c>
      <c r="K197" s="19"/>
      <c r="M197" s="19"/>
      <c r="Q197"/>
    </row>
    <row r="198" spans="1:17" ht="17.100000000000001">
      <c r="A198" s="13" t="s">
        <v>37</v>
      </c>
      <c r="B198" s="13" t="s">
        <v>256</v>
      </c>
      <c r="C198" s="26">
        <v>100429</v>
      </c>
      <c r="D198" s="13" t="s">
        <v>256</v>
      </c>
      <c r="E198" s="13">
        <v>339</v>
      </c>
      <c r="F198" s="13" t="s">
        <v>12</v>
      </c>
      <c r="G198" s="9" t="str">
        <f>VLOOKUP(B198,'Property Name List'!A$2:D$834,3,FALSE)</f>
        <v>Fairfield Inn By Marriott Scranton</v>
      </c>
      <c r="H198" s="15">
        <v>46070</v>
      </c>
      <c r="I198" t="s">
        <v>14</v>
      </c>
      <c r="J198">
        <f>VLOOKUP(E198,'Room Count'!A$2:B$2616,2,FALSE)</f>
        <v>81</v>
      </c>
      <c r="K198" s="19"/>
      <c r="M198" s="19"/>
      <c r="Q198"/>
    </row>
    <row r="199" spans="1:17" ht="17.100000000000001">
      <c r="A199" s="13" t="s">
        <v>37</v>
      </c>
      <c r="B199" s="13" t="s">
        <v>257</v>
      </c>
      <c r="C199" s="26">
        <v>100431</v>
      </c>
      <c r="D199" s="13" t="s">
        <v>257</v>
      </c>
      <c r="E199" s="13">
        <v>340</v>
      </c>
      <c r="F199" s="13" t="s">
        <v>12</v>
      </c>
      <c r="G199" s="9" t="str">
        <f>VLOOKUP(B199,'Property Name List'!A$2:D$834,3,FALSE)</f>
        <v>Courtyard By Marriott Kingston Highway 401/Division Street</v>
      </c>
      <c r="H199" s="15">
        <v>46070</v>
      </c>
      <c r="I199" t="s">
        <v>14</v>
      </c>
      <c r="J199">
        <f>VLOOKUP(E199,'Room Count'!A$2:B$2616,2,FALSE)</f>
        <v>128</v>
      </c>
      <c r="K199" s="19"/>
      <c r="M199" s="19"/>
      <c r="Q199"/>
    </row>
    <row r="200" spans="1:17" ht="17.100000000000001">
      <c r="A200" s="13" t="s">
        <v>37</v>
      </c>
      <c r="B200" s="13" t="s">
        <v>258</v>
      </c>
      <c r="C200" s="26">
        <v>100433</v>
      </c>
      <c r="D200" s="13" t="s">
        <v>258</v>
      </c>
      <c r="E200" s="13">
        <v>341</v>
      </c>
      <c r="F200" s="13" t="s">
        <v>12</v>
      </c>
      <c r="G200" s="9" t="str">
        <f>VLOOKUP(B200,'Property Name List'!A$2:D$834,3,FALSE)</f>
        <v>Fairfield Inn &amp; Suites Louisville East</v>
      </c>
      <c r="H200" s="15">
        <v>46070</v>
      </c>
      <c r="I200" t="s">
        <v>14</v>
      </c>
      <c r="J200">
        <f>VLOOKUP(E200,'Room Count'!A$2:B$2616,2,FALSE)</f>
        <v>85</v>
      </c>
      <c r="K200" s="19"/>
      <c r="M200" s="19"/>
      <c r="Q200"/>
    </row>
    <row r="201" spans="1:17" ht="17.100000000000001">
      <c r="A201" s="13" t="s">
        <v>37</v>
      </c>
      <c r="B201" s="13" t="s">
        <v>259</v>
      </c>
      <c r="C201" s="26">
        <v>100435</v>
      </c>
      <c r="D201" s="13" t="s">
        <v>259</v>
      </c>
      <c r="E201" s="13">
        <v>342</v>
      </c>
      <c r="F201" s="13" t="s">
        <v>12</v>
      </c>
      <c r="G201" s="9" t="str">
        <f>VLOOKUP(B201,'Property Name List'!A$2:D$834,3,FALSE)</f>
        <v>Fairfield Inn &amp; Suites Moncton</v>
      </c>
      <c r="H201" s="15">
        <v>46070</v>
      </c>
      <c r="I201" t="s">
        <v>14</v>
      </c>
      <c r="J201">
        <f>VLOOKUP(E201,'Room Count'!A$2:B$2616,2,FALSE)</f>
        <v>82</v>
      </c>
      <c r="K201" s="19"/>
      <c r="M201" s="19"/>
      <c r="Q201"/>
    </row>
    <row r="202" spans="1:17" ht="17.100000000000001">
      <c r="A202" s="8" t="s">
        <v>35</v>
      </c>
      <c r="B202" s="8" t="s">
        <v>260</v>
      </c>
      <c r="C202" s="27">
        <v>200009</v>
      </c>
      <c r="D202" s="8" t="s">
        <v>260</v>
      </c>
      <c r="E202" s="8">
        <v>73</v>
      </c>
      <c r="F202" s="8" t="s">
        <v>20</v>
      </c>
      <c r="G202" s="9" t="str">
        <f>VLOOKUP(B202,'Property Name List'!A$2:D$834,3,FALSE)</f>
        <v>Fairfield Inn &amp; Suites Austin Buda</v>
      </c>
      <c r="H202" s="10">
        <v>46000</v>
      </c>
      <c r="I202" t="s">
        <v>14</v>
      </c>
      <c r="J202">
        <f>VLOOKUP(E202,'Room Count'!A$2:B$2616,2,FALSE)</f>
        <v>92</v>
      </c>
      <c r="K202" s="19"/>
      <c r="M202" s="19"/>
      <c r="Q202"/>
    </row>
    <row r="203" spans="1:17" ht="17.100000000000001">
      <c r="A203" s="8" t="s">
        <v>36</v>
      </c>
      <c r="B203" s="8" t="s">
        <v>261</v>
      </c>
      <c r="C203" s="25">
        <v>200011</v>
      </c>
      <c r="D203" s="8" t="s">
        <v>261</v>
      </c>
      <c r="E203" s="8">
        <v>74</v>
      </c>
      <c r="F203" s="8" t="s">
        <v>20</v>
      </c>
      <c r="G203" s="9" t="str">
        <f>VLOOKUP(B203,'Property Name List'!A$2:D$834,3,FALSE)</f>
        <v>Fairfield Inn &amp; Suites Kansas City North/Gladstone</v>
      </c>
      <c r="H203" s="11">
        <v>46042</v>
      </c>
      <c r="I203" t="s">
        <v>14</v>
      </c>
      <c r="J203">
        <f>VLOOKUP(E203,'Room Count'!A$2:B$2616,2,FALSE)</f>
        <v>111</v>
      </c>
      <c r="K203" s="19"/>
      <c r="M203" s="19"/>
      <c r="Q203"/>
    </row>
    <row r="204" spans="1:17" ht="17.100000000000001">
      <c r="A204" s="8" t="s">
        <v>35</v>
      </c>
      <c r="B204" s="8" t="s">
        <v>262</v>
      </c>
      <c r="C204" s="27">
        <v>200013</v>
      </c>
      <c r="D204" s="8" t="s">
        <v>262</v>
      </c>
      <c r="E204" s="8">
        <v>76</v>
      </c>
      <c r="F204" s="8" t="s">
        <v>20</v>
      </c>
      <c r="G204" s="9" t="str">
        <f>VLOOKUP(B204,'Property Name List'!A$2:D$834,3,FALSE)</f>
        <v>SpringHill Suites By Marriott Jackson Hole</v>
      </c>
      <c r="H204" s="10">
        <v>46000</v>
      </c>
      <c r="I204" t="s">
        <v>14</v>
      </c>
      <c r="J204">
        <f>VLOOKUP(E204,'Room Count'!A$2:B$2616,2,FALSE)</f>
        <v>121</v>
      </c>
      <c r="K204" s="19"/>
      <c r="M204" s="19"/>
      <c r="Q204"/>
    </row>
    <row r="205" spans="1:17" ht="17.100000000000001">
      <c r="A205" s="8" t="s">
        <v>35</v>
      </c>
      <c r="B205" s="8" t="s">
        <v>263</v>
      </c>
      <c r="C205" s="27">
        <v>200015</v>
      </c>
      <c r="D205" s="8" t="s">
        <v>263</v>
      </c>
      <c r="E205" s="8">
        <v>77</v>
      </c>
      <c r="F205" s="8" t="s">
        <v>20</v>
      </c>
      <c r="G205" s="9" t="str">
        <f>VLOOKUP(B205,'Property Name List'!A$2:D$834,3,FALSE)</f>
        <v>Fairfield by Marriott Inn &amp; Suites Denver Southwest/Littleton</v>
      </c>
      <c r="H205" s="10">
        <v>46000</v>
      </c>
      <c r="I205" t="s">
        <v>14</v>
      </c>
      <c r="J205">
        <f>VLOOKUP(E205,'Room Count'!A$2:B$2616,2,FALSE)</f>
        <v>108</v>
      </c>
      <c r="K205" s="19"/>
      <c r="M205" s="19"/>
      <c r="Q205"/>
    </row>
    <row r="206" spans="1:17" ht="17.100000000000001">
      <c r="A206" s="8" t="s">
        <v>36</v>
      </c>
      <c r="B206" s="8" t="s">
        <v>264</v>
      </c>
      <c r="C206" s="25">
        <v>200017</v>
      </c>
      <c r="D206" s="8" t="s">
        <v>264</v>
      </c>
      <c r="E206" s="8">
        <v>78</v>
      </c>
      <c r="F206" s="8" t="s">
        <v>20</v>
      </c>
      <c r="G206" s="9" t="str">
        <f>VLOOKUP(B206,'Property Name List'!A$2:D$834,3,FALSE)</f>
        <v>Fairfield Inn &amp; Suites Cheyenne</v>
      </c>
      <c r="H206" s="11">
        <v>46042</v>
      </c>
      <c r="I206" t="s">
        <v>14</v>
      </c>
      <c r="J206">
        <f>VLOOKUP(E206,'Room Count'!A$2:B$2616,2,FALSE)</f>
        <v>60</v>
      </c>
      <c r="K206" s="19"/>
      <c r="M206" s="19"/>
      <c r="Q206"/>
    </row>
    <row r="207" spans="1:17" ht="17.100000000000001">
      <c r="A207" s="8" t="s">
        <v>36</v>
      </c>
      <c r="B207" s="12" t="s">
        <v>265</v>
      </c>
      <c r="C207" s="25">
        <v>200019</v>
      </c>
      <c r="D207" s="12" t="s">
        <v>265</v>
      </c>
      <c r="E207" s="8">
        <v>80</v>
      </c>
      <c r="F207" s="8" t="s">
        <v>20</v>
      </c>
      <c r="G207" s="9" t="str">
        <f>VLOOKUP(B207,'Property Name List'!A$2:D$834,3,FALSE)</f>
        <v>Fairfield Inn &amp; Suites Vernon</v>
      </c>
      <c r="H207" s="11">
        <v>46042</v>
      </c>
      <c r="I207" t="s">
        <v>14</v>
      </c>
      <c r="J207">
        <f>VLOOKUP(E207,'Room Count'!A$2:B$2616,2,FALSE)</f>
        <v>97</v>
      </c>
      <c r="K207" s="19"/>
      <c r="M207" s="19"/>
      <c r="Q207"/>
    </row>
    <row r="208" spans="1:17" ht="17.100000000000001">
      <c r="A208" s="8" t="s">
        <v>35</v>
      </c>
      <c r="B208" s="8" t="s">
        <v>266</v>
      </c>
      <c r="C208" s="27">
        <v>200021</v>
      </c>
      <c r="D208" s="8" t="s">
        <v>266</v>
      </c>
      <c r="E208" s="8">
        <v>81</v>
      </c>
      <c r="F208" s="8" t="s">
        <v>20</v>
      </c>
      <c r="G208" s="9" t="str">
        <f>VLOOKUP(B208,'Property Name List'!A$2:D$834,3,FALSE)</f>
        <v>Courtyard By Marriott Portland North</v>
      </c>
      <c r="H208" s="10">
        <v>46000</v>
      </c>
      <c r="I208" t="s">
        <v>14</v>
      </c>
      <c r="J208">
        <f>VLOOKUP(E208,'Room Count'!A$2:B$2616,2,FALSE)</f>
        <v>133</v>
      </c>
      <c r="K208" s="19"/>
      <c r="M208" s="19"/>
      <c r="Q208"/>
    </row>
    <row r="209" spans="1:17" ht="17.100000000000001">
      <c r="A209" s="8" t="s">
        <v>36</v>
      </c>
      <c r="B209" s="12" t="s">
        <v>267</v>
      </c>
      <c r="C209" s="25">
        <v>200023</v>
      </c>
      <c r="D209" s="12" t="s">
        <v>267</v>
      </c>
      <c r="E209" s="8">
        <v>82</v>
      </c>
      <c r="F209" s="8" t="s">
        <v>20</v>
      </c>
      <c r="G209" s="9" t="str">
        <f>VLOOKUP(B209,'Property Name List'!A$2:D$834,3,FALSE)</f>
        <v>Fairfield by Marriott Inn &amp; Suites Salmon Arm</v>
      </c>
      <c r="H209" s="11">
        <v>46042</v>
      </c>
      <c r="I209" t="s">
        <v>14</v>
      </c>
      <c r="J209">
        <f>VLOOKUP(E209,'Room Count'!A$2:B$2616,2,FALSE)</f>
        <v>95</v>
      </c>
      <c r="K209" s="19"/>
      <c r="M209" s="19"/>
      <c r="Q209"/>
    </row>
    <row r="210" spans="1:17" ht="17.100000000000001">
      <c r="A210" s="8" t="s">
        <v>36</v>
      </c>
      <c r="B210" s="12" t="s">
        <v>268</v>
      </c>
      <c r="C210" s="25">
        <v>200025</v>
      </c>
      <c r="D210" s="12" t="s">
        <v>268</v>
      </c>
      <c r="E210" s="8">
        <v>83</v>
      </c>
      <c r="F210" s="8" t="s">
        <v>20</v>
      </c>
      <c r="G210" s="9" t="str">
        <f>VLOOKUP(B210,'Property Name List'!A$2:D$834,3,FALSE)</f>
        <v>Courtyard By Marriott Prince George</v>
      </c>
      <c r="H210" s="11">
        <v>46042</v>
      </c>
      <c r="I210" t="s">
        <v>14</v>
      </c>
      <c r="J210">
        <f>VLOOKUP(E210,'Room Count'!A$2:B$2616,2,FALSE)</f>
        <v>174</v>
      </c>
      <c r="K210" s="19"/>
      <c r="M210" s="19"/>
      <c r="Q210"/>
    </row>
    <row r="211" spans="1:17" ht="17.100000000000001">
      <c r="A211" s="8" t="s">
        <v>36</v>
      </c>
      <c r="B211" s="12" t="s">
        <v>269</v>
      </c>
      <c r="C211" s="25">
        <v>200027</v>
      </c>
      <c r="D211" s="12" t="s">
        <v>269</v>
      </c>
      <c r="E211" s="8">
        <v>84</v>
      </c>
      <c r="F211" s="8" t="s">
        <v>20</v>
      </c>
      <c r="G211" s="9" t="str">
        <f>VLOOKUP(B211,'Property Name List'!A$2:D$834,3,FALSE)</f>
        <v>Fairfield by Marriott Inn &amp; Suites Revelstoke</v>
      </c>
      <c r="H211" s="11">
        <v>46042</v>
      </c>
      <c r="I211" t="s">
        <v>14</v>
      </c>
      <c r="J211">
        <f>VLOOKUP(E211,'Room Count'!A$2:B$2616,2,FALSE)</f>
        <v>87</v>
      </c>
      <c r="K211" s="19"/>
      <c r="M211" s="19"/>
      <c r="Q211"/>
    </row>
    <row r="212" spans="1:17" ht="17.100000000000001">
      <c r="A212" s="8" t="s">
        <v>36</v>
      </c>
      <c r="B212" s="8" t="s">
        <v>270</v>
      </c>
      <c r="C212" s="25">
        <v>200029</v>
      </c>
      <c r="D212" s="8" t="s">
        <v>270</v>
      </c>
      <c r="E212" s="8">
        <v>85</v>
      </c>
      <c r="F212" s="8" t="s">
        <v>20</v>
      </c>
      <c r="G212" s="9" t="str">
        <f>VLOOKUP(B212,'Property Name List'!A$2:D$834,3,FALSE)</f>
        <v>Fairfield Inn &amp; Suites Moses Lake</v>
      </c>
      <c r="H212" s="11">
        <v>46042</v>
      </c>
      <c r="I212" t="s">
        <v>14</v>
      </c>
      <c r="J212">
        <f>VLOOKUP(E212,'Room Count'!A$2:B$2616,2,FALSE)</f>
        <v>84</v>
      </c>
      <c r="K212" s="19"/>
      <c r="M212" s="19"/>
      <c r="Q212"/>
    </row>
    <row r="213" spans="1:17" ht="17.100000000000001">
      <c r="A213" s="8" t="s">
        <v>36</v>
      </c>
      <c r="B213" s="8" t="s">
        <v>271</v>
      </c>
      <c r="C213" s="25">
        <v>200031</v>
      </c>
      <c r="D213" s="8" t="s">
        <v>271</v>
      </c>
      <c r="E213" s="8">
        <v>87</v>
      </c>
      <c r="F213" s="8" t="s">
        <v>20</v>
      </c>
      <c r="G213" s="9" t="str">
        <f>VLOOKUP(B213,'Property Name List'!A$2:D$834,3,FALSE)</f>
        <v>Fairfield Inn &amp; Suites Boise West</v>
      </c>
      <c r="H213" s="11">
        <v>46042</v>
      </c>
      <c r="I213" t="s">
        <v>14</v>
      </c>
      <c r="J213">
        <f>VLOOKUP(E213,'Room Count'!A$2:B$2616,2,FALSE)</f>
        <v>106</v>
      </c>
      <c r="K213" s="19"/>
      <c r="M213" s="19"/>
      <c r="Q213"/>
    </row>
    <row r="214" spans="1:17" ht="17.100000000000001">
      <c r="A214" s="8" t="s">
        <v>35</v>
      </c>
      <c r="B214" s="12" t="s">
        <v>272</v>
      </c>
      <c r="C214" s="27">
        <v>200033</v>
      </c>
      <c r="D214" s="12" t="s">
        <v>272</v>
      </c>
      <c r="E214" s="8">
        <v>91</v>
      </c>
      <c r="F214" s="8" t="s">
        <v>20</v>
      </c>
      <c r="G214" s="9" t="str">
        <f>VLOOKUP(B214,'Property Name List'!A$2:D$834,3,FALSE)</f>
        <v>Fairfield Inn &amp; Suites Lethbridge</v>
      </c>
      <c r="H214" s="10">
        <v>46000</v>
      </c>
      <c r="I214" t="s">
        <v>14</v>
      </c>
      <c r="J214">
        <f>VLOOKUP(E214,'Room Count'!A$2:B$2616,2,FALSE)</f>
        <v>81</v>
      </c>
      <c r="K214" s="19"/>
      <c r="M214" s="19"/>
      <c r="Q214"/>
    </row>
    <row r="215" spans="1:17" ht="17.100000000000001">
      <c r="A215" s="8" t="s">
        <v>36</v>
      </c>
      <c r="B215" s="8" t="s">
        <v>273</v>
      </c>
      <c r="C215" s="25">
        <v>200035</v>
      </c>
      <c r="D215" s="8" t="s">
        <v>273</v>
      </c>
      <c r="E215" s="8">
        <v>96</v>
      </c>
      <c r="F215" s="8" t="s">
        <v>20</v>
      </c>
      <c r="G215" s="9" t="str">
        <f>VLOOKUP(B215,'Property Name List'!A$2:D$834,3,FALSE)</f>
        <v>SpringHill Suites By Marriott Little Rock West</v>
      </c>
      <c r="H215" s="11">
        <v>46042</v>
      </c>
      <c r="I215" t="s">
        <v>14</v>
      </c>
      <c r="J215">
        <f>VLOOKUP(E215,'Room Count'!A$2:B$2616,2,FALSE)</f>
        <v>78</v>
      </c>
      <c r="K215" s="19"/>
      <c r="M215" s="19"/>
      <c r="Q215"/>
    </row>
    <row r="216" spans="1:17" ht="17.100000000000001">
      <c r="A216" s="8" t="s">
        <v>36</v>
      </c>
      <c r="B216" s="8" t="s">
        <v>274</v>
      </c>
      <c r="C216" s="25">
        <v>200037</v>
      </c>
      <c r="D216" s="8" t="s">
        <v>274</v>
      </c>
      <c r="E216" s="8">
        <v>100</v>
      </c>
      <c r="F216" s="8" t="s">
        <v>20</v>
      </c>
      <c r="G216" s="9" t="str">
        <f>VLOOKUP(B216,'Property Name List'!A$2:D$834,3,FALSE)</f>
        <v>SpringHill Suites By Marriott Dallas McKinney/Allen</v>
      </c>
      <c r="H216" s="11">
        <v>46042</v>
      </c>
      <c r="I216" t="s">
        <v>14</v>
      </c>
      <c r="J216">
        <f>VLOOKUP(E216,'Room Count'!A$2:B$2616,2,FALSE)</f>
        <v>125</v>
      </c>
      <c r="K216" s="19"/>
      <c r="M216" s="19"/>
      <c r="Q216"/>
    </row>
    <row r="217" spans="1:17" ht="17.100000000000001">
      <c r="A217" s="8" t="s">
        <v>35</v>
      </c>
      <c r="B217" s="8" t="s">
        <v>275</v>
      </c>
      <c r="C217" s="27">
        <v>200039</v>
      </c>
      <c r="D217" s="8" t="s">
        <v>275</v>
      </c>
      <c r="E217" s="8">
        <v>103</v>
      </c>
      <c r="F217" s="8" t="s">
        <v>20</v>
      </c>
      <c r="G217" s="9" t="str">
        <f>VLOOKUP(B217,'Property Name List'!A$2:D$834,3,FALSE)</f>
        <v>SpringHill Suites By Marriott Austin Cedar Park</v>
      </c>
      <c r="H217" s="10">
        <v>46000</v>
      </c>
      <c r="I217" t="s">
        <v>14</v>
      </c>
      <c r="J217">
        <f>VLOOKUP(E217,'Room Count'!A$2:B$2616,2,FALSE)</f>
        <v>85</v>
      </c>
      <c r="K217" s="19"/>
      <c r="M217" s="19"/>
      <c r="Q217"/>
    </row>
    <row r="218" spans="1:17" ht="17.100000000000001">
      <c r="A218" s="8" t="s">
        <v>35</v>
      </c>
      <c r="B218" s="8" t="s">
        <v>276</v>
      </c>
      <c r="C218" s="27">
        <v>200041</v>
      </c>
      <c r="D218" s="8" t="s">
        <v>276</v>
      </c>
      <c r="E218" s="8">
        <v>104</v>
      </c>
      <c r="F218" s="8" t="s">
        <v>20</v>
      </c>
      <c r="G218" s="9" t="str">
        <f>VLOOKUP(B218,'Property Name List'!A$2:D$834,3,FALSE)</f>
        <v>Courtyard By Marriott Austin Northwest/Lakeline</v>
      </c>
      <c r="H218" s="10">
        <v>46000</v>
      </c>
      <c r="I218" t="s">
        <v>14</v>
      </c>
      <c r="J218">
        <f>VLOOKUP(E218,'Room Count'!A$2:B$2616,2,FALSE)</f>
        <v>118</v>
      </c>
      <c r="K218" s="19"/>
      <c r="M218" s="19"/>
      <c r="Q218"/>
    </row>
    <row r="219" spans="1:17" ht="17.100000000000001">
      <c r="A219" s="8" t="s">
        <v>35</v>
      </c>
      <c r="B219" s="8" t="s">
        <v>277</v>
      </c>
      <c r="C219" s="27">
        <v>200043</v>
      </c>
      <c r="D219" s="8" t="s">
        <v>277</v>
      </c>
      <c r="E219" s="8">
        <v>109</v>
      </c>
      <c r="F219" s="8" t="s">
        <v>20</v>
      </c>
      <c r="G219" s="9" t="str">
        <f>VLOOKUP(B219,'Property Name List'!A$2:D$834,3,FALSE)</f>
        <v>Courtyard By Marriott Boise Downtown</v>
      </c>
      <c r="H219" s="10">
        <v>46000</v>
      </c>
      <c r="I219" t="s">
        <v>14</v>
      </c>
      <c r="J219">
        <f>VLOOKUP(E219,'Room Count'!A$2:B$2616,2,FALSE)</f>
        <v>163</v>
      </c>
      <c r="K219" s="19"/>
      <c r="M219" s="19"/>
      <c r="Q219"/>
    </row>
    <row r="220" spans="1:17" ht="17.100000000000001">
      <c r="A220" s="8" t="s">
        <v>36</v>
      </c>
      <c r="B220" s="13" t="s">
        <v>278</v>
      </c>
      <c r="C220" s="25">
        <v>200045</v>
      </c>
      <c r="D220" s="13" t="s">
        <v>278</v>
      </c>
      <c r="E220" s="13">
        <v>174</v>
      </c>
      <c r="F220" s="13" t="s">
        <v>20</v>
      </c>
      <c r="G220" s="9" t="str">
        <f>VLOOKUP(B220,'Property Name List'!A$2:D$834,3,FALSE)</f>
        <v>Courtyard By Marriott Omaha Bellevue at Beardmore Event Center</v>
      </c>
      <c r="H220" s="11">
        <v>46042</v>
      </c>
      <c r="I220" t="s">
        <v>14</v>
      </c>
      <c r="J220">
        <f>VLOOKUP(E220,'Room Count'!A$2:B$2616,2,FALSE)</f>
        <v>121</v>
      </c>
      <c r="K220" s="19"/>
      <c r="M220" s="19"/>
      <c r="Q220"/>
    </row>
    <row r="221" spans="1:17" ht="17.100000000000001">
      <c r="A221" s="8" t="s">
        <v>36</v>
      </c>
      <c r="B221" s="13" t="s">
        <v>279</v>
      </c>
      <c r="C221" s="25">
        <v>200047</v>
      </c>
      <c r="D221" s="13" t="s">
        <v>279</v>
      </c>
      <c r="E221" s="13">
        <v>176</v>
      </c>
      <c r="F221" s="13" t="s">
        <v>20</v>
      </c>
      <c r="G221" s="9" t="str">
        <f>VLOOKUP(B221,'Property Name List'!A$2:D$834,3,FALSE)</f>
        <v>Fairfield Inn &amp; Suites North Platte</v>
      </c>
      <c r="H221" s="11">
        <v>46042</v>
      </c>
      <c r="I221" t="s">
        <v>14</v>
      </c>
      <c r="J221">
        <f>VLOOKUP(E221,'Room Count'!A$2:B$2616,2,FALSE)</f>
        <v>82</v>
      </c>
      <c r="K221" s="19"/>
      <c r="M221" s="19"/>
      <c r="Q221"/>
    </row>
    <row r="222" spans="1:17" ht="17.100000000000001">
      <c r="A222" s="8" t="s">
        <v>36</v>
      </c>
      <c r="B222" s="13" t="s">
        <v>280</v>
      </c>
      <c r="C222" s="25">
        <v>200049</v>
      </c>
      <c r="D222" s="13" t="s">
        <v>280</v>
      </c>
      <c r="E222" s="13">
        <v>178</v>
      </c>
      <c r="F222" s="13" t="s">
        <v>20</v>
      </c>
      <c r="G222" s="9" t="str">
        <f>VLOOKUP(B222,'Property Name List'!A$2:D$834,3,FALSE)</f>
        <v>AC Hotel Oklahoma City Bricktown</v>
      </c>
      <c r="H222" s="11">
        <v>46042</v>
      </c>
      <c r="I222" t="s">
        <v>14</v>
      </c>
      <c r="J222">
        <f>VLOOKUP(E222,'Room Count'!A$2:B$2616,2,FALSE)</f>
        <v>142</v>
      </c>
      <c r="K222" s="19"/>
      <c r="M222" s="19"/>
      <c r="Q222"/>
    </row>
    <row r="223" spans="1:17" ht="17.100000000000001">
      <c r="A223" s="8" t="s">
        <v>36</v>
      </c>
      <c r="B223" s="13" t="s">
        <v>281</v>
      </c>
      <c r="C223" s="25">
        <v>200051</v>
      </c>
      <c r="D223" s="13" t="s">
        <v>281</v>
      </c>
      <c r="E223" s="13">
        <v>180</v>
      </c>
      <c r="F223" s="13" t="s">
        <v>20</v>
      </c>
      <c r="G223" s="9" t="str">
        <f>VLOOKUP(B223,'Property Name List'!A$2:D$834,3,FALSE)</f>
        <v>Fairfield Inn &amp; Suites Arkadelphia</v>
      </c>
      <c r="H223" s="11">
        <v>46042</v>
      </c>
      <c r="I223" t="s">
        <v>14</v>
      </c>
      <c r="J223">
        <f>VLOOKUP(E223,'Room Count'!A$2:B$2616,2,FALSE)</f>
        <v>83</v>
      </c>
      <c r="K223" s="19"/>
      <c r="M223" s="19"/>
      <c r="Q223"/>
    </row>
    <row r="224" spans="1:17" ht="17.100000000000001">
      <c r="A224" s="13" t="s">
        <v>38</v>
      </c>
      <c r="B224" s="13" t="s">
        <v>282</v>
      </c>
      <c r="C224" s="25">
        <v>200053</v>
      </c>
      <c r="D224" s="13" t="s">
        <v>282</v>
      </c>
      <c r="E224" s="13">
        <v>182</v>
      </c>
      <c r="F224" s="13" t="s">
        <v>20</v>
      </c>
      <c r="G224" s="9" t="str">
        <f>VLOOKUP(B224,'Property Name List'!A$2:D$834,3,FALSE)</f>
        <v>Fairfield Inn &amp; Suites Cape Girardeau</v>
      </c>
      <c r="H224" s="15">
        <v>46084</v>
      </c>
      <c r="I224" t="s">
        <v>14</v>
      </c>
      <c r="J224">
        <f>VLOOKUP(E224,'Room Count'!A$2:B$2616,2,FALSE)</f>
        <v>103</v>
      </c>
      <c r="K224" s="19"/>
      <c r="M224" s="19"/>
      <c r="Q224"/>
    </row>
    <row r="225" spans="1:17" ht="17.100000000000001">
      <c r="A225" s="8" t="s">
        <v>36</v>
      </c>
      <c r="B225" s="13" t="s">
        <v>283</v>
      </c>
      <c r="C225" s="25">
        <v>200055</v>
      </c>
      <c r="D225" s="13" t="s">
        <v>283</v>
      </c>
      <c r="E225" s="13">
        <v>184</v>
      </c>
      <c r="F225" s="13" t="s">
        <v>20</v>
      </c>
      <c r="G225" s="9" t="str">
        <f>VLOOKUP(B225,'Property Name List'!A$2:D$834,3,FALSE)</f>
        <v>Fairfield Inn &amp; Suites Klamath Falls</v>
      </c>
      <c r="H225" s="11">
        <v>46042</v>
      </c>
      <c r="I225" t="s">
        <v>14</v>
      </c>
      <c r="J225">
        <f>VLOOKUP(E225,'Room Count'!A$2:B$2616,2,FALSE)</f>
        <v>92</v>
      </c>
      <c r="K225" s="19"/>
      <c r="M225" s="19"/>
      <c r="Q225"/>
    </row>
    <row r="226" spans="1:17" ht="17.100000000000001">
      <c r="A226" s="13" t="s">
        <v>38</v>
      </c>
      <c r="B226" s="13" t="s">
        <v>284</v>
      </c>
      <c r="C226" s="25">
        <v>200057</v>
      </c>
      <c r="D226" s="13" t="s">
        <v>284</v>
      </c>
      <c r="E226" s="13">
        <v>186</v>
      </c>
      <c r="F226" s="13" t="s">
        <v>20</v>
      </c>
      <c r="G226" s="9" t="str">
        <f>VLOOKUP(B226,'Property Name List'!A$2:D$834,3,FALSE)</f>
        <v>Fairfield Inn &amp; Suites Carlsbad</v>
      </c>
      <c r="H226" s="15">
        <v>46084</v>
      </c>
      <c r="I226" t="s">
        <v>14</v>
      </c>
      <c r="J226">
        <f>VLOOKUP(E226,'Room Count'!A$2:B$2616,2,FALSE)</f>
        <v>91</v>
      </c>
      <c r="K226" s="19"/>
      <c r="M226" s="19"/>
      <c r="Q226"/>
    </row>
    <row r="227" spans="1:17" ht="17.100000000000001">
      <c r="A227" s="13" t="s">
        <v>38</v>
      </c>
      <c r="B227" s="13" t="s">
        <v>285</v>
      </c>
      <c r="C227" s="25">
        <v>200059</v>
      </c>
      <c r="D227" s="13" t="s">
        <v>285</v>
      </c>
      <c r="E227" s="13">
        <v>188</v>
      </c>
      <c r="F227" s="13" t="s">
        <v>20</v>
      </c>
      <c r="G227" s="9" t="str">
        <f>VLOOKUP(B227,'Property Name List'!A$2:D$834,3,FALSE)</f>
        <v>Courtyard By Marriott San Marcos</v>
      </c>
      <c r="H227" s="15">
        <v>46084</v>
      </c>
      <c r="I227" t="s">
        <v>14</v>
      </c>
      <c r="J227">
        <f>VLOOKUP(E227,'Room Count'!A$2:B$2616,2,FALSE)</f>
        <v>97</v>
      </c>
      <c r="K227" s="19"/>
      <c r="M227" s="19"/>
      <c r="Q227"/>
    </row>
    <row r="228" spans="1:17" ht="17.100000000000001">
      <c r="A228" s="13" t="s">
        <v>38</v>
      </c>
      <c r="B228" s="13" t="s">
        <v>286</v>
      </c>
      <c r="C228" s="25">
        <v>200061</v>
      </c>
      <c r="D228" s="13" t="s">
        <v>286</v>
      </c>
      <c r="E228" s="13">
        <v>189</v>
      </c>
      <c r="F228" s="13" t="s">
        <v>20</v>
      </c>
      <c r="G228" s="9" t="str">
        <f>VLOOKUP(B228,'Property Name List'!A$2:D$834,3,FALSE)</f>
        <v>Fairfield Inn &amp; Suites Denver West/Federal Center</v>
      </c>
      <c r="H228" s="15">
        <v>46084</v>
      </c>
      <c r="I228" t="s">
        <v>14</v>
      </c>
      <c r="J228">
        <f>VLOOKUP(E228,'Room Count'!A$2:B$2616,2,FALSE)</f>
        <v>128</v>
      </c>
      <c r="K228" s="19"/>
      <c r="M228" s="19"/>
      <c r="Q228"/>
    </row>
    <row r="229" spans="1:17" ht="17.100000000000001">
      <c r="A229" s="13" t="s">
        <v>38</v>
      </c>
      <c r="B229" s="13" t="s">
        <v>287</v>
      </c>
      <c r="C229" s="25">
        <v>200063</v>
      </c>
      <c r="D229" s="13" t="s">
        <v>287</v>
      </c>
      <c r="E229" s="13">
        <v>191</v>
      </c>
      <c r="F229" s="13" t="s">
        <v>20</v>
      </c>
      <c r="G229" s="9" t="str">
        <f>VLOOKUP(B229,'Property Name List'!A$2:D$834,3,FALSE)</f>
        <v>Fairfield Inn &amp; Suites Corpus Christi Aransas Pass</v>
      </c>
      <c r="H229" s="15">
        <v>46084</v>
      </c>
      <c r="I229" t="s">
        <v>14</v>
      </c>
      <c r="J229">
        <f>VLOOKUP(E229,'Room Count'!A$2:B$2616,2,FALSE)</f>
        <v>88</v>
      </c>
      <c r="K229" s="19"/>
      <c r="M229" s="19"/>
      <c r="Q229"/>
    </row>
    <row r="230" spans="1:17" ht="17.100000000000001">
      <c r="A230" s="8" t="s">
        <v>36</v>
      </c>
      <c r="B230" s="13" t="s">
        <v>288</v>
      </c>
      <c r="C230" s="25">
        <v>200065</v>
      </c>
      <c r="D230" s="13" t="s">
        <v>288</v>
      </c>
      <c r="E230" s="13">
        <v>194</v>
      </c>
      <c r="F230" s="13" t="s">
        <v>20</v>
      </c>
      <c r="G230" s="9" t="str">
        <f>VLOOKUP(B230,'Property Name List'!A$2:D$834,3,FALSE)</f>
        <v>Courtyard By Marriott Russellville</v>
      </c>
      <c r="H230" s="11">
        <v>46042</v>
      </c>
      <c r="I230" t="s">
        <v>14</v>
      </c>
      <c r="J230">
        <f>VLOOKUP(E230,'Room Count'!A$2:B$2616,2,FALSE)</f>
        <v>108</v>
      </c>
      <c r="K230" s="19"/>
      <c r="M230" s="19"/>
      <c r="Q230"/>
    </row>
    <row r="231" spans="1:17" ht="17.100000000000001">
      <c r="A231" s="8" t="s">
        <v>36</v>
      </c>
      <c r="B231" s="13" t="s">
        <v>289</v>
      </c>
      <c r="C231" s="25">
        <v>200067</v>
      </c>
      <c r="D231" s="13" t="s">
        <v>289</v>
      </c>
      <c r="E231" s="13">
        <v>195</v>
      </c>
      <c r="F231" s="13" t="s">
        <v>20</v>
      </c>
      <c r="G231" s="9" t="str">
        <f>VLOOKUP(B231,'Property Name List'!A$2:D$834,3,FALSE)</f>
        <v>Fairfield Inn &amp; Suites San Angelo</v>
      </c>
      <c r="H231" s="11">
        <v>46042</v>
      </c>
      <c r="I231" t="s">
        <v>14</v>
      </c>
      <c r="J231">
        <f>VLOOKUP(E231,'Room Count'!A$2:B$2616,2,FALSE)</f>
        <v>73</v>
      </c>
      <c r="K231" s="19"/>
      <c r="M231" s="19"/>
      <c r="Q231"/>
    </row>
    <row r="232" spans="1:17" ht="17.100000000000001">
      <c r="A232" s="13" t="s">
        <v>38</v>
      </c>
      <c r="B232" s="13" t="s">
        <v>290</v>
      </c>
      <c r="C232" s="25">
        <v>200069</v>
      </c>
      <c r="D232" s="13" t="s">
        <v>290</v>
      </c>
      <c r="E232" s="13">
        <v>196</v>
      </c>
      <c r="F232" s="13" t="s">
        <v>20</v>
      </c>
      <c r="G232" s="9" t="str">
        <f>VLOOKUP(B232,'Property Name List'!A$2:D$834,3,FALSE)</f>
        <v>SpringHill Suites By Marriott Chicago Chinatown</v>
      </c>
      <c r="H232" s="15">
        <v>46084</v>
      </c>
      <c r="I232" t="s">
        <v>14</v>
      </c>
      <c r="J232">
        <f>VLOOKUP(E232,'Room Count'!A$2:B$2616,2,FALSE)</f>
        <v>151</v>
      </c>
      <c r="K232" s="19"/>
      <c r="M232" s="19"/>
      <c r="Q232"/>
    </row>
    <row r="233" spans="1:17" ht="17.100000000000001">
      <c r="A233" s="13" t="s">
        <v>38</v>
      </c>
      <c r="B233" s="13" t="s">
        <v>291</v>
      </c>
      <c r="C233" s="25">
        <v>200071</v>
      </c>
      <c r="D233" s="13" t="s">
        <v>291</v>
      </c>
      <c r="E233" s="13">
        <v>197</v>
      </c>
      <c r="F233" s="13" t="s">
        <v>20</v>
      </c>
      <c r="G233" s="9" t="str">
        <f>VLOOKUP(B233,'Property Name List'!A$2:D$834,3,FALSE)</f>
        <v>Courtyard By Marriott Austin-University Area</v>
      </c>
      <c r="H233" s="15">
        <v>46084</v>
      </c>
      <c r="I233" t="s">
        <v>14</v>
      </c>
      <c r="J233">
        <f>VLOOKUP(E233,'Room Count'!A$2:B$2616,2,FALSE)</f>
        <v>196</v>
      </c>
      <c r="K233" s="19"/>
      <c r="Q233"/>
    </row>
    <row r="234" spans="1:17" ht="17.100000000000001">
      <c r="A234" s="13" t="s">
        <v>38</v>
      </c>
      <c r="B234" s="13" t="s">
        <v>292</v>
      </c>
      <c r="C234" s="25">
        <v>200073</v>
      </c>
      <c r="D234" s="13" t="s">
        <v>292</v>
      </c>
      <c r="E234" s="13">
        <v>198</v>
      </c>
      <c r="F234" s="13" t="s">
        <v>20</v>
      </c>
      <c r="G234" s="9" t="str">
        <f>VLOOKUP(B234,'Property Name List'!A$2:D$834,3,FALSE)</f>
        <v>SpringHill Suites By Marriott Cheyenne</v>
      </c>
      <c r="H234" s="15">
        <v>46084</v>
      </c>
      <c r="I234" t="s">
        <v>14</v>
      </c>
      <c r="J234">
        <f>VLOOKUP(E234,'Room Count'!A$2:B$2616,2,FALSE)</f>
        <v>92</v>
      </c>
      <c r="K234" s="19"/>
      <c r="Q234"/>
    </row>
    <row r="235" spans="1:17" ht="17.100000000000001">
      <c r="A235" s="8" t="s">
        <v>36</v>
      </c>
      <c r="B235" s="13" t="s">
        <v>293</v>
      </c>
      <c r="C235" s="25">
        <v>200075</v>
      </c>
      <c r="D235" s="13" t="s">
        <v>293</v>
      </c>
      <c r="E235" s="13">
        <v>200</v>
      </c>
      <c r="F235" s="13" t="s">
        <v>20</v>
      </c>
      <c r="G235" s="9" t="str">
        <f>VLOOKUP(B235,'Property Name List'!A$2:D$834,3,FALSE)</f>
        <v>Courtyard By Marriott Phoenix Mesa Gateway Airport</v>
      </c>
      <c r="H235" s="11">
        <v>46042</v>
      </c>
      <c r="I235" t="s">
        <v>14</v>
      </c>
      <c r="J235">
        <f>VLOOKUP(E235,'Room Count'!A$2:B$2616,2,FALSE)</f>
        <v>99</v>
      </c>
      <c r="K235" s="19"/>
      <c r="Q235"/>
    </row>
    <row r="236" spans="1:17" ht="17.100000000000001">
      <c r="A236" s="13" t="s">
        <v>38</v>
      </c>
      <c r="B236" s="13" t="s">
        <v>294</v>
      </c>
      <c r="C236" s="25">
        <v>200077</v>
      </c>
      <c r="D236" s="13" t="s">
        <v>294</v>
      </c>
      <c r="E236" s="13">
        <v>201</v>
      </c>
      <c r="F236" s="13" t="s">
        <v>20</v>
      </c>
      <c r="G236" s="9" t="str">
        <f>VLOOKUP(B236,'Property Name List'!A$2:D$834,3,FALSE)</f>
        <v>Fairfield Inn &amp; Suites Colorado Springs North/Air Force Academy</v>
      </c>
      <c r="H236" s="15">
        <v>46084</v>
      </c>
      <c r="I236" t="s">
        <v>14</v>
      </c>
      <c r="J236">
        <f>VLOOKUP(E236,'Room Count'!A$2:B$2616,2,FALSE)</f>
        <v>85</v>
      </c>
      <c r="K236" s="19"/>
      <c r="Q236"/>
    </row>
    <row r="237" spans="1:17" ht="17.100000000000001">
      <c r="A237" s="13" t="s">
        <v>38</v>
      </c>
      <c r="B237" s="13" t="s">
        <v>295</v>
      </c>
      <c r="C237" s="25">
        <v>200079</v>
      </c>
      <c r="D237" s="13" t="s">
        <v>295</v>
      </c>
      <c r="E237" s="13">
        <v>202</v>
      </c>
      <c r="F237" s="13" t="s">
        <v>20</v>
      </c>
      <c r="G237" s="9" t="str">
        <f>VLOOKUP(B237,'Property Name List'!A$2:D$834,3,FALSE)</f>
        <v>Fairfield by Marriott Inn &amp; Suites Denver Southwest/Lakewood</v>
      </c>
      <c r="H237" s="15">
        <v>46084</v>
      </c>
      <c r="I237" t="s">
        <v>14</v>
      </c>
      <c r="J237">
        <f>VLOOKUP(E237,'Room Count'!A$2:B$2616,2,FALSE)</f>
        <v>142</v>
      </c>
      <c r="K237" s="19"/>
      <c r="Q237"/>
    </row>
    <row r="238" spans="1:17" ht="17.100000000000001">
      <c r="A238" s="13" t="s">
        <v>38</v>
      </c>
      <c r="B238" s="13" t="s">
        <v>296</v>
      </c>
      <c r="C238" s="25">
        <v>200081</v>
      </c>
      <c r="D238" s="13" t="s">
        <v>296</v>
      </c>
      <c r="E238" s="13">
        <v>204</v>
      </c>
      <c r="F238" s="13" t="s">
        <v>20</v>
      </c>
      <c r="G238" s="9" t="str">
        <f>VLOOKUP(B238,'Property Name List'!A$2:D$834,3,FALSE)</f>
        <v>SpringHill Suites By Marriott Austin West/Lakeway</v>
      </c>
      <c r="H238" s="15">
        <v>46084</v>
      </c>
      <c r="I238" t="s">
        <v>14</v>
      </c>
      <c r="J238">
        <f>VLOOKUP(E238,'Room Count'!A$2:B$2616,2,FALSE)</f>
        <v>88</v>
      </c>
      <c r="K238" s="19"/>
      <c r="Q238"/>
    </row>
    <row r="239" spans="1:17" ht="17.100000000000001">
      <c r="A239" s="13" t="s">
        <v>38</v>
      </c>
      <c r="B239" s="13" t="s">
        <v>297</v>
      </c>
      <c r="C239" s="25">
        <v>200083</v>
      </c>
      <c r="D239" s="13" t="s">
        <v>297</v>
      </c>
      <c r="E239" s="13">
        <v>205</v>
      </c>
      <c r="F239" s="13" t="s">
        <v>20</v>
      </c>
      <c r="G239" s="9" t="str">
        <f>VLOOKUP(B239,'Property Name List'!A$2:D$834,3,FALSE)</f>
        <v>SpringHill Suites By Marriott Colorado Springs North/Air Force Academy</v>
      </c>
      <c r="H239" s="15">
        <v>46084</v>
      </c>
      <c r="I239" t="s">
        <v>14</v>
      </c>
      <c r="J239">
        <f>VLOOKUP(E239,'Room Count'!A$2:B$2616,2,FALSE)</f>
        <v>104</v>
      </c>
      <c r="K239" s="19"/>
      <c r="Q239"/>
    </row>
    <row r="240" spans="1:17" ht="17.100000000000001">
      <c r="A240" s="13" t="s">
        <v>38</v>
      </c>
      <c r="B240" s="13" t="s">
        <v>298</v>
      </c>
      <c r="C240" s="25">
        <v>200085</v>
      </c>
      <c r="D240" s="13" t="s">
        <v>298</v>
      </c>
      <c r="E240" s="13">
        <v>206</v>
      </c>
      <c r="F240" s="13" t="s">
        <v>20</v>
      </c>
      <c r="G240" s="9" t="str">
        <f>VLOOKUP(B240,'Property Name List'!A$2:D$834,3,FALSE)</f>
        <v>Fairfield Inn &amp; Suites Scottsbluff</v>
      </c>
      <c r="H240" s="15">
        <v>46084</v>
      </c>
      <c r="I240" t="s">
        <v>14</v>
      </c>
      <c r="J240">
        <f>VLOOKUP(E240,'Room Count'!A$2:B$2616,2,FALSE)</f>
        <v>85</v>
      </c>
      <c r="K240" s="19"/>
      <c r="Q240"/>
    </row>
    <row r="241" spans="1:17" ht="17.100000000000001">
      <c r="A241" s="8" t="s">
        <v>36</v>
      </c>
      <c r="B241" s="13" t="s">
        <v>299</v>
      </c>
      <c r="C241" s="25">
        <v>200087</v>
      </c>
      <c r="D241" s="13" t="s">
        <v>299</v>
      </c>
      <c r="E241" s="13">
        <v>207</v>
      </c>
      <c r="F241" s="13" t="s">
        <v>20</v>
      </c>
      <c r="G241" s="9" t="str">
        <f>VLOOKUP(B241,'Property Name List'!A$2:D$834,3,FALSE)</f>
        <v>SpringHill Suites By Marriott Midland Odessa</v>
      </c>
      <c r="H241" s="11">
        <v>46042</v>
      </c>
      <c r="I241" t="s">
        <v>14</v>
      </c>
      <c r="J241">
        <f>VLOOKUP(E241,'Room Count'!A$2:B$2616,2,FALSE)</f>
        <v>107</v>
      </c>
      <c r="K241" s="19"/>
      <c r="Q241"/>
    </row>
    <row r="242" spans="1:17" ht="17.100000000000001">
      <c r="A242" s="13" t="s">
        <v>38</v>
      </c>
      <c r="B242" s="13" t="s">
        <v>300</v>
      </c>
      <c r="C242" s="25">
        <v>200089</v>
      </c>
      <c r="D242" s="13" t="s">
        <v>300</v>
      </c>
      <c r="E242" s="13">
        <v>208</v>
      </c>
      <c r="F242" s="13" t="s">
        <v>20</v>
      </c>
      <c r="G242" s="9" t="str">
        <f>VLOOKUP(B242,'Property Name List'!A$2:D$834,3,FALSE)</f>
        <v>SpringHill Suites By Marriott Boise ParkCenter</v>
      </c>
      <c r="H242" s="15">
        <v>46084</v>
      </c>
      <c r="I242" t="s">
        <v>14</v>
      </c>
      <c r="J242">
        <f>VLOOKUP(E242,'Room Count'!A$2:B$2616,2,FALSE)</f>
        <v>230</v>
      </c>
      <c r="K242" s="19"/>
      <c r="Q242"/>
    </row>
    <row r="243" spans="1:17" ht="17.100000000000001">
      <c r="A243" s="13" t="s">
        <v>38</v>
      </c>
      <c r="B243" s="13" t="s">
        <v>301</v>
      </c>
      <c r="C243" s="25">
        <v>200091</v>
      </c>
      <c r="D243" s="13" t="s">
        <v>301</v>
      </c>
      <c r="E243" s="13">
        <v>209</v>
      </c>
      <c r="F243" s="13" t="s">
        <v>20</v>
      </c>
      <c r="G243" s="9" t="str">
        <f>VLOOKUP(B243,'Property Name List'!A$2:D$834,3,FALSE)</f>
        <v>Fairfield Inn &amp; Suites Chicago Downtown/Magnificent Mile</v>
      </c>
      <c r="H243" s="15">
        <v>46084</v>
      </c>
      <c r="I243" t="s">
        <v>14</v>
      </c>
      <c r="J243">
        <f>VLOOKUP(E243,'Room Count'!A$2:B$2616,2,FALSE)</f>
        <v>184</v>
      </c>
      <c r="K243" s="19"/>
      <c r="Q243"/>
    </row>
    <row r="244" spans="1:17" ht="17.100000000000001">
      <c r="A244" s="13" t="s">
        <v>38</v>
      </c>
      <c r="B244" s="13" t="s">
        <v>302</v>
      </c>
      <c r="C244" s="25">
        <v>200093</v>
      </c>
      <c r="D244" s="13" t="s">
        <v>302</v>
      </c>
      <c r="E244" s="13">
        <v>210</v>
      </c>
      <c r="F244" s="13" t="s">
        <v>20</v>
      </c>
      <c r="G244" s="9" t="str">
        <f>VLOOKUP(B244,'Property Name List'!A$2:D$834,3,FALSE)</f>
        <v>Courtyard By Marriott Amarillo Downtown</v>
      </c>
      <c r="H244" s="15">
        <v>46084</v>
      </c>
      <c r="I244" t="s">
        <v>14</v>
      </c>
      <c r="J244">
        <f>VLOOKUP(E244,'Room Count'!A$2:B$2616,2,FALSE)</f>
        <v>107</v>
      </c>
      <c r="K244" s="19"/>
      <c r="Q244"/>
    </row>
    <row r="245" spans="1:17" ht="17.100000000000001">
      <c r="A245" s="13" t="s">
        <v>37</v>
      </c>
      <c r="B245" s="13" t="s">
        <v>303</v>
      </c>
      <c r="C245" s="26">
        <v>200097</v>
      </c>
      <c r="D245" s="13" t="s">
        <v>303</v>
      </c>
      <c r="E245" s="13">
        <v>306</v>
      </c>
      <c r="F245" s="13" t="s">
        <v>20</v>
      </c>
      <c r="G245" s="9" t="str">
        <f>VLOOKUP(B245,'Property Name List'!A$2:D$834,3,FALSE)</f>
        <v>SpringHill Suites By Marriott Slidell</v>
      </c>
      <c r="H245" s="15">
        <v>46070</v>
      </c>
      <c r="I245" t="s">
        <v>14</v>
      </c>
      <c r="J245">
        <f>VLOOKUP(E245,'Room Count'!A$2:B$2616,2,FALSE)</f>
        <v>88</v>
      </c>
      <c r="K245" s="19"/>
      <c r="Q245"/>
    </row>
    <row r="246" spans="1:17" ht="17.100000000000001">
      <c r="A246" s="13" t="s">
        <v>37</v>
      </c>
      <c r="B246" s="13" t="s">
        <v>304</v>
      </c>
      <c r="C246" s="26">
        <v>200101</v>
      </c>
      <c r="D246" s="13" t="s">
        <v>304</v>
      </c>
      <c r="E246" s="13">
        <v>313</v>
      </c>
      <c r="F246" s="13" t="s">
        <v>20</v>
      </c>
      <c r="G246" s="9" t="str">
        <f>VLOOKUP(B246,'Property Name List'!A$2:D$834,3,FALSE)</f>
        <v>Courtyard by Marriott Manhattan Aggieville</v>
      </c>
      <c r="H246" s="15">
        <v>46070</v>
      </c>
      <c r="I246" t="s">
        <v>14</v>
      </c>
      <c r="J246">
        <f>VLOOKUP(E246,'Room Count'!A$2:B$2616,2,FALSE)</f>
        <v>127</v>
      </c>
      <c r="K246" s="19"/>
      <c r="Q246"/>
    </row>
    <row r="247" spans="1:17" ht="17.100000000000001">
      <c r="A247" s="13" t="s">
        <v>37</v>
      </c>
      <c r="B247" s="13" t="s">
        <v>305</v>
      </c>
      <c r="C247" s="26">
        <v>200103</v>
      </c>
      <c r="D247" s="13" t="s">
        <v>305</v>
      </c>
      <c r="E247" s="13">
        <v>316</v>
      </c>
      <c r="F247" s="13" t="s">
        <v>20</v>
      </c>
      <c r="G247" s="9" t="str">
        <f>VLOOKUP(B247,'Property Name List'!A$2:D$834,3,FALSE)</f>
        <v>SpringHill Suites By Marriott Shreveport-Bossier City/Louisiana Downs</v>
      </c>
      <c r="H247" s="15">
        <v>46070</v>
      </c>
      <c r="I247" t="s">
        <v>14</v>
      </c>
      <c r="J247">
        <f>VLOOKUP(E247,'Room Count'!A$2:B$2616,2,FALSE)</f>
        <v>150</v>
      </c>
      <c r="K247" s="19"/>
      <c r="Q247"/>
    </row>
    <row r="248" spans="1:17" ht="17.100000000000001">
      <c r="A248" s="13" t="s">
        <v>37</v>
      </c>
      <c r="B248" s="13" t="s">
        <v>306</v>
      </c>
      <c r="C248" s="26">
        <v>200105</v>
      </c>
      <c r="D248" s="13" t="s">
        <v>306</v>
      </c>
      <c r="E248" s="13">
        <v>318</v>
      </c>
      <c r="F248" s="13" t="s">
        <v>20</v>
      </c>
      <c r="G248" s="9" t="str">
        <f>VLOOKUP(B248,'Property Name List'!A$2:D$834,3,FALSE)</f>
        <v>Fairfield Inn &amp; Suites Stillwater</v>
      </c>
      <c r="H248" s="15">
        <v>46070</v>
      </c>
      <c r="I248" t="s">
        <v>14</v>
      </c>
      <c r="J248">
        <f>VLOOKUP(E248,'Room Count'!A$2:B$2616,2,FALSE)</f>
        <v>62</v>
      </c>
      <c r="K248" s="19"/>
    </row>
    <row r="249" spans="1:17" ht="17.100000000000001">
      <c r="A249" s="13" t="s">
        <v>37</v>
      </c>
      <c r="B249" s="13" t="s">
        <v>307</v>
      </c>
      <c r="C249" s="26">
        <v>200107</v>
      </c>
      <c r="D249" s="13" t="s">
        <v>307</v>
      </c>
      <c r="E249" s="13">
        <v>322</v>
      </c>
      <c r="F249" s="13" t="s">
        <v>20</v>
      </c>
      <c r="G249" s="9" t="str">
        <f>VLOOKUP(B249,'Property Name List'!A$2:D$834,3,FALSE)</f>
        <v>Fairfield Inn &amp; Suites Lincoln Southeast</v>
      </c>
      <c r="H249" s="15">
        <v>46070</v>
      </c>
      <c r="I249" t="s">
        <v>14</v>
      </c>
      <c r="J249">
        <f>VLOOKUP(E249,'Room Count'!A$2:B$2616,2,FALSE)</f>
        <v>88</v>
      </c>
      <c r="K249" s="19"/>
    </row>
    <row r="250" spans="1:17" ht="17.100000000000001">
      <c r="A250" s="13" t="s">
        <v>37</v>
      </c>
      <c r="B250" s="13" t="s">
        <v>308</v>
      </c>
      <c r="C250" s="26">
        <v>200115</v>
      </c>
      <c r="D250" s="13" t="s">
        <v>308</v>
      </c>
      <c r="E250" s="13">
        <v>334</v>
      </c>
      <c r="F250" s="13" t="s">
        <v>20</v>
      </c>
      <c r="G250" s="9" t="str">
        <f>VLOOKUP(B250,'Property Name List'!A$2:D$834,3,FALSE)</f>
        <v>Courtyard By Marriott Conway</v>
      </c>
      <c r="H250" s="15">
        <v>46070</v>
      </c>
      <c r="I250" t="s">
        <v>14</v>
      </c>
      <c r="J250">
        <f>VLOOKUP(E250,'Room Count'!A$2:B$2616,2,FALSE)</f>
        <v>109</v>
      </c>
      <c r="K250" s="19"/>
    </row>
    <row r="251" spans="1:17" ht="17.100000000000001">
      <c r="A251" s="13" t="s">
        <v>37</v>
      </c>
      <c r="B251" s="13" t="s">
        <v>309</v>
      </c>
      <c r="C251" s="26">
        <v>200117</v>
      </c>
      <c r="D251" s="13" t="s">
        <v>309</v>
      </c>
      <c r="E251" s="13">
        <v>336</v>
      </c>
      <c r="F251" s="13" t="s">
        <v>20</v>
      </c>
      <c r="G251" s="9" t="str">
        <f>VLOOKUP(B251,'Property Name List'!A$2:D$834,3,FALSE)</f>
        <v>AC Hotel Little Rock Downtown</v>
      </c>
      <c r="H251" s="15">
        <v>46070</v>
      </c>
      <c r="I251" t="s">
        <v>14</v>
      </c>
      <c r="J251">
        <f>VLOOKUP(E251,'Room Count'!A$2:B$2616,2,FALSE)</f>
        <v>114</v>
      </c>
      <c r="K251" s="19"/>
    </row>
    <row r="252" spans="1:17" ht="17.100000000000001">
      <c r="A252" s="13" t="s">
        <v>39</v>
      </c>
      <c r="B252" s="13" t="s">
        <v>310</v>
      </c>
      <c r="C252" s="26">
        <v>100467</v>
      </c>
      <c r="D252" s="13" t="s">
        <v>310</v>
      </c>
      <c r="E252" s="13">
        <v>359</v>
      </c>
      <c r="F252" s="13" t="s">
        <v>12</v>
      </c>
      <c r="G252" s="9" t="str">
        <f>VLOOKUP(B252,'Property Name List'!A$2:D$834,3,FALSE)</f>
        <v>Fairfield by Marriott Inn &amp; Suites Asheville Outlets</v>
      </c>
      <c r="H252" s="10">
        <v>46098</v>
      </c>
      <c r="I252" t="s">
        <v>14</v>
      </c>
      <c r="J252">
        <f>VLOOKUP(E252,'Room Count'!A$2:B$2616,2,FALSE)</f>
        <v>92</v>
      </c>
      <c r="K252" s="19"/>
    </row>
    <row r="253" spans="1:17" ht="17.100000000000001">
      <c r="A253" s="13" t="s">
        <v>39</v>
      </c>
      <c r="B253" s="13" t="s">
        <v>311</v>
      </c>
      <c r="C253" s="26">
        <v>100529</v>
      </c>
      <c r="D253" s="13" t="s">
        <v>311</v>
      </c>
      <c r="E253" s="13">
        <v>390</v>
      </c>
      <c r="F253" s="13" t="s">
        <v>12</v>
      </c>
      <c r="G253" s="9" t="str">
        <f>VLOOKUP(B253,'Property Name List'!A$2:D$834,3,FALSE)</f>
        <v>Fairfield Inn &amp; Suites Asheville Airport/Fletcher</v>
      </c>
      <c r="H253" s="10">
        <v>46098</v>
      </c>
      <c r="I253" t="s">
        <v>14</v>
      </c>
      <c r="J253">
        <f>VLOOKUP(E253,'Room Count'!A$2:B$2616,2,FALSE)</f>
        <v>113</v>
      </c>
      <c r="K253" s="19"/>
    </row>
    <row r="254" spans="1:17" ht="17.100000000000001">
      <c r="A254" s="13" t="s">
        <v>39</v>
      </c>
      <c r="B254" s="13" t="s">
        <v>312</v>
      </c>
      <c r="C254" s="26">
        <v>100597</v>
      </c>
      <c r="D254" s="13" t="s">
        <v>312</v>
      </c>
      <c r="E254" s="13">
        <v>424</v>
      </c>
      <c r="F254" s="13" t="s">
        <v>12</v>
      </c>
      <c r="G254" s="9" t="str">
        <f>VLOOKUP(B254,'Property Name List'!A$2:D$834,3,FALSE)</f>
        <v>Fairfield Inn &amp; Suites Hendersonville Flat Rock</v>
      </c>
      <c r="H254" s="10">
        <v>46098</v>
      </c>
      <c r="I254" t="s">
        <v>14</v>
      </c>
      <c r="J254">
        <f>VLOOKUP(E254,'Room Count'!A$2:B$2616,2,FALSE)</f>
        <v>84</v>
      </c>
      <c r="K254" s="19"/>
    </row>
    <row r="255" spans="1:17" ht="17.100000000000001">
      <c r="A255" s="13" t="s">
        <v>39</v>
      </c>
      <c r="B255" s="13" t="s">
        <v>313</v>
      </c>
      <c r="C255" s="26">
        <v>100505</v>
      </c>
      <c r="D255" s="13" t="s">
        <v>313</v>
      </c>
      <c r="E255" s="13">
        <v>378</v>
      </c>
      <c r="F255" s="13" t="s">
        <v>12</v>
      </c>
      <c r="G255" s="9" t="str">
        <f>VLOOKUP(B255,'Property Name List'!A$2:D$834,3,FALSE)</f>
        <v>SpringHill Suites By Marriott Canton</v>
      </c>
      <c r="H255" s="10">
        <v>46098</v>
      </c>
      <c r="I255" t="s">
        <v>14</v>
      </c>
      <c r="J255">
        <f>VLOOKUP(E255,'Room Count'!A$2:B$2616,2,FALSE)</f>
        <v>103</v>
      </c>
      <c r="K255" s="19"/>
    </row>
    <row r="256" spans="1:17" ht="17.100000000000001">
      <c r="A256" s="13" t="s">
        <v>39</v>
      </c>
      <c r="B256" s="13" t="s">
        <v>314</v>
      </c>
      <c r="C256" s="26">
        <v>100569</v>
      </c>
      <c r="D256" s="13" t="s">
        <v>314</v>
      </c>
      <c r="E256" s="13">
        <v>410</v>
      </c>
      <c r="F256" s="13" t="s">
        <v>12</v>
      </c>
      <c r="G256" s="9" t="str">
        <f>VLOOKUP(B256,'Property Name List'!A$2:D$834,3,FALSE)</f>
        <v>Fairfield Inn &amp; Suites Charlottesville Downtown/University Area</v>
      </c>
      <c r="H256" s="10">
        <v>46098</v>
      </c>
      <c r="I256" t="s">
        <v>14</v>
      </c>
      <c r="J256">
        <f>VLOOKUP(E256,'Room Count'!A$2:B$2616,2,FALSE)</f>
        <v>117</v>
      </c>
      <c r="K256" s="19"/>
    </row>
    <row r="257" spans="1:11" ht="17.100000000000001">
      <c r="A257" s="13" t="s">
        <v>39</v>
      </c>
      <c r="B257" s="13" t="s">
        <v>315</v>
      </c>
      <c r="C257" s="26">
        <v>100497</v>
      </c>
      <c r="D257" s="13" t="s">
        <v>315</v>
      </c>
      <c r="E257" s="13">
        <v>374</v>
      </c>
      <c r="F257" s="13" t="s">
        <v>12</v>
      </c>
      <c r="G257" s="9" t="str">
        <f>VLOOKUP(B257,'Property Name List'!A$2:D$834,3,FALSE)</f>
        <v>Fairfield Inn &amp; Suites Medina</v>
      </c>
      <c r="H257" s="10">
        <v>46098</v>
      </c>
      <c r="I257" t="s">
        <v>14</v>
      </c>
      <c r="J257">
        <f>VLOOKUP(E257,'Room Count'!A$2:B$2616,2,FALSE)</f>
        <v>76</v>
      </c>
      <c r="K257" s="19"/>
    </row>
    <row r="258" spans="1:11" ht="17.100000000000001">
      <c r="A258" s="13" t="s">
        <v>39</v>
      </c>
      <c r="B258" s="13" t="s">
        <v>316</v>
      </c>
      <c r="C258" s="26">
        <v>100459</v>
      </c>
      <c r="D258" s="13" t="s">
        <v>316</v>
      </c>
      <c r="E258" s="13">
        <v>355</v>
      </c>
      <c r="F258" s="13" t="s">
        <v>12</v>
      </c>
      <c r="G258" s="9" t="str">
        <f>VLOOKUP(B258,'Property Name List'!A$2:D$834,3,FALSE)</f>
        <v>Courtyard By Marriott Charlotte Gastonia</v>
      </c>
      <c r="H258" s="10">
        <v>46098</v>
      </c>
      <c r="I258" t="s">
        <v>14</v>
      </c>
      <c r="J258">
        <f>VLOOKUP(E258,'Room Count'!A$2:B$2616,2,FALSE)</f>
        <v>130</v>
      </c>
      <c r="K258" s="19"/>
    </row>
    <row r="259" spans="1:11" ht="17.100000000000001">
      <c r="A259" s="13" t="s">
        <v>39</v>
      </c>
      <c r="B259" s="13" t="s">
        <v>317</v>
      </c>
      <c r="C259" s="26">
        <v>100519</v>
      </c>
      <c r="D259" s="13" t="s">
        <v>317</v>
      </c>
      <c r="E259" s="13">
        <v>385</v>
      </c>
      <c r="F259" s="13" t="s">
        <v>12</v>
      </c>
      <c r="G259" s="9" t="str">
        <f>VLOOKUP(B259,'Property Name List'!A$2:D$834,3,FALSE)</f>
        <v>Courtyard By Marriott Charlotte Lake Norman</v>
      </c>
      <c r="H259" s="10">
        <v>46098</v>
      </c>
      <c r="I259" t="s">
        <v>14</v>
      </c>
      <c r="J259">
        <f>VLOOKUP(E259,'Room Count'!A$2:B$2616,2,FALSE)</f>
        <v>90</v>
      </c>
      <c r="K259" s="19"/>
    </row>
    <row r="260" spans="1:11" ht="17.100000000000001">
      <c r="A260" s="13" t="s">
        <v>39</v>
      </c>
      <c r="B260" s="13" t="s">
        <v>318</v>
      </c>
      <c r="C260" s="26">
        <v>100559</v>
      </c>
      <c r="D260" s="13" t="s">
        <v>318</v>
      </c>
      <c r="E260" s="13">
        <v>405</v>
      </c>
      <c r="F260" s="13" t="s">
        <v>12</v>
      </c>
      <c r="G260" s="9" t="str">
        <f>VLOOKUP(B260,'Property Name List'!A$2:D$834,3,FALSE)</f>
        <v>Fairfield Inn By Marriott Charlotte Mooresville/Lake Norman</v>
      </c>
      <c r="H260" s="10">
        <v>46098</v>
      </c>
      <c r="I260" t="s">
        <v>14</v>
      </c>
      <c r="J260">
        <f>VLOOKUP(E260,'Room Count'!A$2:B$2616,2,FALSE)</f>
        <v>96</v>
      </c>
      <c r="K260" s="19"/>
    </row>
    <row r="261" spans="1:11" ht="17.100000000000001">
      <c r="A261" s="13" t="s">
        <v>39</v>
      </c>
      <c r="B261" s="13" t="s">
        <v>319</v>
      </c>
      <c r="C261" s="26">
        <v>100473</v>
      </c>
      <c r="D261" s="13" t="s">
        <v>319</v>
      </c>
      <c r="E261" s="13">
        <v>362</v>
      </c>
      <c r="F261" s="13" t="s">
        <v>12</v>
      </c>
      <c r="G261" s="9" t="str">
        <f>VLOOKUP(B261,'Property Name List'!A$2:D$834,3,FALSE)</f>
        <v>Fairfield Inn &amp; Suites Charlotte Pineville</v>
      </c>
      <c r="H261" s="10">
        <v>46098</v>
      </c>
      <c r="I261" t="s">
        <v>14</v>
      </c>
      <c r="J261">
        <f>VLOOKUP(E261,'Room Count'!A$2:B$2616,2,FALSE)</f>
        <v>103</v>
      </c>
      <c r="K261" s="19"/>
    </row>
    <row r="262" spans="1:11" ht="17.100000000000001">
      <c r="A262" s="13" t="s">
        <v>39</v>
      </c>
      <c r="B262" s="13" t="s">
        <v>320</v>
      </c>
      <c r="C262" s="26">
        <v>100609</v>
      </c>
      <c r="D262" s="13" t="s">
        <v>320</v>
      </c>
      <c r="E262" s="13">
        <v>430</v>
      </c>
      <c r="F262" s="13" t="s">
        <v>12</v>
      </c>
      <c r="G262" s="9" t="str">
        <f>VLOOKUP(B262,'Property Name List'!A$2:D$834,3,FALSE)</f>
        <v>Fairfield Inn &amp; Suites Charlotte Uptown</v>
      </c>
      <c r="H262" s="10">
        <v>46098</v>
      </c>
      <c r="I262" t="s">
        <v>14</v>
      </c>
      <c r="J262">
        <f>VLOOKUP(E262,'Room Count'!A$2:B$2616,2,FALSE)</f>
        <v>196</v>
      </c>
    </row>
    <row r="263" spans="1:11" ht="17.100000000000001">
      <c r="A263" s="13" t="s">
        <v>39</v>
      </c>
      <c r="B263" s="13" t="s">
        <v>321</v>
      </c>
      <c r="C263" s="26" t="s">
        <v>322</v>
      </c>
      <c r="D263" s="13" t="s">
        <v>321</v>
      </c>
      <c r="E263" s="13">
        <v>370</v>
      </c>
      <c r="F263" s="13" t="s">
        <v>12</v>
      </c>
      <c r="G263" s="9" t="str">
        <f>VLOOKUP(B263,'Property Name List'!A$2:D$834,3,FALSE)</f>
        <v>Fairfield Inn &amp; Suites Columbus Grove City</v>
      </c>
      <c r="H263" s="10">
        <v>46098</v>
      </c>
      <c r="I263" t="s">
        <v>14</v>
      </c>
      <c r="J263">
        <f>VLOOKUP(E263,'Room Count'!A$2:B$2616,2,FALSE)</f>
        <v>95</v>
      </c>
    </row>
    <row r="264" spans="1:11" ht="17.100000000000001">
      <c r="A264" s="13" t="s">
        <v>39</v>
      </c>
      <c r="B264" s="13" t="s">
        <v>323</v>
      </c>
      <c r="C264" s="26">
        <v>100451</v>
      </c>
      <c r="D264" s="13" t="s">
        <v>323</v>
      </c>
      <c r="E264" s="13">
        <v>351</v>
      </c>
      <c r="F264" s="13" t="s">
        <v>12</v>
      </c>
      <c r="G264" s="9" t="str">
        <f>VLOOKUP(B264,'Property Name List'!A$2:D$834,3,FALSE)</f>
        <v>SpringHill Suites By Marriott Columbus OSU</v>
      </c>
      <c r="H264" s="10">
        <v>46098</v>
      </c>
      <c r="I264" t="s">
        <v>14</v>
      </c>
      <c r="J264">
        <f>VLOOKUP(E264,'Room Count'!A$2:B$2616,2,FALSE)</f>
        <v>136</v>
      </c>
    </row>
    <row r="265" spans="1:11" ht="17.100000000000001">
      <c r="A265" s="13" t="s">
        <v>39</v>
      </c>
      <c r="B265" s="13" t="s">
        <v>324</v>
      </c>
      <c r="C265" s="26">
        <v>100643</v>
      </c>
      <c r="D265" s="13" t="s">
        <v>324</v>
      </c>
      <c r="E265" s="13">
        <v>447</v>
      </c>
      <c r="F265" s="13" t="s">
        <v>12</v>
      </c>
      <c r="G265" s="9" t="str">
        <f>VLOOKUP(B265,'Property Name List'!A$2:D$834,3,FALSE)</f>
        <v>Fairfield Inn &amp; Suites Auburn Opelika</v>
      </c>
      <c r="H265" s="10">
        <v>46098</v>
      </c>
      <c r="I265" t="s">
        <v>14</v>
      </c>
      <c r="J265">
        <f>VLOOKUP(E265,'Room Count'!A$2:B$2616,2,FALSE)</f>
        <v>74</v>
      </c>
    </row>
    <row r="266" spans="1:11" ht="17.100000000000001">
      <c r="A266" s="13" t="s">
        <v>39</v>
      </c>
      <c r="B266" s="13" t="s">
        <v>325</v>
      </c>
      <c r="C266" s="26">
        <v>100661</v>
      </c>
      <c r="D266" s="13" t="s">
        <v>325</v>
      </c>
      <c r="E266" s="13">
        <v>458</v>
      </c>
      <c r="F266" s="13" t="s">
        <v>12</v>
      </c>
      <c r="G266" s="9" t="str">
        <f>VLOOKUP(B266,'Property Name List'!A$2:D$834,3,FALSE)</f>
        <v>Courtyard By Marriott Auburn</v>
      </c>
      <c r="H266" s="10">
        <v>46098</v>
      </c>
      <c r="I266" t="s">
        <v>14</v>
      </c>
      <c r="J266">
        <f>VLOOKUP(E266,'Room Count'!A$2:B$2616,2,FALSE)</f>
        <v>111</v>
      </c>
    </row>
    <row r="267" spans="1:11" ht="17.100000000000001">
      <c r="A267" s="13" t="s">
        <v>39</v>
      </c>
      <c r="B267" s="13" t="s">
        <v>326</v>
      </c>
      <c r="C267" s="26">
        <v>100465</v>
      </c>
      <c r="D267" s="13" t="s">
        <v>326</v>
      </c>
      <c r="E267" s="13">
        <v>358</v>
      </c>
      <c r="F267" s="13" t="s">
        <v>12</v>
      </c>
      <c r="G267" s="9" t="str">
        <f>VLOOKUP(B267,'Property Name List'!A$2:D$834,3,FALSE)</f>
        <v>Courtyard By Marriott Cincinnati Airport</v>
      </c>
      <c r="H267" s="10">
        <v>46098</v>
      </c>
      <c r="I267" t="s">
        <v>14</v>
      </c>
      <c r="J267">
        <f>VLOOKUP(E267,'Room Count'!A$2:B$2616,2,FALSE)</f>
        <v>120</v>
      </c>
    </row>
    <row r="268" spans="1:11" ht="17.100000000000001">
      <c r="A268" s="13" t="s">
        <v>39</v>
      </c>
      <c r="B268" s="13" t="s">
        <v>327</v>
      </c>
      <c r="C268" s="26">
        <v>100565</v>
      </c>
      <c r="D268" s="13" t="s">
        <v>327</v>
      </c>
      <c r="E268" s="13">
        <v>408</v>
      </c>
      <c r="F268" s="13" t="s">
        <v>12</v>
      </c>
      <c r="G268" s="9" t="str">
        <f>VLOOKUP(B268,'Property Name List'!A$2:D$834,3,FALSE)</f>
        <v>Courtyard By Marriott Cincinnati Mason</v>
      </c>
      <c r="H268" s="10">
        <v>46098</v>
      </c>
      <c r="I268" t="s">
        <v>14</v>
      </c>
      <c r="J268">
        <f>VLOOKUP(E268,'Room Count'!A$2:B$2616,2,FALSE)</f>
        <v>97</v>
      </c>
    </row>
    <row r="269" spans="1:11" ht="17.100000000000001">
      <c r="A269" s="13" t="s">
        <v>39</v>
      </c>
      <c r="B269" s="13" t="s">
        <v>328</v>
      </c>
      <c r="C269" s="26">
        <v>100463</v>
      </c>
      <c r="D269" s="13" t="s">
        <v>328</v>
      </c>
      <c r="E269" s="13">
        <v>357</v>
      </c>
      <c r="F269" s="13" t="s">
        <v>12</v>
      </c>
      <c r="G269" s="9" t="str">
        <f>VLOOKUP(B269,'Property Name List'!A$2:D$834,3,FALSE)</f>
        <v>Courtyard By Marriott Cincinnati Downtown</v>
      </c>
      <c r="H269" s="10">
        <v>46098</v>
      </c>
      <c r="I269" t="s">
        <v>14</v>
      </c>
      <c r="J269">
        <f>VLOOKUP(E269,'Room Count'!A$2:B$2616,2,FALSE)</f>
        <v>126</v>
      </c>
    </row>
    <row r="270" spans="1:11" ht="17.100000000000001">
      <c r="A270" s="13" t="s">
        <v>39</v>
      </c>
      <c r="B270" s="13" t="s">
        <v>329</v>
      </c>
      <c r="C270" s="26">
        <v>100453</v>
      </c>
      <c r="D270" s="13" t="s">
        <v>329</v>
      </c>
      <c r="E270" s="13">
        <v>352</v>
      </c>
      <c r="F270" s="13" t="s">
        <v>12</v>
      </c>
      <c r="G270" s="9" t="str">
        <f>VLOOKUP(B270,'Property Name List'!A$2:D$834,3,FALSE)</f>
        <v>Courtyard By Marriott Springfield Downtown</v>
      </c>
      <c r="H270" s="10">
        <v>46098</v>
      </c>
      <c r="I270" t="s">
        <v>14</v>
      </c>
      <c r="J270">
        <f>VLOOKUP(E270,'Room Count'!A$2:B$2616,2,FALSE)</f>
        <v>120</v>
      </c>
    </row>
    <row r="271" spans="1:11" ht="17.100000000000001">
      <c r="A271" s="13" t="s">
        <v>39</v>
      </c>
      <c r="B271" s="13" t="s">
        <v>330</v>
      </c>
      <c r="C271" s="26">
        <v>100637</v>
      </c>
      <c r="D271" s="13" t="s">
        <v>330</v>
      </c>
      <c r="E271" s="13">
        <v>444</v>
      </c>
      <c r="F271" s="13" t="s">
        <v>12</v>
      </c>
      <c r="G271" s="9" t="str">
        <f>VLOOKUP(B271,'Property Name List'!A$2:D$834,3,FALSE)</f>
        <v>Fairfield Inn &amp; Suites Dayton North</v>
      </c>
      <c r="H271" s="10">
        <v>46098</v>
      </c>
      <c r="I271" t="s">
        <v>14</v>
      </c>
      <c r="J271">
        <f>VLOOKUP(E271,'Room Count'!A$2:B$2616,2,FALSE)</f>
        <v>100</v>
      </c>
    </row>
    <row r="272" spans="1:11" ht="17.100000000000001">
      <c r="A272" s="13" t="s">
        <v>39</v>
      </c>
      <c r="B272" s="13" t="s">
        <v>331</v>
      </c>
      <c r="C272" s="26">
        <v>100457</v>
      </c>
      <c r="D272" s="13" t="s">
        <v>331</v>
      </c>
      <c r="E272" s="13">
        <v>354</v>
      </c>
      <c r="F272" s="13" t="s">
        <v>12</v>
      </c>
      <c r="G272" s="9" t="str">
        <f>VLOOKUP(B272,'Property Name List'!A$2:D$834,3,FALSE)</f>
        <v>SpringHill Suites By Marriott Dayton Vandalia</v>
      </c>
      <c r="H272" s="10">
        <v>46098</v>
      </c>
      <c r="I272" t="s">
        <v>14</v>
      </c>
      <c r="J272">
        <f>VLOOKUP(E272,'Room Count'!A$2:B$2616,2,FALSE)</f>
        <v>91</v>
      </c>
    </row>
    <row r="273" spans="1:10" ht="17.100000000000001">
      <c r="A273" s="13" t="s">
        <v>39</v>
      </c>
      <c r="B273" s="13" t="s">
        <v>332</v>
      </c>
      <c r="C273" s="26">
        <v>100563</v>
      </c>
      <c r="D273" s="13" t="s">
        <v>332</v>
      </c>
      <c r="E273" s="13">
        <v>407</v>
      </c>
      <c r="F273" s="13" t="s">
        <v>12</v>
      </c>
      <c r="G273" s="9" t="str">
        <f>VLOOKUP(B273,'Property Name List'!A$2:D$834,3,FALSE)</f>
        <v>Courtyard By Marriott Fort Lauderdale Downtown</v>
      </c>
      <c r="H273" s="10">
        <v>46098</v>
      </c>
      <c r="I273" t="s">
        <v>14</v>
      </c>
      <c r="J273">
        <f>VLOOKUP(E273,'Room Count'!A$2:B$2616,2,FALSE)</f>
        <v>137</v>
      </c>
    </row>
    <row r="274" spans="1:10" ht="17.100000000000001">
      <c r="A274" s="13" t="s">
        <v>39</v>
      </c>
      <c r="B274" s="13" t="s">
        <v>333</v>
      </c>
      <c r="C274" s="26">
        <v>100553</v>
      </c>
      <c r="D274" s="13" t="s">
        <v>333</v>
      </c>
      <c r="E274" s="13">
        <v>402</v>
      </c>
      <c r="F274" s="13" t="s">
        <v>12</v>
      </c>
      <c r="G274" s="9" t="str">
        <f>VLOOKUP(B274,'Property Name List'!A$2:D$834,3,FALSE)</f>
        <v>Fairfield Inn &amp; Suites Florence I-20</v>
      </c>
      <c r="H274" s="10">
        <v>46098</v>
      </c>
      <c r="I274" t="s">
        <v>14</v>
      </c>
      <c r="J274">
        <f>VLOOKUP(E274,'Room Count'!A$2:B$2616,2,FALSE)</f>
        <v>86</v>
      </c>
    </row>
    <row r="275" spans="1:10" ht="17.100000000000001">
      <c r="A275" s="13" t="s">
        <v>39</v>
      </c>
      <c r="B275" s="13" t="s">
        <v>334</v>
      </c>
      <c r="C275" s="26">
        <v>200139</v>
      </c>
      <c r="D275" s="13" t="s">
        <v>334</v>
      </c>
      <c r="E275" s="13">
        <v>480</v>
      </c>
      <c r="F275" s="13" t="s">
        <v>20</v>
      </c>
      <c r="G275" s="9" t="str">
        <f>VLOOKUP(B275,'Property Name List'!A$2:D$834,3,FALSE)</f>
        <v>Courtyard By Marriott Fort Smith Downtown</v>
      </c>
      <c r="H275" s="10">
        <v>46098</v>
      </c>
      <c r="I275" t="s">
        <v>14</v>
      </c>
      <c r="J275">
        <f>VLOOKUP(E275,'Room Count'!A$2:B$2616,2,FALSE)</f>
        <v>138</v>
      </c>
    </row>
    <row r="276" spans="1:10" ht="17.100000000000001">
      <c r="A276" s="13" t="s">
        <v>39</v>
      </c>
      <c r="B276" s="13" t="s">
        <v>335</v>
      </c>
      <c r="C276" s="26">
        <v>200121</v>
      </c>
      <c r="D276" s="13" t="s">
        <v>335</v>
      </c>
      <c r="E276" s="13">
        <v>456</v>
      </c>
      <c r="F276" s="13" t="s">
        <v>20</v>
      </c>
      <c r="G276" s="9" t="str">
        <f>VLOOKUP(B276,'Property Name List'!A$2:D$834,3,FALSE)</f>
        <v>Fairfield Inn &amp; Suites Fayetteville</v>
      </c>
      <c r="H276" s="10">
        <v>46098</v>
      </c>
      <c r="I276" t="s">
        <v>14</v>
      </c>
      <c r="J276">
        <f>VLOOKUP(E276,'Room Count'!A$2:B$2616,2,FALSE)</f>
        <v>94</v>
      </c>
    </row>
    <row r="277" spans="1:10" ht="17.100000000000001">
      <c r="A277" s="13" t="s">
        <v>39</v>
      </c>
      <c r="B277" s="13" t="s">
        <v>336</v>
      </c>
      <c r="C277" s="26">
        <v>100603</v>
      </c>
      <c r="D277" s="13" t="s">
        <v>336</v>
      </c>
      <c r="E277" s="13">
        <v>427</v>
      </c>
      <c r="F277" s="13" t="s">
        <v>12</v>
      </c>
      <c r="G277" s="9" t="str">
        <f>VLOOKUP(B277,'Property Name List'!A$2:D$834,3,FALSE)</f>
        <v>Fairfield Inn &amp; Suites Ocala</v>
      </c>
      <c r="H277" s="10">
        <v>46098</v>
      </c>
      <c r="I277" t="s">
        <v>14</v>
      </c>
      <c r="J277">
        <f>VLOOKUP(E277,'Room Count'!A$2:B$2616,2,FALSE)</f>
        <v>96</v>
      </c>
    </row>
    <row r="278" spans="1:10" ht="17.100000000000001">
      <c r="A278" s="13" t="s">
        <v>39</v>
      </c>
      <c r="B278" s="13" t="s">
        <v>337</v>
      </c>
      <c r="C278" s="26">
        <v>100619</v>
      </c>
      <c r="D278" s="13" t="s">
        <v>337</v>
      </c>
      <c r="E278" s="13">
        <v>435</v>
      </c>
      <c r="F278" s="13" t="s">
        <v>12</v>
      </c>
      <c r="G278" s="9" t="str">
        <f>VLOOKUP(B278,'Property Name List'!A$2:D$834,3,FALSE)</f>
        <v>AC Hotel Grand Rapids Downtown</v>
      </c>
      <c r="H278" s="10">
        <v>46098</v>
      </c>
      <c r="I278" t="s">
        <v>14</v>
      </c>
      <c r="J278">
        <f>VLOOKUP(E278,'Room Count'!A$2:B$2616,2,FALSE)</f>
        <v>130</v>
      </c>
    </row>
    <row r="279" spans="1:10" ht="17.100000000000001">
      <c r="A279" s="13" t="s">
        <v>39</v>
      </c>
      <c r="B279" s="13" t="s">
        <v>338</v>
      </c>
      <c r="C279" s="26">
        <v>100579</v>
      </c>
      <c r="D279" s="13" t="s">
        <v>338</v>
      </c>
      <c r="E279" s="13">
        <v>415</v>
      </c>
      <c r="F279" s="13" t="s">
        <v>12</v>
      </c>
      <c r="G279" s="9" t="str">
        <f>VLOOKUP(B279,'Property Name List'!A$2:D$834,3,FALSE)</f>
        <v>Fairfield by Marriott Inn &amp; Suites Grand Rapids Wyoming</v>
      </c>
      <c r="H279" s="10">
        <v>46098</v>
      </c>
      <c r="I279" t="s">
        <v>14</v>
      </c>
      <c r="J279">
        <f>VLOOKUP(E279,'Room Count'!A$2:B$2616,2,FALSE)</f>
        <v>116</v>
      </c>
    </row>
    <row r="280" spans="1:10" ht="17.100000000000001">
      <c r="A280" s="13" t="s">
        <v>39</v>
      </c>
      <c r="B280" s="13" t="s">
        <v>339</v>
      </c>
      <c r="C280" s="26">
        <v>100587</v>
      </c>
      <c r="D280" s="13" t="s">
        <v>339</v>
      </c>
      <c r="E280" s="13">
        <v>419</v>
      </c>
      <c r="F280" s="13" t="s">
        <v>12</v>
      </c>
      <c r="G280" s="9" t="str">
        <f>VLOOKUP(B280,'Property Name List'!A$2:D$834,3,FALSE)</f>
        <v>SpringHill Suites By Marriott Grand Rapids North</v>
      </c>
      <c r="H280" s="10">
        <v>46098</v>
      </c>
      <c r="I280" t="s">
        <v>14</v>
      </c>
      <c r="J280">
        <f>VLOOKUP(E280,'Room Count'!A$2:B$2616,2,FALSE)</f>
        <v>76</v>
      </c>
    </row>
    <row r="281" spans="1:10" ht="17.100000000000001">
      <c r="A281" s="13" t="s">
        <v>39</v>
      </c>
      <c r="B281" s="13" t="s">
        <v>340</v>
      </c>
      <c r="C281" s="26">
        <v>100631</v>
      </c>
      <c r="D281" s="13" t="s">
        <v>340</v>
      </c>
      <c r="E281" s="13">
        <v>441</v>
      </c>
      <c r="F281" s="13" t="s">
        <v>12</v>
      </c>
      <c r="G281" s="9" t="str">
        <f>VLOOKUP(B281,'Property Name List'!A$2:D$834,3,FALSE)</f>
        <v>Fairfield Inn &amp; Suites Asheboro</v>
      </c>
      <c r="H281" s="10">
        <v>46098</v>
      </c>
      <c r="I281" t="s">
        <v>14</v>
      </c>
      <c r="J281">
        <f>VLOOKUP(E281,'Room Count'!A$2:B$2616,2,FALSE)</f>
        <v>87</v>
      </c>
    </row>
    <row r="282" spans="1:10" ht="17.100000000000001">
      <c r="A282" s="13" t="s">
        <v>39</v>
      </c>
      <c r="B282" s="13" t="s">
        <v>341</v>
      </c>
      <c r="C282" s="26">
        <v>100639</v>
      </c>
      <c r="D282" s="13" t="s">
        <v>341</v>
      </c>
      <c r="E282" s="13">
        <v>445</v>
      </c>
      <c r="F282" s="13" t="s">
        <v>12</v>
      </c>
      <c r="G282" s="9" t="str">
        <f>VLOOKUP(B282,'Property Name List'!A$2:D$834,3,FALSE)</f>
        <v>Fairfield Inn By Marriott Greensboro Airport</v>
      </c>
      <c r="H282" s="10">
        <v>46098</v>
      </c>
      <c r="I282" t="s">
        <v>14</v>
      </c>
      <c r="J282">
        <f>VLOOKUP(E282,'Room Count'!A$2:B$2616,2,FALSE)</f>
        <v>78</v>
      </c>
    </row>
    <row r="283" spans="1:10" ht="17.100000000000001">
      <c r="A283" s="13" t="s">
        <v>39</v>
      </c>
      <c r="B283" s="13" t="s">
        <v>342</v>
      </c>
      <c r="C283" s="26">
        <v>100531</v>
      </c>
      <c r="D283" s="13" t="s">
        <v>342</v>
      </c>
      <c r="E283" s="13">
        <v>391</v>
      </c>
      <c r="F283" s="13" t="s">
        <v>12</v>
      </c>
      <c r="G283" s="9" t="str">
        <f>VLOOKUP(B283,'Property Name List'!A$2:D$834,3,FALSE)</f>
        <v>Fairfield by Marriott Inn &amp; Suites Greenville Spartanburg/Duncan</v>
      </c>
      <c r="H283" s="10">
        <v>46098</v>
      </c>
      <c r="I283" t="s">
        <v>14</v>
      </c>
      <c r="J283">
        <f>VLOOKUP(E283,'Room Count'!A$2:B$2616,2,FALSE)</f>
        <v>91</v>
      </c>
    </row>
    <row r="284" spans="1:10" ht="17.100000000000001">
      <c r="A284" s="13" t="s">
        <v>39</v>
      </c>
      <c r="B284" s="13" t="s">
        <v>343</v>
      </c>
      <c r="C284" s="26">
        <v>100499</v>
      </c>
      <c r="D284" s="13" t="s">
        <v>343</v>
      </c>
      <c r="E284" s="13">
        <v>375</v>
      </c>
      <c r="F284" s="13" t="s">
        <v>12</v>
      </c>
      <c r="G284" s="9" t="str">
        <f>VLOOKUP(B284,'Property Name List'!A$2:D$834,3,FALSE)</f>
        <v>Fairfield by Marriott Inn &amp; Suites Seneca Clemson Univ Area</v>
      </c>
      <c r="H284" s="10">
        <v>46098</v>
      </c>
      <c r="I284" t="s">
        <v>14</v>
      </c>
      <c r="J284">
        <f>VLOOKUP(E284,'Room Count'!A$2:B$2616,2,FALSE)</f>
        <v>102</v>
      </c>
    </row>
    <row r="285" spans="1:10" ht="17.100000000000001">
      <c r="A285" s="13" t="s">
        <v>39</v>
      </c>
      <c r="B285" s="13" t="s">
        <v>344</v>
      </c>
      <c r="C285" s="26">
        <v>100483</v>
      </c>
      <c r="D285" s="13" t="s">
        <v>344</v>
      </c>
      <c r="E285" s="13">
        <v>367</v>
      </c>
      <c r="F285" s="13" t="s">
        <v>12</v>
      </c>
      <c r="G285" s="9" t="str">
        <f>VLOOKUP(B285,'Property Name List'!A$2:D$834,3,FALSE)</f>
        <v>Courtyard By Marriott Greenville-Spartanburg Airport</v>
      </c>
      <c r="H285" s="10">
        <v>46098</v>
      </c>
      <c r="I285" t="s">
        <v>14</v>
      </c>
      <c r="J285">
        <f>VLOOKUP(E285,'Room Count'!A$2:B$2616,2,FALSE)</f>
        <v>136</v>
      </c>
    </row>
    <row r="286" spans="1:10" ht="17.100000000000001">
      <c r="A286" s="13" t="s">
        <v>39</v>
      </c>
      <c r="B286" s="13" t="s">
        <v>345</v>
      </c>
      <c r="C286" s="26">
        <v>100543</v>
      </c>
      <c r="D286" s="13" t="s">
        <v>345</v>
      </c>
      <c r="E286" s="13">
        <v>397</v>
      </c>
      <c r="F286" s="13" t="s">
        <v>12</v>
      </c>
      <c r="G286" s="9" t="str">
        <f>VLOOKUP(B286,'Property Name List'!A$2:D$834,3,FALSE)</f>
        <v>Fairfield Inn &amp; Suites Harrisburg Hershey</v>
      </c>
      <c r="H286" s="10">
        <v>46098</v>
      </c>
      <c r="I286" t="s">
        <v>14</v>
      </c>
      <c r="J286">
        <f>VLOOKUP(E286,'Room Count'!A$2:B$2616,2,FALSE)</f>
        <v>94</v>
      </c>
    </row>
    <row r="287" spans="1:10" ht="17.100000000000001">
      <c r="A287" s="13" t="s">
        <v>39</v>
      </c>
      <c r="B287" s="13" t="s">
        <v>346</v>
      </c>
      <c r="C287" s="26">
        <v>100437</v>
      </c>
      <c r="D287" s="13" t="s">
        <v>346</v>
      </c>
      <c r="E287" s="13">
        <v>344</v>
      </c>
      <c r="F287" s="13" t="s">
        <v>12</v>
      </c>
      <c r="G287" s="9" t="str">
        <f>VLOOKUP(B287,'Property Name List'!A$2:D$834,3,FALSE)</f>
        <v>Courtyard By Marriott Statesville Mooresville/Lake Norman</v>
      </c>
      <c r="H287" s="10">
        <v>46098</v>
      </c>
      <c r="I287" t="s">
        <v>14</v>
      </c>
      <c r="J287">
        <f>VLOOKUP(E287,'Room Count'!A$2:B$2616,2,FALSE)</f>
        <v>94</v>
      </c>
    </row>
    <row r="288" spans="1:10" ht="17.100000000000001">
      <c r="A288" s="13" t="s">
        <v>39</v>
      </c>
      <c r="B288" s="13" t="s">
        <v>347</v>
      </c>
      <c r="C288" s="26">
        <v>100605</v>
      </c>
      <c r="D288" s="13" t="s">
        <v>347</v>
      </c>
      <c r="E288" s="13">
        <v>428</v>
      </c>
      <c r="F288" s="13" t="s">
        <v>12</v>
      </c>
      <c r="G288" s="9" t="str">
        <f>VLOOKUP(B288,'Property Name List'!A$2:D$834,3,FALSE)</f>
        <v>Fairfield by Marriott Inn &amp; Suites Herndon Reston</v>
      </c>
      <c r="H288" s="10">
        <v>46098</v>
      </c>
      <c r="I288" t="s">
        <v>14</v>
      </c>
      <c r="J288">
        <f>VLOOKUP(E288,'Room Count'!A$2:B$2616,2,FALSE)</f>
        <v>108</v>
      </c>
    </row>
    <row r="289" spans="1:10" ht="17.100000000000001">
      <c r="A289" s="13" t="s">
        <v>39</v>
      </c>
      <c r="B289" s="13" t="s">
        <v>348</v>
      </c>
      <c r="C289" s="26">
        <v>100523</v>
      </c>
      <c r="D289" s="13" t="s">
        <v>348</v>
      </c>
      <c r="E289" s="13">
        <v>387</v>
      </c>
      <c r="F289" s="13" t="s">
        <v>12</v>
      </c>
      <c r="G289" s="9" t="str">
        <f>VLOOKUP(B289,'Property Name List'!A$2:D$834,3,FALSE)</f>
        <v>SpringHill Suites By Marriott Fairfax Fair Oaks</v>
      </c>
      <c r="H289" s="10">
        <v>46098</v>
      </c>
      <c r="I289" t="s">
        <v>14</v>
      </c>
      <c r="J289">
        <f>VLOOKUP(E289,'Room Count'!A$2:B$2616,2,FALSE)</f>
        <v>140</v>
      </c>
    </row>
    <row r="290" spans="1:10" ht="17.100000000000001">
      <c r="A290" s="13" t="s">
        <v>39</v>
      </c>
      <c r="B290" s="13" t="s">
        <v>349</v>
      </c>
      <c r="C290" s="26">
        <v>100449</v>
      </c>
      <c r="D290" s="13" t="s">
        <v>349</v>
      </c>
      <c r="E290" s="13">
        <v>350</v>
      </c>
      <c r="F290" s="13" t="s">
        <v>12</v>
      </c>
      <c r="G290" s="9" t="str">
        <f>VLOOKUP(B290,'Property Name List'!A$2:D$834,3,FALSE)</f>
        <v>Courtyard By Marriott Dulles Airport Herndon</v>
      </c>
      <c r="H290" s="10">
        <v>46098</v>
      </c>
      <c r="I290" t="s">
        <v>14</v>
      </c>
      <c r="J290">
        <f>VLOOKUP(E290,'Room Count'!A$2:B$2616,2,FALSE)</f>
        <v>187</v>
      </c>
    </row>
    <row r="291" spans="1:10" ht="17.100000000000001">
      <c r="A291" s="13" t="s">
        <v>39</v>
      </c>
      <c r="B291" s="13" t="s">
        <v>350</v>
      </c>
      <c r="C291" s="26">
        <v>100617</v>
      </c>
      <c r="D291" s="13" t="s">
        <v>350</v>
      </c>
      <c r="E291" s="13">
        <v>434</v>
      </c>
      <c r="F291" s="13" t="s">
        <v>12</v>
      </c>
      <c r="G291" s="9" t="str">
        <f>VLOOKUP(B291,'Property Name List'!A$2:D$834,3,FALSE)</f>
        <v>Fairfield Inn &amp; Suites Wilmington New Castle</v>
      </c>
      <c r="H291" s="10">
        <v>46098</v>
      </c>
      <c r="I291" t="s">
        <v>14</v>
      </c>
      <c r="J291">
        <f>VLOOKUP(E291,'Room Count'!A$2:B$2616,2,FALSE)</f>
        <v>72</v>
      </c>
    </row>
    <row r="292" spans="1:10" ht="17.100000000000001">
      <c r="A292" s="13" t="s">
        <v>39</v>
      </c>
      <c r="B292" s="13" t="s">
        <v>351</v>
      </c>
      <c r="C292" s="26">
        <v>100501</v>
      </c>
      <c r="D292" s="13" t="s">
        <v>351</v>
      </c>
      <c r="E292" s="13">
        <v>376</v>
      </c>
      <c r="F292" s="13" t="s">
        <v>12</v>
      </c>
      <c r="G292" s="9" t="str">
        <f>VLOOKUP(B292,'Property Name List'!A$2:D$834,3,FALSE)</f>
        <v>Courtyard By Marriott Wilmington Downtown/Historic District</v>
      </c>
      <c r="H292" s="10">
        <v>46098</v>
      </c>
      <c r="I292" t="s">
        <v>14</v>
      </c>
      <c r="J292">
        <f>VLOOKUP(E292,'Room Count'!A$2:B$2616,2,FALSE)</f>
        <v>124</v>
      </c>
    </row>
    <row r="293" spans="1:10" ht="17.100000000000001">
      <c r="A293" s="13" t="s">
        <v>39</v>
      </c>
      <c r="B293" s="13" t="s">
        <v>352</v>
      </c>
      <c r="C293" s="26">
        <v>100583</v>
      </c>
      <c r="D293" s="13" t="s">
        <v>352</v>
      </c>
      <c r="E293" s="13">
        <v>417</v>
      </c>
      <c r="F293" s="13" t="s">
        <v>12</v>
      </c>
      <c r="G293" s="9" t="str">
        <f>VLOOKUP(B293,'Property Name List'!A$2:D$834,3,FALSE)</f>
        <v>Fairfield Inn &amp; Suites Indianapolis East</v>
      </c>
      <c r="H293" s="10">
        <v>46098</v>
      </c>
      <c r="I293" t="s">
        <v>14</v>
      </c>
      <c r="J293">
        <f>VLOOKUP(E293,'Room Count'!A$2:B$2616,2,FALSE)</f>
        <v>63</v>
      </c>
    </row>
    <row r="294" spans="1:10" ht="17.100000000000001">
      <c r="A294" s="13" t="s">
        <v>39</v>
      </c>
      <c r="B294" s="13" t="s">
        <v>353</v>
      </c>
      <c r="C294" s="26">
        <v>100611</v>
      </c>
      <c r="D294" s="13" t="s">
        <v>353</v>
      </c>
      <c r="E294" s="13">
        <v>431</v>
      </c>
      <c r="F294" s="13" t="s">
        <v>12</v>
      </c>
      <c r="G294" s="9" t="str">
        <f>VLOOKUP(B294,'Property Name List'!A$2:D$834,3,FALSE)</f>
        <v>Fairfield by Marriott Inn &amp; Suites Franklin</v>
      </c>
      <c r="H294" s="10">
        <v>46098</v>
      </c>
      <c r="I294" t="s">
        <v>14</v>
      </c>
      <c r="J294">
        <f>VLOOKUP(E294,'Room Count'!A$2:B$2616,2,FALSE)</f>
        <v>81</v>
      </c>
    </row>
    <row r="295" spans="1:10" ht="17.100000000000001">
      <c r="A295" s="13" t="s">
        <v>39</v>
      </c>
      <c r="B295" s="13" t="s">
        <v>354</v>
      </c>
      <c r="C295" s="26">
        <v>100613</v>
      </c>
      <c r="D295" s="13" t="s">
        <v>354</v>
      </c>
      <c r="E295" s="13">
        <v>432</v>
      </c>
      <c r="F295" s="13" t="s">
        <v>12</v>
      </c>
      <c r="G295" s="9" t="str">
        <f>VLOOKUP(B295,'Property Name List'!A$2:D$834,3,FALSE)</f>
        <v>Fairfield by Marriott Inn &amp; Suites Kokomo</v>
      </c>
      <c r="H295" s="10">
        <v>46098</v>
      </c>
      <c r="I295" t="s">
        <v>14</v>
      </c>
      <c r="J295">
        <f>VLOOKUP(E295,'Room Count'!A$2:B$2616,2,FALSE)</f>
        <v>112</v>
      </c>
    </row>
    <row r="296" spans="1:10" ht="17.100000000000001">
      <c r="A296" s="13" t="s">
        <v>39</v>
      </c>
      <c r="B296" s="13" t="s">
        <v>355</v>
      </c>
      <c r="C296" s="26">
        <v>100601</v>
      </c>
      <c r="D296" s="13" t="s">
        <v>355</v>
      </c>
      <c r="E296" s="13">
        <v>426</v>
      </c>
      <c r="F296" s="13" t="s">
        <v>12</v>
      </c>
      <c r="G296" s="9" t="str">
        <f>VLOOKUP(B296,'Property Name List'!A$2:D$834,3,FALSE)</f>
        <v>Fairfield Inn &amp; Suites Indianapolis Northwest</v>
      </c>
      <c r="H296" s="10">
        <v>46098</v>
      </c>
      <c r="I296" t="s">
        <v>14</v>
      </c>
      <c r="J296">
        <f>VLOOKUP(E296,'Room Count'!A$2:B$2616,2,FALSE)</f>
        <v>78</v>
      </c>
    </row>
    <row r="297" spans="1:10" ht="17.100000000000001">
      <c r="A297" s="13" t="s">
        <v>39</v>
      </c>
      <c r="B297" s="13" t="s">
        <v>356</v>
      </c>
      <c r="C297" s="26">
        <v>100443</v>
      </c>
      <c r="D297" s="13" t="s">
        <v>356</v>
      </c>
      <c r="E297" s="13">
        <v>347</v>
      </c>
      <c r="F297" s="13" t="s">
        <v>12</v>
      </c>
      <c r="G297" s="9" t="str">
        <f>VLOOKUP(B297,'Property Name List'!A$2:D$834,3,FALSE)</f>
        <v>Fairfield Inn &amp; Suites Indianapolis Carmel</v>
      </c>
      <c r="H297" s="10">
        <v>46098</v>
      </c>
      <c r="I297" t="s">
        <v>14</v>
      </c>
      <c r="J297">
        <f>VLOOKUP(E297,'Room Count'!A$2:B$2616,2,FALSE)</f>
        <v>105</v>
      </c>
    </row>
    <row r="298" spans="1:10" ht="17.100000000000001">
      <c r="A298" s="13" t="s">
        <v>39</v>
      </c>
      <c r="B298" s="13" t="s">
        <v>357</v>
      </c>
      <c r="C298" s="26">
        <v>100615</v>
      </c>
      <c r="D298" s="13" t="s">
        <v>357</v>
      </c>
      <c r="E298" s="13">
        <v>433</v>
      </c>
      <c r="F298" s="13" t="s">
        <v>12</v>
      </c>
      <c r="G298" s="9" t="str">
        <f>VLOOKUP(B298,'Property Name List'!A$2:D$834,3,FALSE)</f>
        <v>Fairfield Inn &amp; Suites Indianapolis Noblesville</v>
      </c>
      <c r="H298" s="10">
        <v>46098</v>
      </c>
      <c r="I298" t="s">
        <v>14</v>
      </c>
      <c r="J298">
        <f>VLOOKUP(E298,'Room Count'!A$2:B$2616,2,FALSE)</f>
        <v>59</v>
      </c>
    </row>
    <row r="299" spans="1:10" ht="17.100000000000001">
      <c r="A299" s="13" t="s">
        <v>39</v>
      </c>
      <c r="B299" s="13" t="s">
        <v>358</v>
      </c>
      <c r="C299" s="26">
        <v>100561</v>
      </c>
      <c r="D299" s="13" t="s">
        <v>358</v>
      </c>
      <c r="E299" s="13">
        <v>406</v>
      </c>
      <c r="F299" s="13" t="s">
        <v>12</v>
      </c>
      <c r="G299" s="9" t="str">
        <f>VLOOKUP(B299,'Property Name List'!A$2:D$834,3,FALSE)</f>
        <v>Courtyard By Marriott Indianapolis Northwest</v>
      </c>
      <c r="H299" s="10">
        <v>46098</v>
      </c>
      <c r="I299" t="s">
        <v>14</v>
      </c>
      <c r="J299">
        <f>VLOOKUP(E299,'Room Count'!A$2:B$2616,2,FALSE)</f>
        <v>90</v>
      </c>
    </row>
    <row r="300" spans="1:10" ht="17.100000000000001">
      <c r="A300" s="13" t="s">
        <v>39</v>
      </c>
      <c r="B300" s="13" t="s">
        <v>359</v>
      </c>
      <c r="C300" s="26">
        <v>100627</v>
      </c>
      <c r="D300" s="13" t="s">
        <v>359</v>
      </c>
      <c r="E300" s="13">
        <v>439</v>
      </c>
      <c r="F300" s="13" t="s">
        <v>12</v>
      </c>
      <c r="G300" s="9" t="str">
        <f>VLOOKUP(B300,'Property Name List'!A$2:D$834,3,FALSE)</f>
        <v>Fairfield Inn &amp; Suites Indianapolis Plainfield</v>
      </c>
      <c r="H300" s="10">
        <v>46098</v>
      </c>
      <c r="I300" t="s">
        <v>14</v>
      </c>
      <c r="J300">
        <f>VLOOKUP(E300,'Room Count'!A$2:B$2616,2,FALSE)</f>
        <v>109</v>
      </c>
    </row>
    <row r="301" spans="1:10" ht="17.100000000000001">
      <c r="A301" s="13" t="s">
        <v>39</v>
      </c>
      <c r="B301" s="13" t="s">
        <v>360</v>
      </c>
      <c r="C301" s="26">
        <v>100567</v>
      </c>
      <c r="D301" s="13" t="s">
        <v>360</v>
      </c>
      <c r="E301" s="13">
        <v>409</v>
      </c>
      <c r="F301" s="13" t="s">
        <v>12</v>
      </c>
      <c r="G301" s="9" t="str">
        <f>VLOOKUP(B301,'Property Name List'!A$2:D$834,3,FALSE)</f>
        <v>Courtyard By Marriott Indianapolis South</v>
      </c>
      <c r="H301" s="10">
        <v>46098</v>
      </c>
      <c r="I301" t="s">
        <v>14</v>
      </c>
      <c r="J301">
        <f>VLOOKUP(E301,'Room Count'!A$2:B$2616,2,FALSE)</f>
        <v>86</v>
      </c>
    </row>
    <row r="302" spans="1:10" ht="17.100000000000001">
      <c r="A302" s="13" t="s">
        <v>39</v>
      </c>
      <c r="B302" s="13" t="s">
        <v>361</v>
      </c>
      <c r="C302" s="26">
        <v>100503</v>
      </c>
      <c r="D302" s="13" t="s">
        <v>361</v>
      </c>
      <c r="E302" s="13">
        <v>377</v>
      </c>
      <c r="F302" s="13" t="s">
        <v>12</v>
      </c>
      <c r="G302" s="9" t="str">
        <f>VLOOKUP(B302,'Property Name List'!A$2:D$834,3,FALSE)</f>
        <v>SpringHill Suites By Marriott Carle Place Garden City</v>
      </c>
      <c r="H302" s="10">
        <v>46098</v>
      </c>
      <c r="I302" t="s">
        <v>14</v>
      </c>
      <c r="J302">
        <f>VLOOKUP(E302,'Room Count'!A$2:B$2616,2,FALSE)</f>
        <v>120</v>
      </c>
    </row>
    <row r="303" spans="1:10" ht="17.100000000000001">
      <c r="A303" s="13" t="s">
        <v>39</v>
      </c>
      <c r="B303" s="13" t="s">
        <v>362</v>
      </c>
      <c r="C303" s="26">
        <v>100659</v>
      </c>
      <c r="D303" s="13" t="s">
        <v>362</v>
      </c>
      <c r="E303" s="13">
        <v>457</v>
      </c>
      <c r="F303" s="13" t="s">
        <v>12</v>
      </c>
      <c r="G303" s="9" t="str">
        <f>VLOOKUP(B303,'Property Name List'!A$2:D$834,3,FALSE)</f>
        <v>Courtyard By Marriott Madison East</v>
      </c>
      <c r="H303" s="10">
        <v>46098</v>
      </c>
      <c r="I303" t="s">
        <v>14</v>
      </c>
      <c r="J303">
        <f>VLOOKUP(E303,'Room Count'!A$2:B$2616,2,FALSE)</f>
        <v>127</v>
      </c>
    </row>
    <row r="304" spans="1:10" ht="17.100000000000001">
      <c r="A304" s="13" t="s">
        <v>39</v>
      </c>
      <c r="B304" s="13" t="s">
        <v>363</v>
      </c>
      <c r="C304" s="26">
        <v>100651</v>
      </c>
      <c r="D304" s="13" t="s">
        <v>363</v>
      </c>
      <c r="E304" s="13">
        <v>451</v>
      </c>
      <c r="F304" s="13" t="s">
        <v>12</v>
      </c>
      <c r="G304" s="9" t="str">
        <f>VLOOKUP(B304,'Property Name List'!A$2:D$834,3,FALSE)</f>
        <v>Fairfield Inn &amp; Suites Madison East</v>
      </c>
      <c r="H304" s="10">
        <v>46098</v>
      </c>
      <c r="I304" t="s">
        <v>14</v>
      </c>
      <c r="J304">
        <f>VLOOKUP(E304,'Room Count'!A$2:B$2616,2,FALSE)</f>
        <v>130</v>
      </c>
    </row>
    <row r="305" spans="1:10" ht="17.100000000000001">
      <c r="A305" s="13" t="s">
        <v>39</v>
      </c>
      <c r="B305" s="13" t="s">
        <v>364</v>
      </c>
      <c r="C305" s="26">
        <v>200143</v>
      </c>
      <c r="D305" s="13" t="s">
        <v>364</v>
      </c>
      <c r="E305" s="13">
        <v>482</v>
      </c>
      <c r="F305" s="13" t="s">
        <v>20</v>
      </c>
      <c r="G305" s="9" t="str">
        <f>VLOOKUP(B305,'Property Name List'!A$2:D$834,3,FALSE)</f>
        <v>SpringHill Suites By Marriott Phoenix Goodyear</v>
      </c>
      <c r="H305" s="10">
        <v>46098</v>
      </c>
      <c r="I305" t="s">
        <v>14</v>
      </c>
      <c r="J305">
        <f>VLOOKUP(E305,'Room Count'!A$2:B$2616,2,FALSE)</f>
        <v>88</v>
      </c>
    </row>
    <row r="306" spans="1:10" ht="17.100000000000001">
      <c r="A306" s="13" t="s">
        <v>39</v>
      </c>
      <c r="B306" s="13" t="s">
        <v>365</v>
      </c>
      <c r="C306" s="26">
        <v>100469</v>
      </c>
      <c r="D306" s="13" t="s">
        <v>365</v>
      </c>
      <c r="E306" s="13">
        <v>360</v>
      </c>
      <c r="F306" s="13" t="s">
        <v>12</v>
      </c>
      <c r="G306" s="9" t="str">
        <f>VLOOKUP(B306,'Property Name List'!A$2:D$834,3,FALSE)</f>
        <v>Fairfield Inn &amp; Suites Slippery Rock</v>
      </c>
      <c r="H306" s="10">
        <v>46098</v>
      </c>
      <c r="I306" t="s">
        <v>14</v>
      </c>
      <c r="J306">
        <f>VLOOKUP(E306,'Room Count'!A$2:B$2616,2,FALSE)</f>
        <v>75</v>
      </c>
    </row>
    <row r="307" spans="1:10" ht="17.100000000000001">
      <c r="A307" s="13" t="s">
        <v>39</v>
      </c>
      <c r="B307" s="13" t="s">
        <v>366</v>
      </c>
      <c r="C307" s="26">
        <v>100641</v>
      </c>
      <c r="D307" s="13" t="s">
        <v>366</v>
      </c>
      <c r="E307" s="13">
        <v>446</v>
      </c>
      <c r="F307" s="13" t="s">
        <v>12</v>
      </c>
      <c r="G307" s="9" t="str">
        <f>VLOOKUP(B307,'Property Name List'!A$2:D$834,3,FALSE)</f>
        <v>SpringHill Suites By Marriott Pittsburgh Butler/Centre City</v>
      </c>
      <c r="H307" s="10">
        <v>46098</v>
      </c>
      <c r="I307" t="s">
        <v>14</v>
      </c>
      <c r="J307">
        <f>VLOOKUP(E307,'Room Count'!A$2:B$2616,2,FALSE)</f>
        <v>76</v>
      </c>
    </row>
    <row r="308" spans="1:10" ht="17.100000000000001">
      <c r="A308" s="13" t="s">
        <v>39</v>
      </c>
      <c r="B308" s="13" t="s">
        <v>367</v>
      </c>
      <c r="C308" s="26">
        <v>100687</v>
      </c>
      <c r="D308" s="13" t="s">
        <v>367</v>
      </c>
      <c r="E308" s="13">
        <v>479</v>
      </c>
      <c r="F308" s="13" t="s">
        <v>12</v>
      </c>
      <c r="G308" s="9" t="str">
        <f>VLOOKUP(B308,'Property Name List'!A$2:D$834,3,FALSE)</f>
        <v>Courtyard By Marriott Gulf Shores Craft Farms</v>
      </c>
      <c r="H308" s="10">
        <v>46098</v>
      </c>
      <c r="I308" t="s">
        <v>14</v>
      </c>
      <c r="J308">
        <f>VLOOKUP(E308,'Room Count'!A$2:B$2616,2,FALSE)</f>
        <v>90</v>
      </c>
    </row>
    <row r="309" spans="1:10" ht="17.100000000000001">
      <c r="A309" s="13" t="s">
        <v>39</v>
      </c>
      <c r="B309" s="13" t="s">
        <v>368</v>
      </c>
      <c r="C309" s="26">
        <v>200157</v>
      </c>
      <c r="D309" s="13" t="s">
        <v>368</v>
      </c>
      <c r="E309" s="13">
        <v>491</v>
      </c>
      <c r="F309" s="13" t="s">
        <v>20</v>
      </c>
      <c r="G309" s="9" t="str">
        <f>VLOOKUP(B309,'Property Name List'!A$2:D$834,3,FALSE)</f>
        <v>Courtyard by Marriott Pasco Tri-Cities Airport</v>
      </c>
      <c r="H309" s="10">
        <v>46098</v>
      </c>
      <c r="I309" t="s">
        <v>14</v>
      </c>
      <c r="J309">
        <f>VLOOKUP(E309,'Room Count'!A$2:B$2616,2,FALSE)</f>
        <v>99</v>
      </c>
    </row>
    <row r="310" spans="1:10" ht="17.100000000000001">
      <c r="A310" s="13" t="s">
        <v>39</v>
      </c>
      <c r="B310" s="13" t="s">
        <v>369</v>
      </c>
      <c r="C310" s="26">
        <v>200159</v>
      </c>
      <c r="D310" s="13" t="s">
        <v>369</v>
      </c>
      <c r="E310" s="13">
        <v>492</v>
      </c>
      <c r="F310" s="13" t="s">
        <v>20</v>
      </c>
      <c r="G310" s="9" t="str">
        <f>VLOOKUP(B310,'Property Name List'!A$2:D$834,3,FALSE)</f>
        <v>Courtyard By Marriott Richland Columbia Point</v>
      </c>
      <c r="H310" s="10">
        <v>46098</v>
      </c>
      <c r="I310" t="s">
        <v>14</v>
      </c>
      <c r="J310">
        <f>VLOOKUP(E310,'Room Count'!A$2:B$2616,2,FALSE)</f>
        <v>120</v>
      </c>
    </row>
    <row r="311" spans="1:10" ht="17.100000000000001">
      <c r="A311" s="13" t="s">
        <v>39</v>
      </c>
      <c r="B311" s="13" t="s">
        <v>370</v>
      </c>
      <c r="C311" s="26">
        <v>100547</v>
      </c>
      <c r="D311" s="13" t="s">
        <v>370</v>
      </c>
      <c r="E311" s="13">
        <v>399</v>
      </c>
      <c r="F311" s="13" t="s">
        <v>12</v>
      </c>
      <c r="G311" s="9" t="str">
        <f>VLOOKUP(B311,'Property Name List'!A$2:D$834,3,FALSE)</f>
        <v>Courtyard By Marriott Providence Downtown</v>
      </c>
      <c r="H311" s="10">
        <v>46098</v>
      </c>
      <c r="I311" t="s">
        <v>14</v>
      </c>
      <c r="J311">
        <f>VLOOKUP(E311,'Room Count'!A$2:B$2616,2,FALSE)</f>
        <v>219</v>
      </c>
    </row>
    <row r="312" spans="1:10" ht="17.100000000000001">
      <c r="A312" s="13" t="s">
        <v>39</v>
      </c>
      <c r="B312" s="13" t="s">
        <v>371</v>
      </c>
      <c r="C312" s="26">
        <v>100607</v>
      </c>
      <c r="D312" s="13" t="s">
        <v>371</v>
      </c>
      <c r="E312" s="13">
        <v>429</v>
      </c>
      <c r="F312" s="13" t="s">
        <v>12</v>
      </c>
      <c r="G312" s="9" t="str">
        <f>VLOOKUP(B312,'Property Name List'!A$2:D$834,3,FALSE)</f>
        <v>Fairfield by Marriott Inn &amp; Suites Mansfield</v>
      </c>
      <c r="H312" s="10">
        <v>46098</v>
      </c>
      <c r="I312" t="s">
        <v>14</v>
      </c>
      <c r="J312">
        <f>VLOOKUP(E312,'Room Count'!A$2:B$2616,2,FALSE)</f>
        <v>108</v>
      </c>
    </row>
    <row r="313" spans="1:10" ht="17.100000000000001">
      <c r="A313" s="13" t="s">
        <v>39</v>
      </c>
      <c r="B313" s="13" t="s">
        <v>372</v>
      </c>
      <c r="C313" s="26">
        <v>100575</v>
      </c>
      <c r="D313" s="13" t="s">
        <v>372</v>
      </c>
      <c r="E313" s="13">
        <v>413</v>
      </c>
      <c r="F313" s="13" t="s">
        <v>12</v>
      </c>
      <c r="G313" s="9" t="str">
        <f>VLOOKUP(B313,'Property Name List'!A$2:D$834,3,FALSE)</f>
        <v>SpringHill Suites By Marriott Providence West Warwick</v>
      </c>
      <c r="H313" s="10">
        <v>46098</v>
      </c>
      <c r="I313" t="s">
        <v>14</v>
      </c>
      <c r="J313">
        <f>VLOOKUP(E313,'Room Count'!A$2:B$2616,2,FALSE)</f>
        <v>108</v>
      </c>
    </row>
    <row r="314" spans="1:10" ht="17.100000000000001">
      <c r="A314" s="13" t="s">
        <v>39</v>
      </c>
      <c r="B314" s="13" t="s">
        <v>373</v>
      </c>
      <c r="C314" s="26">
        <v>100549</v>
      </c>
      <c r="D314" s="13" t="s">
        <v>373</v>
      </c>
      <c r="E314" s="13">
        <v>400</v>
      </c>
      <c r="F314" s="13" t="s">
        <v>12</v>
      </c>
      <c r="G314" s="9" t="str">
        <f>VLOOKUP(B314,'Property Name List'!A$2:D$834,3,FALSE)</f>
        <v>AC Hotel Raleigh Downtown</v>
      </c>
      <c r="H314" s="10">
        <v>46098</v>
      </c>
      <c r="I314" t="s">
        <v>14</v>
      </c>
      <c r="J314">
        <f>VLOOKUP(E314,'Room Count'!A$2:B$2616,2,FALSE)</f>
        <v>146</v>
      </c>
    </row>
    <row r="315" spans="1:10" ht="17.100000000000001">
      <c r="A315" s="13" t="s">
        <v>39</v>
      </c>
      <c r="B315" s="13" t="s">
        <v>374</v>
      </c>
      <c r="C315" s="26">
        <v>100573</v>
      </c>
      <c r="D315" s="13" t="s">
        <v>374</v>
      </c>
      <c r="E315" s="13">
        <v>412</v>
      </c>
      <c r="F315" s="13" t="s">
        <v>12</v>
      </c>
      <c r="G315" s="9" t="str">
        <f>VLOOKUP(B315,'Property Name List'!A$2:D$834,3,FALSE)</f>
        <v>SpringHill Suites by Marriott Durham City View</v>
      </c>
      <c r="H315" s="10">
        <v>46098</v>
      </c>
      <c r="I315" t="s">
        <v>14</v>
      </c>
      <c r="J315">
        <f>VLOOKUP(E315,'Room Count'!A$2:B$2616,2,FALSE)</f>
        <v>104</v>
      </c>
    </row>
    <row r="316" spans="1:10" ht="17.100000000000001">
      <c r="A316" s="13" t="s">
        <v>39</v>
      </c>
      <c r="B316" s="13" t="s">
        <v>375</v>
      </c>
      <c r="C316" s="26">
        <v>100461</v>
      </c>
      <c r="D316" s="13" t="s">
        <v>375</v>
      </c>
      <c r="E316" s="13">
        <v>356</v>
      </c>
      <c r="F316" s="13" t="s">
        <v>12</v>
      </c>
      <c r="G316" s="9" t="str">
        <f>VLOOKUP(B316,'Property Name List'!A$2:D$834,3,FALSE)</f>
        <v>Fairfield Inn By Marriott Richmond Chester</v>
      </c>
      <c r="H316" s="10">
        <v>46098</v>
      </c>
      <c r="I316" t="s">
        <v>14</v>
      </c>
      <c r="J316">
        <f>VLOOKUP(E316,'Room Count'!A$2:B$2616,2,FALSE)</f>
        <v>115</v>
      </c>
    </row>
    <row r="317" spans="1:10" ht="17.100000000000001">
      <c r="A317" s="13" t="s">
        <v>39</v>
      </c>
      <c r="B317" s="13" t="s">
        <v>376</v>
      </c>
      <c r="C317" s="26">
        <v>100629</v>
      </c>
      <c r="D317" s="13" t="s">
        <v>376</v>
      </c>
      <c r="E317" s="13">
        <v>440</v>
      </c>
      <c r="F317" s="13" t="s">
        <v>12</v>
      </c>
      <c r="G317" s="9" t="str">
        <f>VLOOKUP(B317,'Property Name List'!A$2:D$834,3,FALSE)</f>
        <v>Moxy Richmond Downtown</v>
      </c>
      <c r="H317" s="10">
        <v>46098</v>
      </c>
      <c r="I317" t="s">
        <v>14</v>
      </c>
      <c r="J317">
        <f>VLOOKUP(E317,'Room Count'!A$2:B$2616,2,FALSE)</f>
        <v>100</v>
      </c>
    </row>
    <row r="318" spans="1:10" ht="17.100000000000001">
      <c r="A318" s="13" t="s">
        <v>39</v>
      </c>
      <c r="B318" s="13" t="s">
        <v>377</v>
      </c>
      <c r="C318" s="26">
        <v>100527</v>
      </c>
      <c r="D318" s="13" t="s">
        <v>377</v>
      </c>
      <c r="E318" s="13">
        <v>389</v>
      </c>
      <c r="F318" s="13" t="s">
        <v>12</v>
      </c>
      <c r="G318" s="9" t="str">
        <f>VLOOKUP(B318,'Property Name List'!A$2:D$834,3,FALSE)</f>
        <v>Courtyard By Marriott Rock Hill</v>
      </c>
      <c r="H318" s="10">
        <v>46098</v>
      </c>
      <c r="I318" t="s">
        <v>14</v>
      </c>
      <c r="J318">
        <f>VLOOKUP(E318,'Room Count'!A$2:B$2616,2,FALSE)</f>
        <v>90</v>
      </c>
    </row>
    <row r="319" spans="1:10" ht="17.100000000000001">
      <c r="A319" s="13" t="s">
        <v>39</v>
      </c>
      <c r="B319" s="13" t="s">
        <v>378</v>
      </c>
      <c r="C319" s="26">
        <v>100447</v>
      </c>
      <c r="D319" s="13" t="s">
        <v>378</v>
      </c>
      <c r="E319" s="13">
        <v>349</v>
      </c>
      <c r="F319" s="13" t="s">
        <v>12</v>
      </c>
      <c r="G319" s="9" t="str">
        <f>VLOOKUP(B319,'Property Name List'!A$2:D$834,3,FALSE)</f>
        <v>Fairfield Inn &amp; Suites Christiansburg</v>
      </c>
      <c r="H319" s="10">
        <v>46098</v>
      </c>
      <c r="I319" t="s">
        <v>14</v>
      </c>
      <c r="J319">
        <f>VLOOKUP(E319,'Room Count'!A$2:B$2616,2,FALSE)</f>
        <v>87</v>
      </c>
    </row>
    <row r="320" spans="1:10" ht="17.100000000000001">
      <c r="A320" s="13" t="s">
        <v>39</v>
      </c>
      <c r="B320" s="13" t="s">
        <v>379</v>
      </c>
      <c r="C320" s="26">
        <v>100635</v>
      </c>
      <c r="D320" s="13" t="s">
        <v>379</v>
      </c>
      <c r="E320" s="13">
        <v>443</v>
      </c>
      <c r="F320" s="13" t="s">
        <v>12</v>
      </c>
      <c r="G320" s="9" t="str">
        <f>VLOOKUP(B320,'Property Name List'!A$2:D$834,3,FALSE)</f>
        <v>Fairfield Inn By Marriott Fort Myers Cape Coral</v>
      </c>
      <c r="H320" s="10">
        <v>46098</v>
      </c>
      <c r="I320" t="s">
        <v>14</v>
      </c>
      <c r="J320">
        <f>VLOOKUP(E320,'Room Count'!A$2:B$2616,2,FALSE)</f>
        <v>100</v>
      </c>
    </row>
    <row r="321" spans="1:10" ht="17.100000000000001">
      <c r="A321" s="13" t="s">
        <v>39</v>
      </c>
      <c r="B321" s="13" t="s">
        <v>380</v>
      </c>
      <c r="C321" s="26">
        <v>200129</v>
      </c>
      <c r="D321" s="13" t="s">
        <v>380</v>
      </c>
      <c r="E321" s="13">
        <v>464</v>
      </c>
      <c r="F321" s="13" t="s">
        <v>20</v>
      </c>
      <c r="G321" s="9" t="str">
        <f>VLOOKUP(B321,'Property Name List'!A$2:D$834,3,FALSE)</f>
        <v>SpringHill Suites By Marriott San Antonio SeaWorld/Lackland</v>
      </c>
      <c r="H321" s="10">
        <v>46098</v>
      </c>
      <c r="I321" t="s">
        <v>14</v>
      </c>
      <c r="J321">
        <f>VLOOKUP(E321,'Room Count'!A$2:B$2616,2,FALSE)</f>
        <v>116</v>
      </c>
    </row>
    <row r="322" spans="1:10" ht="17.100000000000001">
      <c r="A322" s="13" t="s">
        <v>39</v>
      </c>
      <c r="B322" s="13" t="s">
        <v>381</v>
      </c>
      <c r="C322" s="26">
        <v>100455</v>
      </c>
      <c r="D322" s="13" t="s">
        <v>381</v>
      </c>
      <c r="E322" s="13">
        <v>353</v>
      </c>
      <c r="F322" s="13" t="s">
        <v>12</v>
      </c>
      <c r="G322" s="9" t="str">
        <f>VLOOKUP(B322,'Property Name List'!A$2:D$834,3,FALSE)</f>
        <v>Fairfield Inn &amp; Suites Goshen</v>
      </c>
      <c r="H322" s="10">
        <v>46098</v>
      </c>
      <c r="I322" t="s">
        <v>14</v>
      </c>
      <c r="J322">
        <f>VLOOKUP(E322,'Room Count'!A$2:B$2616,2,FALSE)</f>
        <v>92</v>
      </c>
    </row>
    <row r="323" spans="1:10" ht="17.100000000000001">
      <c r="A323" s="13" t="s">
        <v>39</v>
      </c>
      <c r="B323" s="13" t="s">
        <v>382</v>
      </c>
      <c r="C323" s="26">
        <v>100507</v>
      </c>
      <c r="D323" s="13" t="s">
        <v>382</v>
      </c>
      <c r="E323" s="13">
        <v>379</v>
      </c>
      <c r="F323" s="13" t="s">
        <v>12</v>
      </c>
      <c r="G323" s="9" t="str">
        <f>VLOOKUP(B323,'Property Name List'!A$2:D$834,3,FALSE)</f>
        <v>Fairfield Inn &amp; Suites State College</v>
      </c>
      <c r="H323" s="10">
        <v>46098</v>
      </c>
      <c r="I323" t="s">
        <v>14</v>
      </c>
      <c r="J323">
        <f>VLOOKUP(E323,'Room Count'!A$2:B$2616,2,FALSE)</f>
        <v>83</v>
      </c>
    </row>
    <row r="324" spans="1:10" ht="17.100000000000001">
      <c r="A324" s="13" t="s">
        <v>39</v>
      </c>
      <c r="B324" s="13" t="s">
        <v>383</v>
      </c>
      <c r="C324" s="26">
        <v>100491</v>
      </c>
      <c r="D324" s="13" t="s">
        <v>383</v>
      </c>
      <c r="E324" s="13">
        <v>371</v>
      </c>
      <c r="F324" s="13" t="s">
        <v>12</v>
      </c>
      <c r="G324" s="9" t="str">
        <f>VLOOKUP(B324,'Property Name List'!A$2:D$834,3,FALSE)</f>
        <v>SpringHill Suites By Marriott State College</v>
      </c>
      <c r="H324" s="10">
        <v>46098</v>
      </c>
      <c r="I324" t="s">
        <v>14</v>
      </c>
      <c r="J324">
        <f>VLOOKUP(E324,'Room Count'!A$2:B$2616,2,FALSE)</f>
        <v>72</v>
      </c>
    </row>
    <row r="325" spans="1:10" ht="17.100000000000001">
      <c r="A325" s="13" t="s">
        <v>39</v>
      </c>
      <c r="B325" s="13" t="s">
        <v>384</v>
      </c>
      <c r="C325" s="26">
        <v>100481</v>
      </c>
      <c r="D325" s="13" t="s">
        <v>384</v>
      </c>
      <c r="E325" s="13">
        <v>366</v>
      </c>
      <c r="F325" s="13" t="s">
        <v>12</v>
      </c>
      <c r="G325" s="9" t="str">
        <f>VLOOKUP(B325,'Property Name List'!A$2:D$834,3,FALSE)</f>
        <v>Courtyard By Marriott Schenectady at Mohawk Harbor</v>
      </c>
      <c r="H325" s="10">
        <v>46098</v>
      </c>
      <c r="I325" t="s">
        <v>14</v>
      </c>
      <c r="J325">
        <f>VLOOKUP(E325,'Room Count'!A$2:B$2616,2,FALSE)</f>
        <v>124</v>
      </c>
    </row>
    <row r="326" spans="1:10" ht="17.100000000000001">
      <c r="A326" s="13" t="s">
        <v>39</v>
      </c>
      <c r="B326" s="13" t="s">
        <v>385</v>
      </c>
      <c r="C326" s="26">
        <v>100595</v>
      </c>
      <c r="D326" s="13" t="s">
        <v>385</v>
      </c>
      <c r="E326" s="13">
        <v>423</v>
      </c>
      <c r="F326" s="13" t="s">
        <v>12</v>
      </c>
      <c r="G326" s="9" t="str">
        <f>VLOOKUP(B326,'Property Name List'!A$2:D$834,3,FALSE)</f>
        <v>Fairfield by Marriott Inn &amp; Suites Madison Historic Eagle Cotton Mill</v>
      </c>
      <c r="H326" s="10">
        <v>46098</v>
      </c>
      <c r="I326" t="s">
        <v>14</v>
      </c>
      <c r="J326">
        <f>VLOOKUP(E326,'Room Count'!A$2:B$2616,2,FALSE)</f>
        <v>85</v>
      </c>
    </row>
    <row r="327" spans="1:10" ht="17.100000000000001">
      <c r="A327" s="13" t="s">
        <v>39</v>
      </c>
      <c r="B327" s="13" t="s">
        <v>386</v>
      </c>
      <c r="C327" s="26">
        <v>100493</v>
      </c>
      <c r="D327" s="13" t="s">
        <v>386</v>
      </c>
      <c r="E327" s="13">
        <v>372</v>
      </c>
      <c r="F327" s="13" t="s">
        <v>12</v>
      </c>
      <c r="G327" s="9" t="str">
        <f>VLOOKUP(B327,'Property Name List'!A$2:D$834,3,FALSE)</f>
        <v>Fairfield by Marriott Inn &amp; Suites Shelbyville</v>
      </c>
      <c r="H327" s="10">
        <v>46098</v>
      </c>
      <c r="I327" t="s">
        <v>14</v>
      </c>
      <c r="J327">
        <f>VLOOKUP(E327,'Room Count'!A$2:B$2616,2,FALSE)</f>
        <v>84</v>
      </c>
    </row>
    <row r="328" spans="1:10" ht="17.100000000000001">
      <c r="A328" s="13" t="s">
        <v>39</v>
      </c>
      <c r="B328" s="13" t="s">
        <v>387</v>
      </c>
      <c r="C328" s="26">
        <v>200151</v>
      </c>
      <c r="D328" s="13" t="s">
        <v>387</v>
      </c>
      <c r="E328" s="13">
        <v>488</v>
      </c>
      <c r="F328" s="13" t="s">
        <v>20</v>
      </c>
      <c r="G328" s="9" t="str">
        <f>VLOOKUP(B328,'Property Name List'!A$2:D$834,3,FALSE)</f>
        <v>Fairfield Inn &amp; Suites Sheridan</v>
      </c>
      <c r="H328" s="10">
        <v>46098</v>
      </c>
      <c r="I328" t="s">
        <v>14</v>
      </c>
      <c r="J328">
        <f>VLOOKUP(E328,'Room Count'!A$2:B$2616,2,FALSE)</f>
        <v>72</v>
      </c>
    </row>
    <row r="329" spans="1:10" ht="17.100000000000001">
      <c r="A329" s="13" t="s">
        <v>39</v>
      </c>
      <c r="B329" s="13" t="s">
        <v>388</v>
      </c>
      <c r="C329" s="26">
        <v>200153</v>
      </c>
      <c r="D329" s="13" t="s">
        <v>388</v>
      </c>
      <c r="E329" s="13">
        <v>489</v>
      </c>
      <c r="F329" s="13" t="s">
        <v>20</v>
      </c>
      <c r="G329" s="9" t="str">
        <f>VLOOKUP(B329,'Property Name List'!A$2:D$834,3,FALSE)</f>
        <v>AC Hotel Park City</v>
      </c>
      <c r="H329" s="10">
        <v>46098</v>
      </c>
      <c r="I329" t="s">
        <v>14</v>
      </c>
      <c r="J329">
        <f>VLOOKUP(E329,'Room Count'!A$2:B$2616,2,FALSE)</f>
        <v>100</v>
      </c>
    </row>
    <row r="330" spans="1:10" ht="17.100000000000001">
      <c r="A330" s="13" t="s">
        <v>39</v>
      </c>
      <c r="B330" s="13" t="s">
        <v>389</v>
      </c>
      <c r="C330" s="26">
        <v>200149</v>
      </c>
      <c r="D330" s="13" t="s">
        <v>389</v>
      </c>
      <c r="E330" s="13">
        <v>487</v>
      </c>
      <c r="F330" s="13" t="s">
        <v>20</v>
      </c>
      <c r="G330" s="9" t="str">
        <f>VLOOKUP(B330,'Property Name List'!A$2:D$834,3,FALSE)</f>
        <v>Courtyard By Marriott Salt Lake City Downtown</v>
      </c>
      <c r="H330" s="10">
        <v>46098</v>
      </c>
      <c r="I330" t="s">
        <v>14</v>
      </c>
      <c r="J330">
        <f>VLOOKUP(E330,'Room Count'!A$2:B$2616,2,FALSE)</f>
        <v>175</v>
      </c>
    </row>
    <row r="331" spans="1:10" ht="17.100000000000001">
      <c r="A331" s="13" t="s">
        <v>39</v>
      </c>
      <c r="B331" s="13" t="s">
        <v>390</v>
      </c>
      <c r="C331" s="26">
        <v>200163</v>
      </c>
      <c r="D331" s="13" t="s">
        <v>390</v>
      </c>
      <c r="E331" s="13">
        <v>494</v>
      </c>
      <c r="F331" s="13" t="s">
        <v>20</v>
      </c>
      <c r="G331" s="9" t="str">
        <f>VLOOKUP(B331,'Property Name List'!A$2:D$834,3,FALSE)</f>
        <v>Courtyard By Marriott Salt Lake City Cottonwood</v>
      </c>
      <c r="H331" s="10">
        <v>46098</v>
      </c>
      <c r="I331" t="s">
        <v>14</v>
      </c>
      <c r="J331">
        <f>VLOOKUP(E331,'Room Count'!A$2:B$2616,2,FALSE)</f>
        <v>149</v>
      </c>
    </row>
    <row r="332" spans="1:10" ht="17.100000000000001">
      <c r="A332" s="13" t="s">
        <v>39</v>
      </c>
      <c r="B332" s="13" t="s">
        <v>391</v>
      </c>
      <c r="C332" s="26">
        <v>200145</v>
      </c>
      <c r="D332" s="13" t="s">
        <v>391</v>
      </c>
      <c r="E332" s="13">
        <v>484</v>
      </c>
      <c r="F332" s="13" t="s">
        <v>20</v>
      </c>
      <c r="G332" s="9" t="str">
        <f>VLOOKUP(B332,'Property Name List'!A$2:D$834,3,FALSE)</f>
        <v>Fairfield Inn &amp; Suites Salt Lake City Midvale</v>
      </c>
      <c r="H332" s="10">
        <v>46098</v>
      </c>
      <c r="I332" t="s">
        <v>14</v>
      </c>
      <c r="J332">
        <f>VLOOKUP(E332,'Room Count'!A$2:B$2616,2,FALSE)</f>
        <v>88</v>
      </c>
    </row>
    <row r="333" spans="1:10" ht="17.100000000000001">
      <c r="A333" s="13" t="s">
        <v>39</v>
      </c>
      <c r="B333" s="13" t="s">
        <v>392</v>
      </c>
      <c r="C333" s="26">
        <v>200155</v>
      </c>
      <c r="D333" s="13" t="s">
        <v>392</v>
      </c>
      <c r="E333" s="13">
        <v>490</v>
      </c>
      <c r="F333" s="13" t="s">
        <v>20</v>
      </c>
      <c r="G333" s="9" t="str">
        <f>VLOOKUP(B333,'Property Name List'!A$2:D$834,3,FALSE)</f>
        <v>SpringHill Suites By Marriott Provo</v>
      </c>
      <c r="H333" s="10">
        <v>46098</v>
      </c>
      <c r="I333" t="s">
        <v>14</v>
      </c>
      <c r="J333">
        <f>VLOOKUP(E333,'Room Count'!A$2:B$2616,2,FALSE)</f>
        <v>82</v>
      </c>
    </row>
    <row r="334" spans="1:10" ht="17.100000000000001">
      <c r="A334" s="13" t="s">
        <v>39</v>
      </c>
      <c r="B334" s="13" t="s">
        <v>393</v>
      </c>
      <c r="C334" s="26">
        <v>200147</v>
      </c>
      <c r="D334" s="13" t="s">
        <v>393</v>
      </c>
      <c r="E334" s="13">
        <v>486</v>
      </c>
      <c r="F334" s="13" t="s">
        <v>20</v>
      </c>
      <c r="G334" s="9" t="str">
        <f>VLOOKUP(B334,'Property Name List'!A$2:D$834,3,FALSE)</f>
        <v>SpringHill Suites By Marriott Salt Lake City West Valley</v>
      </c>
      <c r="H334" s="10">
        <v>46098</v>
      </c>
      <c r="I334" t="s">
        <v>14</v>
      </c>
      <c r="J334">
        <f>VLOOKUP(E334,'Room Count'!A$2:B$2616,2,FALSE)</f>
        <v>133</v>
      </c>
    </row>
    <row r="335" spans="1:10" ht="17.100000000000001">
      <c r="A335" s="13" t="s">
        <v>39</v>
      </c>
      <c r="B335" s="13" t="s">
        <v>394</v>
      </c>
      <c r="C335" s="26">
        <v>100511</v>
      </c>
      <c r="D335" s="13" t="s">
        <v>394</v>
      </c>
      <c r="E335" s="13">
        <v>381</v>
      </c>
      <c r="F335" s="13" t="s">
        <v>12</v>
      </c>
      <c r="G335" s="9" t="str">
        <f>VLOOKUP(B335,'Property Name List'!A$2:D$834,3,FALSE)</f>
        <v>Courtyard by Marriott Sarasota at University Town Center</v>
      </c>
      <c r="H335" s="10">
        <v>46098</v>
      </c>
      <c r="I335" t="s">
        <v>14</v>
      </c>
      <c r="J335">
        <f>VLOOKUP(E335,'Room Count'!A$2:B$2616,2,FALSE)</f>
        <v>132</v>
      </c>
    </row>
    <row r="336" spans="1:10" ht="17.100000000000001">
      <c r="A336" s="13" t="s">
        <v>39</v>
      </c>
      <c r="B336" s="13" t="s">
        <v>395</v>
      </c>
      <c r="C336" s="26">
        <v>100539</v>
      </c>
      <c r="D336" s="13" t="s">
        <v>395</v>
      </c>
      <c r="E336" s="13">
        <v>395</v>
      </c>
      <c r="F336" s="13" t="s">
        <v>12</v>
      </c>
      <c r="G336" s="9" t="str">
        <f>VLOOKUP(B336,'Property Name List'!A$2:D$834,3,FALSE)</f>
        <v>Fairfield Inn &amp; Suites Sarasota Lakewood Ranch</v>
      </c>
      <c r="H336" s="10">
        <v>46098</v>
      </c>
      <c r="I336" t="s">
        <v>14</v>
      </c>
      <c r="J336">
        <f>VLOOKUP(E336,'Room Count'!A$2:B$2616,2,FALSE)</f>
        <v>87</v>
      </c>
    </row>
    <row r="337" spans="1:10" ht="17.100000000000001">
      <c r="A337" s="13" t="s">
        <v>39</v>
      </c>
      <c r="B337" s="13" t="s">
        <v>396</v>
      </c>
      <c r="C337" s="26">
        <v>200133</v>
      </c>
      <c r="D337" s="13" t="s">
        <v>396</v>
      </c>
      <c r="E337" s="13">
        <v>466</v>
      </c>
      <c r="F337" s="13" t="s">
        <v>20</v>
      </c>
      <c r="G337" s="9" t="str">
        <f>VLOOKUP(B337,'Property Name List'!A$2:D$834,3,FALSE)</f>
        <v>Fairfield Inn &amp; Suites Rolla</v>
      </c>
      <c r="H337" s="10">
        <v>46098</v>
      </c>
      <c r="I337" t="s">
        <v>14</v>
      </c>
      <c r="J337">
        <f>VLOOKUP(E337,'Room Count'!A$2:B$2616,2,FALSE)</f>
        <v>88</v>
      </c>
    </row>
    <row r="338" spans="1:10" ht="17.100000000000001">
      <c r="A338" s="13" t="s">
        <v>39</v>
      </c>
      <c r="B338" s="13" t="s">
        <v>397</v>
      </c>
      <c r="C338" s="26">
        <v>100649</v>
      </c>
      <c r="D338" s="13" t="s">
        <v>397</v>
      </c>
      <c r="E338" s="13">
        <v>450</v>
      </c>
      <c r="F338" s="13" t="s">
        <v>12</v>
      </c>
      <c r="G338" s="9" t="str">
        <f>VLOOKUP(B338,'Property Name List'!A$2:D$834,3,FALSE)</f>
        <v>SpringHill Suites By Marriott Tuscaloosa</v>
      </c>
      <c r="H338" s="10">
        <v>46098</v>
      </c>
      <c r="I338" t="s">
        <v>14</v>
      </c>
      <c r="J338">
        <f>VLOOKUP(E338,'Room Count'!A$2:B$2616,2,FALSE)</f>
        <v>96</v>
      </c>
    </row>
    <row r="339" spans="1:10" ht="17.100000000000001">
      <c r="A339" s="13" t="s">
        <v>39</v>
      </c>
      <c r="B339" s="13" t="s">
        <v>398</v>
      </c>
      <c r="C339" s="26">
        <v>100517</v>
      </c>
      <c r="D339" s="13" t="s">
        <v>398</v>
      </c>
      <c r="E339" s="13">
        <v>384</v>
      </c>
      <c r="F339" s="13" t="s">
        <v>12</v>
      </c>
      <c r="G339" s="9" t="str">
        <f>VLOOKUP(B339,'Property Name List'!A$2:D$834,3,FALSE)</f>
        <v>Fairfield Inn &amp; Suites Port Clinton Waterfront</v>
      </c>
      <c r="H339" s="10">
        <v>46098</v>
      </c>
      <c r="I339" t="s">
        <v>14</v>
      </c>
      <c r="J339">
        <f>VLOOKUP(E339,'Room Count'!A$2:B$2616,2,FALSE)</f>
        <v>86</v>
      </c>
    </row>
    <row r="340" spans="1:10" ht="17.100000000000001">
      <c r="A340" s="13" t="s">
        <v>39</v>
      </c>
      <c r="B340" s="13" t="s">
        <v>399</v>
      </c>
      <c r="C340" s="26">
        <v>100475</v>
      </c>
      <c r="D340" s="13" t="s">
        <v>399</v>
      </c>
      <c r="E340" s="13">
        <v>363</v>
      </c>
      <c r="F340" s="13" t="s">
        <v>12</v>
      </c>
      <c r="G340" s="9" t="str">
        <f>VLOOKUP(B340,'Property Name List'!A$2:D$834,3,FALSE)</f>
        <v>SpringHill Suites By Marriott St. Petersburg Clearwater</v>
      </c>
      <c r="H340" s="10">
        <v>46098</v>
      </c>
      <c r="I340" t="s">
        <v>14</v>
      </c>
      <c r="J340">
        <f>VLOOKUP(E340,'Room Count'!A$2:B$2616,2,FALSE)</f>
        <v>79</v>
      </c>
    </row>
    <row r="341" spans="1:10" ht="17.100000000000001">
      <c r="A341" s="13" t="s">
        <v>39</v>
      </c>
      <c r="B341" s="13" t="s">
        <v>400</v>
      </c>
      <c r="C341" s="26">
        <v>100515</v>
      </c>
      <c r="D341" s="13" t="s">
        <v>400</v>
      </c>
      <c r="E341" s="13">
        <v>383</v>
      </c>
      <c r="F341" s="13" t="s">
        <v>12</v>
      </c>
      <c r="G341" s="9" t="str">
        <f>VLOOKUP(B341,'Property Name List'!A$2:D$834,3,FALSE)</f>
        <v>Courtyard By Marriott Lakeland</v>
      </c>
      <c r="H341" s="10">
        <v>46098</v>
      </c>
      <c r="I341" t="s">
        <v>14</v>
      </c>
      <c r="J341">
        <f>VLOOKUP(E341,'Room Count'!A$2:B$2616,2,FALSE)</f>
        <v>78</v>
      </c>
    </row>
    <row r="342" spans="1:10" ht="17.100000000000001">
      <c r="A342" s="13" t="s">
        <v>39</v>
      </c>
      <c r="B342" s="13" t="s">
        <v>401</v>
      </c>
      <c r="C342" s="26">
        <v>100551</v>
      </c>
      <c r="D342" s="13" t="s">
        <v>401</v>
      </c>
      <c r="E342" s="13">
        <v>401</v>
      </c>
      <c r="F342" s="13" t="s">
        <v>12</v>
      </c>
      <c r="G342" s="9" t="str">
        <f>VLOOKUP(B342,'Property Name List'!A$2:D$834,3,FALSE)</f>
        <v>Courtyard By Marriott St. Petersburg Downtown</v>
      </c>
      <c r="H342" s="10">
        <v>46098</v>
      </c>
      <c r="I342" t="s">
        <v>14</v>
      </c>
      <c r="J342">
        <f>VLOOKUP(E342,'Room Count'!A$2:B$2616,2,FALSE)</f>
        <v>128</v>
      </c>
    </row>
    <row r="343" spans="1:10" ht="17.100000000000001">
      <c r="A343" s="13" t="s">
        <v>39</v>
      </c>
      <c r="B343" s="13" t="s">
        <v>402</v>
      </c>
      <c r="C343" s="26">
        <v>100535</v>
      </c>
      <c r="D343" s="13" t="s">
        <v>402</v>
      </c>
      <c r="E343" s="13">
        <v>393</v>
      </c>
      <c r="F343" s="13" t="s">
        <v>12</v>
      </c>
      <c r="G343" s="9" t="str">
        <f>VLOOKUP(B343,'Property Name List'!A$2:D$834,3,FALSE)</f>
        <v>SpringHill Suites By Marriott Tampa Westshore/Airport</v>
      </c>
      <c r="H343" s="10">
        <v>46098</v>
      </c>
      <c r="I343" t="s">
        <v>14</v>
      </c>
      <c r="J343">
        <f>VLOOKUP(E343,'Room Count'!A$2:B$2616,2,FALSE)</f>
        <v>149</v>
      </c>
    </row>
    <row r="344" spans="1:10" ht="17.100000000000001">
      <c r="A344" s="13" t="s">
        <v>39</v>
      </c>
      <c r="B344" s="13" t="s">
        <v>403</v>
      </c>
      <c r="C344" s="26">
        <v>100673</v>
      </c>
      <c r="D344" s="13" t="s">
        <v>403</v>
      </c>
      <c r="E344" s="13">
        <v>471</v>
      </c>
      <c r="F344" s="13" t="s">
        <v>12</v>
      </c>
      <c r="G344" s="9" t="str">
        <f>VLOOKUP(B344,'Property Name List'!A$2:D$834,3,FALSE)</f>
        <v>Fairfield Inn &amp; Suites Destin</v>
      </c>
      <c r="H344" s="10">
        <v>46098</v>
      </c>
      <c r="I344" t="s">
        <v>14</v>
      </c>
      <c r="J344">
        <f>VLOOKUP(E344,'Room Count'!A$2:B$2616,2,FALSE)</f>
        <v>100</v>
      </c>
    </row>
    <row r="345" spans="1:10" ht="17.100000000000001">
      <c r="A345" s="13" t="s">
        <v>39</v>
      </c>
      <c r="B345" s="13" t="s">
        <v>404</v>
      </c>
      <c r="C345" s="26">
        <v>100671</v>
      </c>
      <c r="D345" s="13" t="s">
        <v>404</v>
      </c>
      <c r="E345" s="13">
        <v>470</v>
      </c>
      <c r="F345" s="13" t="s">
        <v>12</v>
      </c>
      <c r="G345" s="9" t="str">
        <f>VLOOKUP(B345,'Property Name List'!A$2:D$834,3,FALSE)</f>
        <v>Fairfield Inn &amp; Suites Crestview</v>
      </c>
      <c r="H345" s="10">
        <v>46098</v>
      </c>
      <c r="I345" t="s">
        <v>14</v>
      </c>
      <c r="J345">
        <f>VLOOKUP(E345,'Room Count'!A$2:B$2616,2,FALSE)</f>
        <v>90</v>
      </c>
    </row>
    <row r="346" spans="1:10" ht="17.100000000000001">
      <c r="A346" s="13" t="s">
        <v>39</v>
      </c>
      <c r="B346" s="13" t="s">
        <v>405</v>
      </c>
      <c r="C346" s="26">
        <v>100679</v>
      </c>
      <c r="D346" s="13" t="s">
        <v>405</v>
      </c>
      <c r="E346" s="13">
        <v>474</v>
      </c>
      <c r="F346" s="13" t="s">
        <v>12</v>
      </c>
      <c r="G346" s="9" t="str">
        <f>VLOOKUP(B346,'Property Name List'!A$2:D$834,3,FALSE)</f>
        <v>Fairfield Inn &amp; Suites Fort Walton Beach-Eglin AFB</v>
      </c>
      <c r="H346" s="10">
        <v>46098</v>
      </c>
      <c r="I346" t="s">
        <v>14</v>
      </c>
      <c r="J346">
        <f>VLOOKUP(E346,'Room Count'!A$2:B$2616,2,FALSE)</f>
        <v>92</v>
      </c>
    </row>
    <row r="347" spans="1:10" ht="17.100000000000001">
      <c r="A347" s="13" t="s">
        <v>39</v>
      </c>
      <c r="B347" s="13" t="s">
        <v>406</v>
      </c>
      <c r="C347" s="26">
        <v>100593</v>
      </c>
      <c r="D347" s="13" t="s">
        <v>406</v>
      </c>
      <c r="E347" s="13">
        <v>422</v>
      </c>
      <c r="F347" s="13" t="s">
        <v>12</v>
      </c>
      <c r="G347" s="9" t="str">
        <f>VLOOKUP(B347,'Property Name List'!A$2:D$834,3,FALSE)</f>
        <v>Fairfield Inn &amp; Suites Germantown Gaithersburg</v>
      </c>
      <c r="H347" s="10">
        <v>46098</v>
      </c>
      <c r="I347" t="s">
        <v>14</v>
      </c>
      <c r="J347">
        <f>VLOOKUP(E347,'Room Count'!A$2:B$2616,2,FALSE)</f>
        <v>87</v>
      </c>
    </row>
    <row r="348" spans="1:10" ht="17.100000000000001">
      <c r="A348" s="13" t="s">
        <v>39</v>
      </c>
      <c r="B348" s="13" t="s">
        <v>407</v>
      </c>
      <c r="C348" s="26">
        <v>100599</v>
      </c>
      <c r="D348" s="13" t="s">
        <v>407</v>
      </c>
      <c r="E348" s="13">
        <v>425</v>
      </c>
      <c r="F348" s="13" t="s">
        <v>12</v>
      </c>
      <c r="G348" s="9" t="str">
        <f>VLOOKUP(B348,'Property Name List'!A$2:D$834,3,FALSE)</f>
        <v>SpringHill Suites By Marriott Potomac Mills Woodbridge</v>
      </c>
      <c r="H348" s="10">
        <v>46098</v>
      </c>
      <c r="I348" t="s">
        <v>14</v>
      </c>
      <c r="J348">
        <f>VLOOKUP(E348,'Room Count'!A$2:B$2616,2,FALSE)</f>
        <v>98</v>
      </c>
    </row>
    <row r="349" spans="1:10" ht="17.100000000000001">
      <c r="A349" s="13" t="s">
        <v>39</v>
      </c>
      <c r="B349" s="13" t="s">
        <v>408</v>
      </c>
      <c r="C349" s="26">
        <v>100621</v>
      </c>
      <c r="D349" s="13" t="s">
        <v>408</v>
      </c>
      <c r="E349" s="13">
        <v>436</v>
      </c>
      <c r="F349" s="13" t="s">
        <v>12</v>
      </c>
      <c r="G349" s="9" t="str">
        <f>VLOOKUP(B349,'Property Name List'!A$2:D$834,3,FALSE)</f>
        <v>Courtyard By Marriott Burlington</v>
      </c>
      <c r="H349" s="10">
        <v>46098</v>
      </c>
      <c r="I349" t="s">
        <v>14</v>
      </c>
      <c r="J349">
        <f>VLOOKUP(E349,'Room Count'!A$2:B$2616,2,FALSE)</f>
        <v>135</v>
      </c>
    </row>
    <row r="350" spans="1:10" ht="17.100000000000001">
      <c r="A350" s="13" t="s">
        <v>39</v>
      </c>
      <c r="B350" s="13" t="s">
        <v>409</v>
      </c>
      <c r="C350" s="26">
        <v>100525</v>
      </c>
      <c r="D350" s="13" t="s">
        <v>409</v>
      </c>
      <c r="E350" s="13">
        <v>388</v>
      </c>
      <c r="F350" s="13" t="s">
        <v>12</v>
      </c>
      <c r="G350" s="9" t="str">
        <f>VLOOKUP(B350,'Property Name List'!A$2:D$834,3,FALSE)</f>
        <v>Courtyard By Marriott Hamilton</v>
      </c>
      <c r="H350" s="10">
        <v>46098</v>
      </c>
      <c r="I350" t="s">
        <v>14</v>
      </c>
      <c r="J350">
        <f>VLOOKUP(E350,'Room Count'!A$2:B$2616,2,FALSE)</f>
        <v>136</v>
      </c>
    </row>
    <row r="351" spans="1:10" ht="17.100000000000001">
      <c r="A351" s="13" t="s">
        <v>40</v>
      </c>
      <c r="B351" s="13" t="s">
        <v>410</v>
      </c>
      <c r="C351" s="26">
        <v>100737</v>
      </c>
      <c r="D351" s="13" t="s">
        <v>410</v>
      </c>
      <c r="E351" s="13">
        <v>1171</v>
      </c>
      <c r="F351" s="13" t="s">
        <v>12</v>
      </c>
      <c r="G351" s="9" t="str">
        <f>VLOOKUP(B351,'Property Name List'!A$2:D$834,3,FALSE)</f>
        <v>SpringHill Suites By Marriott Amelia Island</v>
      </c>
      <c r="H351" s="15">
        <v>46119</v>
      </c>
      <c r="I351" t="s">
        <v>14</v>
      </c>
      <c r="J351">
        <f>VLOOKUP(E351,'Room Count'!A$2:B$2616,2,FALSE)</f>
        <v>134</v>
      </c>
    </row>
    <row r="352" spans="1:10" ht="17.100000000000001">
      <c r="A352" s="13" t="s">
        <v>40</v>
      </c>
      <c r="B352" s="13" t="s">
        <v>411</v>
      </c>
      <c r="C352" s="26">
        <v>100725</v>
      </c>
      <c r="D352" s="13" t="s">
        <v>412</v>
      </c>
      <c r="E352" s="13">
        <v>1170</v>
      </c>
      <c r="F352" s="13" t="s">
        <v>12</v>
      </c>
      <c r="G352" s="9" t="str">
        <f>VLOOKUP(B352,'Property Name List'!A$2:D$834,3,FALSE)</f>
        <v>Fairfield Inn &amp; Suites Atlanta Lithia Springs</v>
      </c>
      <c r="H352" s="15">
        <v>46119</v>
      </c>
      <c r="I352" t="s">
        <v>14</v>
      </c>
      <c r="J352">
        <f>VLOOKUP(E352,'Room Count'!A$2:B$2616,2,FALSE)</f>
        <v>72</v>
      </c>
    </row>
    <row r="353" spans="1:10" ht="17.100000000000001">
      <c r="A353" s="13" t="s">
        <v>40</v>
      </c>
      <c r="B353" s="13" t="s">
        <v>413</v>
      </c>
      <c r="C353" s="26">
        <v>100737</v>
      </c>
      <c r="D353" s="13" t="s">
        <v>410</v>
      </c>
      <c r="E353" s="13">
        <v>582</v>
      </c>
      <c r="F353" s="13" t="s">
        <v>12</v>
      </c>
      <c r="G353" s="9" t="str">
        <f>VLOOKUP(B353,'Property Name List'!A$2:D$834,3,FALSE)</f>
        <v>Courtyard By Marriott Amelia Island</v>
      </c>
      <c r="H353" s="15">
        <v>46119</v>
      </c>
      <c r="I353" t="s">
        <v>14</v>
      </c>
      <c r="J353">
        <f>VLOOKUP(E353,'Room Count'!A$2:B$2616,2,FALSE)</f>
        <v>105</v>
      </c>
    </row>
    <row r="354" spans="1:10" ht="17.100000000000001">
      <c r="A354" s="13" t="s">
        <v>40</v>
      </c>
      <c r="B354" s="13" t="s">
        <v>414</v>
      </c>
      <c r="C354" s="26">
        <v>100725</v>
      </c>
      <c r="D354" s="13" t="s">
        <v>412</v>
      </c>
      <c r="E354" s="13">
        <v>576</v>
      </c>
      <c r="F354" s="13" t="s">
        <v>12</v>
      </c>
      <c r="G354" s="9" t="str">
        <f>VLOOKUP(B354,'Property Name List'!A$2:D$834,3,FALSE)</f>
        <v>Courtyard By Marriott Atlanta Lithia Springs</v>
      </c>
      <c r="H354" s="15">
        <v>46119</v>
      </c>
      <c r="I354" t="s">
        <v>14</v>
      </c>
      <c r="J354">
        <f>VLOOKUP(E354,'Room Count'!A$2:B$2616,2,FALSE)</f>
        <v>90</v>
      </c>
    </row>
    <row r="355" spans="1:10" ht="17.100000000000001">
      <c r="A355" s="13" t="s">
        <v>40</v>
      </c>
      <c r="B355" s="13" t="s">
        <v>415</v>
      </c>
      <c r="C355" s="26">
        <v>200219</v>
      </c>
      <c r="D355" s="13" t="s">
        <v>415</v>
      </c>
      <c r="E355" s="13">
        <v>1172</v>
      </c>
      <c r="F355" s="13" t="s">
        <v>20</v>
      </c>
      <c r="G355" s="9" t="str">
        <f>VLOOKUP(B355,'Property Name List'!A$2:D$834,3,FALSE)</f>
        <v>SpringHill Suites By Marriott Myrtle Beach Oceanfront</v>
      </c>
      <c r="H355" s="15">
        <v>46119</v>
      </c>
      <c r="I355" t="s">
        <v>14</v>
      </c>
      <c r="J355">
        <f>VLOOKUP(E355,'Room Count'!A$2:B$2616,2,FALSE)</f>
        <v>115</v>
      </c>
    </row>
    <row r="356" spans="1:10" ht="17.100000000000001">
      <c r="A356" s="13" t="s">
        <v>40</v>
      </c>
      <c r="B356" s="13" t="s">
        <v>416</v>
      </c>
      <c r="C356" s="26">
        <v>200219</v>
      </c>
      <c r="D356" s="13" t="s">
        <v>415</v>
      </c>
      <c r="E356" s="13">
        <v>525</v>
      </c>
      <c r="F356" s="13" t="s">
        <v>20</v>
      </c>
      <c r="G356" s="9" t="str">
        <f>VLOOKUP(B356,'Property Name List'!A$2:D$834,3,FALSE)</f>
        <v>Courtyard By Marriott Myrtle Beach Oceanfront</v>
      </c>
      <c r="H356" s="15">
        <v>46119</v>
      </c>
      <c r="I356" t="s">
        <v>14</v>
      </c>
      <c r="J356">
        <f>VLOOKUP(E356,'Room Count'!A$2:B$2616,2,FALSE)</f>
        <v>115</v>
      </c>
    </row>
    <row r="357" spans="1:10" ht="17.100000000000001">
      <c r="A357" s="13" t="s">
        <v>41</v>
      </c>
      <c r="B357" s="13" t="s">
        <v>417</v>
      </c>
      <c r="C357" s="26">
        <v>200553</v>
      </c>
      <c r="D357" s="13" t="s">
        <v>418</v>
      </c>
      <c r="E357" s="13">
        <v>813</v>
      </c>
      <c r="F357" s="13" t="s">
        <v>20</v>
      </c>
      <c r="G357" s="9" t="str">
        <f>VLOOKUP(B357,'Property Name List'!A$2:D$834,3,FALSE)</f>
        <v>Fairfield Inn &amp; Suites Louisville Downtown</v>
      </c>
      <c r="H357" s="15">
        <v>46133</v>
      </c>
      <c r="I357" t="s">
        <v>14</v>
      </c>
      <c r="J357">
        <f>VLOOKUP(E357,'Room Count'!A$2:B$2616,2,FALSE)</f>
        <v>140</v>
      </c>
    </row>
    <row r="358" spans="1:10" ht="17.100000000000001">
      <c r="A358" s="13" t="s">
        <v>41</v>
      </c>
      <c r="B358" s="13" t="s">
        <v>418</v>
      </c>
      <c r="C358" s="26">
        <v>200553</v>
      </c>
      <c r="D358" s="13" t="s">
        <v>418</v>
      </c>
      <c r="E358" s="13">
        <v>1174</v>
      </c>
      <c r="F358" s="13" t="s">
        <v>20</v>
      </c>
      <c r="G358" s="9" t="str">
        <f>VLOOKUP(B358,'Property Name List'!A$2:D$834,3,FALSE)</f>
        <v>SpringHill Suites By Marriott Louisville Downtown</v>
      </c>
      <c r="H358" s="15">
        <v>46133</v>
      </c>
      <c r="I358" t="s">
        <v>14</v>
      </c>
      <c r="J358">
        <f>VLOOKUP(E358,'Room Count'!A$2:B$2616,2,FALSE)</f>
        <v>198</v>
      </c>
    </row>
    <row r="359" spans="1:10">
      <c r="A359" s="13" t="s">
        <v>49</v>
      </c>
      <c r="B359" s="13" t="s">
        <v>419</v>
      </c>
      <c r="C359" s="26">
        <v>110181</v>
      </c>
      <c r="D359" s="13" t="s">
        <v>420</v>
      </c>
      <c r="E359" s="13">
        <v>1011</v>
      </c>
      <c r="F359" s="13" t="s">
        <v>22</v>
      </c>
      <c r="G359" s="9" t="e">
        <f>VLOOKUP(B359,'Property Name List'!A$2:D$834,3,FALSE)</f>
        <v>#N/A</v>
      </c>
      <c r="H359" s="15">
        <v>46147</v>
      </c>
      <c r="I359" t="s">
        <v>14</v>
      </c>
      <c r="J359">
        <f>VLOOKUP(E359,'Room Count'!A$2:B$2616,2,FALSE)</f>
        <v>286</v>
      </c>
    </row>
    <row r="360" spans="1:10">
      <c r="A360" s="13" t="s">
        <v>49</v>
      </c>
      <c r="B360" s="13" t="s">
        <v>420</v>
      </c>
      <c r="C360" s="26">
        <v>110181</v>
      </c>
      <c r="D360" s="13" t="s">
        <v>420</v>
      </c>
      <c r="E360" s="13">
        <v>1173</v>
      </c>
      <c r="F360" s="13" t="s">
        <v>22</v>
      </c>
      <c r="G360" s="9" t="e">
        <f>VLOOKUP(B360,'Property Name List'!A$2:D$834,3,FALSE)</f>
        <v>#N/A</v>
      </c>
      <c r="H360" s="15">
        <v>46147</v>
      </c>
      <c r="I360" t="s">
        <v>14</v>
      </c>
      <c r="J360">
        <f>VLOOKUP(E360,'Room Count'!A$2:B$2616,2,FALSE)</f>
        <v>284</v>
      </c>
    </row>
    <row r="361" spans="1:10" ht="17.100000000000001">
      <c r="A361" s="13" t="s">
        <v>40</v>
      </c>
      <c r="B361" s="13" t="s">
        <v>421</v>
      </c>
      <c r="C361" s="26">
        <v>100425</v>
      </c>
      <c r="D361" s="13" t="s">
        <v>421</v>
      </c>
      <c r="E361" s="13">
        <v>337</v>
      </c>
      <c r="F361" s="13" t="s">
        <v>12</v>
      </c>
      <c r="G361" s="9" t="str">
        <f>VLOOKUP(B361,'Property Name List'!A$2:D$834,3,FALSE)</f>
        <v>Fairfield by Marriott Inn &amp; Suites Decatur</v>
      </c>
      <c r="H361" s="15">
        <v>46119</v>
      </c>
      <c r="I361" t="s">
        <v>14</v>
      </c>
      <c r="J361">
        <f>VLOOKUP(E361,'Room Count'!A$2:B$2616,2,FALSE)</f>
        <v>80</v>
      </c>
    </row>
    <row r="362" spans="1:10" ht="17.100000000000001">
      <c r="A362" s="13" t="s">
        <v>40</v>
      </c>
      <c r="B362" s="13" t="s">
        <v>422</v>
      </c>
      <c r="C362" s="26" t="s">
        <v>423</v>
      </c>
      <c r="D362" s="13" t="s">
        <v>422</v>
      </c>
      <c r="E362" s="13">
        <v>333</v>
      </c>
      <c r="F362" s="13" t="s">
        <v>20</v>
      </c>
      <c r="G362" s="9" t="str">
        <f>VLOOKUP(B362,'Property Name List'!A$2:D$834,3,FALSE)</f>
        <v>Moxy Chicago Downtown</v>
      </c>
      <c r="H362" s="15">
        <v>46119</v>
      </c>
      <c r="I362" t="s">
        <v>14</v>
      </c>
      <c r="J362">
        <f>VLOOKUP(E362,'Room Count'!A$2:B$2616,2,FALSE)</f>
        <v>156</v>
      </c>
    </row>
    <row r="363" spans="1:10" ht="17.100000000000001">
      <c r="A363" s="13" t="s">
        <v>40</v>
      </c>
      <c r="B363" s="13" t="s">
        <v>424</v>
      </c>
      <c r="C363" s="26">
        <v>200111</v>
      </c>
      <c r="D363" s="13" t="s">
        <v>424</v>
      </c>
      <c r="E363" s="13">
        <v>331</v>
      </c>
      <c r="F363" s="13" t="s">
        <v>20</v>
      </c>
      <c r="G363" s="9" t="str">
        <f>VLOOKUP(B363,'Property Name List'!A$2:D$834,3,FALSE)</f>
        <v>Fairfield Inn &amp; Suites Decatur at Decatur Conference Center</v>
      </c>
      <c r="H363" s="15">
        <v>46119</v>
      </c>
      <c r="I363" t="s">
        <v>14</v>
      </c>
      <c r="J363">
        <f>VLOOKUP(E363,'Room Count'!A$2:B$2616,2,FALSE)</f>
        <v>107</v>
      </c>
    </row>
    <row r="364" spans="1:10" ht="17.100000000000001">
      <c r="A364" s="13" t="s">
        <v>40</v>
      </c>
      <c r="B364" s="13" t="s">
        <v>425</v>
      </c>
      <c r="C364" s="26">
        <v>100413</v>
      </c>
      <c r="D364" s="13" t="s">
        <v>425</v>
      </c>
      <c r="E364" s="13">
        <v>327</v>
      </c>
      <c r="F364" s="13" t="s">
        <v>12</v>
      </c>
      <c r="G364" s="9" t="str">
        <f>VLOOKUP(B364,'Property Name List'!A$2:D$834,3,FALSE)</f>
        <v>Fairfield Inn &amp; Suites Sioux Falls Airport</v>
      </c>
      <c r="H364" s="15">
        <v>46119</v>
      </c>
      <c r="I364" t="s">
        <v>14</v>
      </c>
      <c r="J364">
        <f>VLOOKUP(E364,'Room Count'!A$2:B$2616,2,FALSE)</f>
        <v>82</v>
      </c>
    </row>
    <row r="365" spans="1:10" ht="17.100000000000001">
      <c r="A365" s="13" t="s">
        <v>40</v>
      </c>
      <c r="B365" s="13" t="s">
        <v>426</v>
      </c>
      <c r="C365" s="26">
        <v>200109</v>
      </c>
      <c r="D365" s="13" t="s">
        <v>426</v>
      </c>
      <c r="E365" s="13">
        <v>325</v>
      </c>
      <c r="F365" s="13" t="s">
        <v>20</v>
      </c>
      <c r="G365" s="9" t="str">
        <f>VLOOKUP(B365,'Property Name List'!A$2:D$834,3,FALSE)</f>
        <v>Fairfield Inn &amp; Suites Wichita East</v>
      </c>
      <c r="H365" s="15">
        <v>46119</v>
      </c>
      <c r="I365" t="s">
        <v>14</v>
      </c>
      <c r="J365">
        <f>VLOOKUP(E365,'Room Count'!A$2:B$2616,2,FALSE)</f>
        <v>113</v>
      </c>
    </row>
    <row r="366" spans="1:10" ht="17.100000000000001">
      <c r="A366" s="13" t="s">
        <v>40</v>
      </c>
      <c r="B366" s="13" t="s">
        <v>427</v>
      </c>
      <c r="C366" s="26">
        <v>100399</v>
      </c>
      <c r="D366" s="13" t="s">
        <v>427</v>
      </c>
      <c r="E366" s="13">
        <v>317</v>
      </c>
      <c r="F366" s="13" t="s">
        <v>12</v>
      </c>
      <c r="G366" s="9" t="str">
        <f>VLOOKUP(B366,'Property Name List'!A$2:D$834,3,FALSE)</f>
        <v>SpringHill Suites By Marriott Gulfport I-10</v>
      </c>
      <c r="H366" s="15">
        <v>46119</v>
      </c>
      <c r="I366" t="s">
        <v>14</v>
      </c>
      <c r="J366">
        <f>VLOOKUP(E366,'Room Count'!A$2:B$2616,2,FALSE)</f>
        <v>97</v>
      </c>
    </row>
    <row r="367" spans="1:10" ht="17.100000000000001">
      <c r="A367" s="13" t="s">
        <v>40</v>
      </c>
      <c r="B367" s="13" t="s">
        <v>428</v>
      </c>
      <c r="C367" s="26">
        <v>100393</v>
      </c>
      <c r="D367" s="13" t="s">
        <v>428</v>
      </c>
      <c r="E367" s="13">
        <v>312</v>
      </c>
      <c r="F367" s="13" t="s">
        <v>12</v>
      </c>
      <c r="G367" s="9" t="str">
        <f>VLOOKUP(B367,'Property Name List'!A$2:D$834,3,FALSE)</f>
        <v>Courtyard By Marriott Birmingham Trussville</v>
      </c>
      <c r="H367" s="15">
        <v>46119</v>
      </c>
      <c r="I367" t="s">
        <v>14</v>
      </c>
      <c r="J367">
        <f>VLOOKUP(E367,'Room Count'!A$2:B$2616,2,FALSE)</f>
        <v>84</v>
      </c>
    </row>
    <row r="368" spans="1:10" ht="17.100000000000001">
      <c r="A368" s="13" t="s">
        <v>40</v>
      </c>
      <c r="B368" s="13" t="s">
        <v>429</v>
      </c>
      <c r="C368" s="26">
        <v>200099</v>
      </c>
      <c r="D368" s="13" t="s">
        <v>429</v>
      </c>
      <c r="E368" s="13">
        <v>308</v>
      </c>
      <c r="F368" s="13" t="s">
        <v>20</v>
      </c>
      <c r="G368" s="9" t="str">
        <f>VLOOKUP(B368,'Property Name List'!A$2:D$834,3,FALSE)</f>
        <v>SpringHill Suites By Marriott Topeka Southwest</v>
      </c>
      <c r="H368" s="15">
        <v>46119</v>
      </c>
      <c r="I368" t="s">
        <v>14</v>
      </c>
      <c r="J368">
        <f>VLOOKUP(E368,'Room Count'!A$2:B$2616,2,FALSE)</f>
        <v>85</v>
      </c>
    </row>
    <row r="369" spans="1:10" ht="17.100000000000001">
      <c r="A369" s="13" t="s">
        <v>40</v>
      </c>
      <c r="B369" s="13" t="s">
        <v>430</v>
      </c>
      <c r="C369" s="26">
        <v>200095</v>
      </c>
      <c r="D369" s="13" t="s">
        <v>430</v>
      </c>
      <c r="E369" s="13">
        <v>304</v>
      </c>
      <c r="F369" s="13" t="s">
        <v>20</v>
      </c>
      <c r="G369" s="9" t="str">
        <f>VLOOKUP(B369,'Property Name List'!A$2:D$834,3,FALSE)</f>
        <v>Fairfield Inn &amp; Suites Lawton</v>
      </c>
      <c r="H369" s="15">
        <v>46119</v>
      </c>
      <c r="I369" t="s">
        <v>14</v>
      </c>
      <c r="J369">
        <f>VLOOKUP(E369,'Room Count'!A$2:B$2616,2,FALSE)</f>
        <v>84</v>
      </c>
    </row>
    <row r="370" spans="1:10" ht="17.100000000000001">
      <c r="A370" s="13" t="s">
        <v>40</v>
      </c>
      <c r="B370" s="13" t="s">
        <v>431</v>
      </c>
      <c r="C370" s="26">
        <v>100375</v>
      </c>
      <c r="D370" s="13" t="s">
        <v>431</v>
      </c>
      <c r="E370" s="13">
        <v>300</v>
      </c>
      <c r="F370" s="13" t="s">
        <v>12</v>
      </c>
      <c r="G370" s="9" t="str">
        <f>VLOOKUP(B370,'Property Name List'!A$2:D$834,3,FALSE)</f>
        <v>Courtyard By Marriott Starkville MSU at The Mill Conference Center</v>
      </c>
      <c r="H370" s="15">
        <v>46119</v>
      </c>
      <c r="I370" t="s">
        <v>14</v>
      </c>
      <c r="J370">
        <f>VLOOKUP(E370,'Room Count'!A$2:B$2616,2,FALSE)</f>
        <v>104</v>
      </c>
    </row>
    <row r="371" spans="1:10" ht="17.100000000000001">
      <c r="A371" s="13" t="s">
        <v>40</v>
      </c>
      <c r="B371" s="13" t="s">
        <v>432</v>
      </c>
      <c r="C371" s="26">
        <v>100441</v>
      </c>
      <c r="D371" s="13" t="s">
        <v>432</v>
      </c>
      <c r="E371" s="13">
        <v>346</v>
      </c>
      <c r="F371" s="13" t="s">
        <v>12</v>
      </c>
      <c r="G371" s="9" t="str">
        <f>VLOOKUP(B371,'Property Name List'!A$2:D$834,3,FALSE)</f>
        <v>Courtyard By Marriott Keene Downtown</v>
      </c>
      <c r="H371" s="15">
        <v>46119</v>
      </c>
      <c r="I371" t="s">
        <v>14</v>
      </c>
      <c r="J371">
        <f>VLOOKUP(E371,'Room Count'!A$2:B$2616,2,FALSE)</f>
        <v>100</v>
      </c>
    </row>
    <row r="372" spans="1:10" ht="17.100000000000001">
      <c r="A372" s="13" t="s">
        <v>40</v>
      </c>
      <c r="B372" s="13" t="s">
        <v>433</v>
      </c>
      <c r="C372" s="26">
        <v>100479</v>
      </c>
      <c r="D372" s="13" t="s">
        <v>433</v>
      </c>
      <c r="E372" s="13">
        <v>365</v>
      </c>
      <c r="F372" s="13" t="s">
        <v>12</v>
      </c>
      <c r="G372" s="9" t="str">
        <f>VLOOKUP(B372,'Property Name List'!A$2:D$834,3,FALSE)</f>
        <v>Fairfield by Marriott Inn &amp; Suites Cortland</v>
      </c>
      <c r="H372" s="15">
        <v>46119</v>
      </c>
      <c r="I372" t="s">
        <v>14</v>
      </c>
      <c r="J372">
        <f>VLOOKUP(E372,'Room Count'!A$2:B$2616,2,FALSE)</f>
        <v>81</v>
      </c>
    </row>
    <row r="373" spans="1:10" ht="17.100000000000001">
      <c r="A373" s="13" t="s">
        <v>40</v>
      </c>
      <c r="B373" s="13" t="s">
        <v>434</v>
      </c>
      <c r="C373" s="26">
        <v>100485</v>
      </c>
      <c r="D373" s="13" t="s">
        <v>434</v>
      </c>
      <c r="E373" s="13">
        <v>368</v>
      </c>
      <c r="F373" s="13" t="s">
        <v>12</v>
      </c>
      <c r="G373" s="9" t="str">
        <f>VLOOKUP(B373,'Property Name List'!A$2:D$834,3,FALSE)</f>
        <v>Fairfield Inn By Marriott Orlando Airport</v>
      </c>
      <c r="H373" s="15">
        <v>46119</v>
      </c>
      <c r="I373" t="s">
        <v>14</v>
      </c>
      <c r="J373">
        <f>VLOOKUP(E373,'Room Count'!A$2:B$2616,2,FALSE)</f>
        <v>139</v>
      </c>
    </row>
    <row r="374" spans="1:10" ht="17.100000000000001">
      <c r="A374" s="13" t="s">
        <v>40</v>
      </c>
      <c r="B374" s="13" t="s">
        <v>435</v>
      </c>
      <c r="C374" s="26">
        <v>100487</v>
      </c>
      <c r="D374" s="13" t="s">
        <v>435</v>
      </c>
      <c r="E374" s="13">
        <v>369</v>
      </c>
      <c r="F374" s="13" t="s">
        <v>12</v>
      </c>
      <c r="G374" s="9" t="str">
        <f>VLOOKUP(B374,'Property Name List'!A$2:D$834,3,FALSE)</f>
        <v>Courtyard By Marriott Jacksonville Flagler Center</v>
      </c>
      <c r="H374" s="15">
        <v>46119</v>
      </c>
      <c r="I374" t="s">
        <v>14</v>
      </c>
      <c r="J374">
        <f>VLOOKUP(E374,'Room Count'!A$2:B$2616,2,FALSE)</f>
        <v>120</v>
      </c>
    </row>
    <row r="375" spans="1:10" ht="17.100000000000001">
      <c r="A375" s="13" t="s">
        <v>40</v>
      </c>
      <c r="B375" s="13" t="s">
        <v>436</v>
      </c>
      <c r="C375" s="26">
        <v>100509</v>
      </c>
      <c r="D375" s="13" t="s">
        <v>436</v>
      </c>
      <c r="E375" s="13">
        <v>380</v>
      </c>
      <c r="F375" s="13" t="s">
        <v>12</v>
      </c>
      <c r="G375" s="9" t="str">
        <f>VLOOKUP(B375,'Property Name List'!A$2:D$834,3,FALSE)</f>
        <v>Fairfield Inn &amp; Suites Lansing West</v>
      </c>
      <c r="H375" s="15">
        <v>46119</v>
      </c>
      <c r="I375" t="s">
        <v>14</v>
      </c>
      <c r="J375">
        <f>VLOOKUP(E375,'Room Count'!A$2:B$2616,2,FALSE)</f>
        <v>62</v>
      </c>
    </row>
    <row r="376" spans="1:10" ht="17.100000000000001">
      <c r="A376" s="13" t="s">
        <v>40</v>
      </c>
      <c r="B376" s="13" t="s">
        <v>437</v>
      </c>
      <c r="C376" s="26">
        <v>100521</v>
      </c>
      <c r="D376" s="13" t="s">
        <v>437</v>
      </c>
      <c r="E376" s="13">
        <v>386</v>
      </c>
      <c r="F376" s="13" t="s">
        <v>12</v>
      </c>
      <c r="G376" s="9" t="str">
        <f>VLOOKUP(B376,'Property Name List'!A$2:D$834,3,FALSE)</f>
        <v>Courtyard By Marriott Newport News Airport</v>
      </c>
      <c r="H376" s="15">
        <v>46119</v>
      </c>
      <c r="I376" t="s">
        <v>14</v>
      </c>
      <c r="J376">
        <f>VLOOKUP(E376,'Room Count'!A$2:B$2616,2,FALSE)</f>
        <v>120</v>
      </c>
    </row>
    <row r="377" spans="1:10" ht="17.100000000000001">
      <c r="A377" s="13" t="s">
        <v>40</v>
      </c>
      <c r="B377" s="13" t="s">
        <v>438</v>
      </c>
      <c r="C377" s="26">
        <v>100533</v>
      </c>
      <c r="D377" s="13" t="s">
        <v>438</v>
      </c>
      <c r="E377" s="13">
        <v>392</v>
      </c>
      <c r="F377" s="13" t="s">
        <v>12</v>
      </c>
      <c r="G377" s="9" t="str">
        <f>VLOOKUP(B377,'Property Name List'!A$2:D$834,3,FALSE)</f>
        <v>Fairfield Inn &amp; Suites Lansing at Eastwood</v>
      </c>
      <c r="H377" s="15">
        <v>46119</v>
      </c>
      <c r="I377" t="s">
        <v>14</v>
      </c>
      <c r="J377">
        <f>VLOOKUP(E377,'Room Count'!A$2:B$2616,2,FALSE)</f>
        <v>116</v>
      </c>
    </row>
    <row r="378" spans="1:10" ht="17.100000000000001">
      <c r="A378" s="13" t="s">
        <v>40</v>
      </c>
      <c r="B378" s="13" t="s">
        <v>439</v>
      </c>
      <c r="C378" s="26">
        <v>100541</v>
      </c>
      <c r="D378" s="13" t="s">
        <v>439</v>
      </c>
      <c r="E378" s="13">
        <v>396</v>
      </c>
      <c r="F378" s="13" t="s">
        <v>12</v>
      </c>
      <c r="G378" s="9" t="str">
        <f>VLOOKUP(B378,'Property Name List'!A$2:D$834,3,FALSE)</f>
        <v>Fairfield Inn By Marriott Middletown Monroe</v>
      </c>
      <c r="H378" s="15">
        <v>46119</v>
      </c>
      <c r="I378" t="s">
        <v>14</v>
      </c>
      <c r="J378">
        <f>VLOOKUP(E378,'Room Count'!A$2:B$2616,2,FALSE)</f>
        <v>57</v>
      </c>
    </row>
    <row r="379" spans="1:10" ht="17.100000000000001">
      <c r="A379" s="13" t="s">
        <v>40</v>
      </c>
      <c r="B379" s="13" t="s">
        <v>440</v>
      </c>
      <c r="C379" s="26">
        <v>100545</v>
      </c>
      <c r="D379" s="13" t="s">
        <v>440</v>
      </c>
      <c r="E379" s="13">
        <v>398</v>
      </c>
      <c r="F379" s="13" t="s">
        <v>12</v>
      </c>
      <c r="G379" s="9" t="str">
        <f>VLOOKUP(B379,'Property Name List'!A$2:D$834,3,FALSE)</f>
        <v>Courtyard By Marriott Jacksonville Orange Park</v>
      </c>
      <c r="H379" s="15">
        <v>46119</v>
      </c>
      <c r="I379" t="s">
        <v>14</v>
      </c>
      <c r="J379">
        <f>VLOOKUP(E379,'Room Count'!A$2:B$2616,2,FALSE)</f>
        <v>116</v>
      </c>
    </row>
    <row r="380" spans="1:10" ht="17.100000000000001">
      <c r="A380" s="13" t="s">
        <v>40</v>
      </c>
      <c r="B380" s="13" t="s">
        <v>441</v>
      </c>
      <c r="C380" s="26">
        <v>100555</v>
      </c>
      <c r="D380" s="13" t="s">
        <v>441</v>
      </c>
      <c r="E380" s="13">
        <v>403</v>
      </c>
      <c r="F380" s="13" t="s">
        <v>12</v>
      </c>
      <c r="G380" s="9" t="str">
        <f>VLOOKUP(B380,'Property Name List'!A$2:D$834,3,FALSE)</f>
        <v>Fairfield Inn &amp; Suites Boca Raton</v>
      </c>
      <c r="H380" s="15">
        <v>46119</v>
      </c>
      <c r="I380" t="s">
        <v>14</v>
      </c>
      <c r="J380">
        <f>VLOOKUP(E380,'Room Count'!A$2:B$2616,2,FALSE)</f>
        <v>118</v>
      </c>
    </row>
    <row r="381" spans="1:10" ht="17.100000000000001">
      <c r="A381" s="13" t="s">
        <v>40</v>
      </c>
      <c r="B381" s="13" t="s">
        <v>442</v>
      </c>
      <c r="C381" s="26">
        <v>100557</v>
      </c>
      <c r="D381" s="13" t="s">
        <v>442</v>
      </c>
      <c r="E381" s="13">
        <v>404</v>
      </c>
      <c r="F381" s="13" t="s">
        <v>12</v>
      </c>
      <c r="G381" s="9" t="str">
        <f>VLOOKUP(B381,'Property Name List'!A$2:D$834,3,FALSE)</f>
        <v>SpringHill Suites By Marriott Hampton</v>
      </c>
      <c r="H381" s="15">
        <v>46119</v>
      </c>
      <c r="I381" t="s">
        <v>14</v>
      </c>
      <c r="J381">
        <f>VLOOKUP(E381,'Room Count'!A$2:B$2616,2,FALSE)</f>
        <v>124</v>
      </c>
    </row>
    <row r="382" spans="1:10" ht="17.100000000000001">
      <c r="A382" s="13" t="s">
        <v>40</v>
      </c>
      <c r="B382" s="13" t="s">
        <v>443</v>
      </c>
      <c r="C382" s="26">
        <v>100577</v>
      </c>
      <c r="D382" s="13" t="s">
        <v>443</v>
      </c>
      <c r="E382" s="13">
        <v>414</v>
      </c>
      <c r="F382" s="13" t="s">
        <v>12</v>
      </c>
      <c r="G382" s="9" t="str">
        <f>VLOOKUP(B382,'Property Name List'!A$2:D$834,3,FALSE)</f>
        <v>Fairfield Inn &amp; Suites Orlando International Drive/Convention Center</v>
      </c>
      <c r="H382" s="15">
        <v>46119</v>
      </c>
      <c r="I382" t="s">
        <v>14</v>
      </c>
      <c r="J382">
        <f>VLOOKUP(E382,'Room Count'!A$2:B$2616,2,FALSE)</f>
        <v>160</v>
      </c>
    </row>
    <row r="383" spans="1:10" ht="17.100000000000001">
      <c r="A383" s="13" t="s">
        <v>40</v>
      </c>
      <c r="B383" s="13" t="s">
        <v>444</v>
      </c>
      <c r="C383" s="26">
        <v>100585</v>
      </c>
      <c r="D383" s="13" t="s">
        <v>444</v>
      </c>
      <c r="E383" s="13">
        <v>418</v>
      </c>
      <c r="F383" s="13" t="s">
        <v>12</v>
      </c>
      <c r="G383" s="9" t="str">
        <f>VLOOKUP(B383,'Property Name List'!A$2:D$834,3,FALSE)</f>
        <v>Courtyard By Marriott Greenville</v>
      </c>
      <c r="H383" s="15">
        <v>46119</v>
      </c>
      <c r="I383" t="s">
        <v>14</v>
      </c>
      <c r="J383">
        <f>VLOOKUP(E383,'Room Count'!A$2:B$2616,2,FALSE)</f>
        <v>115</v>
      </c>
    </row>
    <row r="384" spans="1:10" ht="17.100000000000001">
      <c r="A384" s="13" t="s">
        <v>40</v>
      </c>
      <c r="B384" s="13" t="s">
        <v>445</v>
      </c>
      <c r="C384" s="26">
        <v>100591</v>
      </c>
      <c r="D384" s="13" t="s">
        <v>445</v>
      </c>
      <c r="E384" s="13">
        <v>421</v>
      </c>
      <c r="F384" s="13" t="s">
        <v>12</v>
      </c>
      <c r="G384" s="9" t="str">
        <f>VLOOKUP(B384,'Property Name List'!A$2:D$834,3,FALSE)</f>
        <v>Fairfield Inn &amp; Suites Canton</v>
      </c>
      <c r="H384" s="15">
        <v>46119</v>
      </c>
      <c r="I384" t="s">
        <v>14</v>
      </c>
      <c r="J384">
        <f>VLOOKUP(E384,'Room Count'!A$2:B$2616,2,FALSE)</f>
        <v>80</v>
      </c>
    </row>
    <row r="385" spans="1:10" ht="17.100000000000001">
      <c r="A385" s="13" t="s">
        <v>40</v>
      </c>
      <c r="B385" s="13" t="s">
        <v>446</v>
      </c>
      <c r="C385" s="26">
        <v>100625</v>
      </c>
      <c r="D385" s="13" t="s">
        <v>446</v>
      </c>
      <c r="E385" s="13">
        <v>438</v>
      </c>
      <c r="F385" s="13" t="s">
        <v>12</v>
      </c>
      <c r="G385" s="9" t="str">
        <f>VLOOKUP(B385,'Property Name List'!A$2:D$834,3,FALSE)</f>
        <v>Courtyard By Marriott Norfolk Downtown</v>
      </c>
      <c r="H385" s="15">
        <v>46119</v>
      </c>
      <c r="I385" t="s">
        <v>14</v>
      </c>
      <c r="J385">
        <f>VLOOKUP(E385,'Room Count'!A$2:B$2616,2,FALSE)</f>
        <v>140</v>
      </c>
    </row>
    <row r="386" spans="1:10" ht="17.100000000000001">
      <c r="A386" s="13" t="s">
        <v>40</v>
      </c>
      <c r="B386" s="13" t="s">
        <v>447</v>
      </c>
      <c r="C386" s="26" t="s">
        <v>448</v>
      </c>
      <c r="D386" s="13" t="s">
        <v>447</v>
      </c>
      <c r="E386" s="13">
        <v>448</v>
      </c>
      <c r="F386" s="13" t="s">
        <v>12</v>
      </c>
      <c r="G386" s="9" t="str">
        <f>VLOOKUP(B386,'Property Name List'!A$2:D$834,3,FALSE)</f>
        <v>Fairfield Inn &amp; Suites Mobile Saraland</v>
      </c>
      <c r="H386" s="15">
        <v>46119</v>
      </c>
      <c r="I386" t="s">
        <v>14</v>
      </c>
      <c r="J386">
        <f>VLOOKUP(E386,'Room Count'!A$2:B$2616,2,FALSE)</f>
        <v>98</v>
      </c>
    </row>
    <row r="387" spans="1:10" ht="17.100000000000001">
      <c r="A387" s="13" t="s">
        <v>40</v>
      </c>
      <c r="B387" s="13" t="s">
        <v>449</v>
      </c>
      <c r="C387" s="26">
        <v>100647</v>
      </c>
      <c r="D387" s="13" t="s">
        <v>449</v>
      </c>
      <c r="E387" s="13">
        <v>449</v>
      </c>
      <c r="F387" s="13" t="s">
        <v>12</v>
      </c>
      <c r="G387" s="9" t="str">
        <f>VLOOKUP(B387,'Property Name List'!A$2:D$834,3,FALSE)</f>
        <v>Fairfield Inn &amp; Suites Memphis Southaven</v>
      </c>
      <c r="H387" s="15">
        <v>46119</v>
      </c>
      <c r="I387" t="s">
        <v>14</v>
      </c>
      <c r="J387">
        <f>VLOOKUP(E387,'Room Count'!A$2:B$2616,2,FALSE)</f>
        <v>91</v>
      </c>
    </row>
    <row r="388" spans="1:10" ht="17.100000000000001">
      <c r="A388" s="13" t="s">
        <v>40</v>
      </c>
      <c r="B388" s="13" t="s">
        <v>450</v>
      </c>
      <c r="C388" s="26">
        <v>200119</v>
      </c>
      <c r="D388" s="13" t="s">
        <v>450</v>
      </c>
      <c r="E388" s="13">
        <v>452</v>
      </c>
      <c r="F388" s="13" t="s">
        <v>20</v>
      </c>
      <c r="G388" s="9" t="str">
        <f>VLOOKUP(B388,'Property Name List'!A$2:D$834,3,FALSE)</f>
        <v>Fairfield Inn &amp; Suites Mt. Vernon Rend Lake</v>
      </c>
      <c r="H388" s="15">
        <v>46119</v>
      </c>
      <c r="I388" t="s">
        <v>14</v>
      </c>
      <c r="J388">
        <f>VLOOKUP(E388,'Room Count'!A$2:B$2616,2,FALSE)</f>
        <v>70</v>
      </c>
    </row>
    <row r="389" spans="1:10" ht="17.100000000000001">
      <c r="A389" s="13" t="s">
        <v>40</v>
      </c>
      <c r="B389" s="13" t="s">
        <v>451</v>
      </c>
      <c r="C389" s="26">
        <v>100653</v>
      </c>
      <c r="D389" s="13" t="s">
        <v>451</v>
      </c>
      <c r="E389" s="13">
        <v>453</v>
      </c>
      <c r="F389" s="13" t="s">
        <v>12</v>
      </c>
      <c r="G389" s="9" t="str">
        <f>VLOOKUP(B389,'Property Name List'!A$2:D$834,3,FALSE)</f>
        <v>Courtyard By Marriott Minneapolis Downtown</v>
      </c>
      <c r="H389" s="15">
        <v>46119</v>
      </c>
      <c r="I389" t="s">
        <v>14</v>
      </c>
      <c r="J389">
        <f>VLOOKUP(E389,'Room Count'!A$2:B$2616,2,FALSE)</f>
        <v>265</v>
      </c>
    </row>
    <row r="390" spans="1:10" ht="17.100000000000001">
      <c r="A390" s="13" t="s">
        <v>40</v>
      </c>
      <c r="B390" s="13" t="s">
        <v>452</v>
      </c>
      <c r="C390" s="26">
        <v>100657</v>
      </c>
      <c r="D390" s="13" t="s">
        <v>452</v>
      </c>
      <c r="E390" s="13">
        <v>455</v>
      </c>
      <c r="F390" s="13" t="s">
        <v>12</v>
      </c>
      <c r="G390" s="9" t="str">
        <f>VLOOKUP(B390,'Property Name List'!A$2:D$834,3,FALSE)</f>
        <v>SpringHill Suites By Marriott Chicago Southeast/Munster, IN</v>
      </c>
      <c r="H390" s="15">
        <v>46119</v>
      </c>
      <c r="I390" t="s">
        <v>14</v>
      </c>
      <c r="J390">
        <f>VLOOKUP(E390,'Room Count'!A$2:B$2616,2,FALSE)</f>
        <v>99</v>
      </c>
    </row>
    <row r="391" spans="1:10" ht="17.100000000000001">
      <c r="A391" s="13" t="s">
        <v>40</v>
      </c>
      <c r="B391" s="13" t="s">
        <v>453</v>
      </c>
      <c r="C391" s="26">
        <v>200123</v>
      </c>
      <c r="D391" s="13" t="s">
        <v>453</v>
      </c>
      <c r="E391" s="13">
        <v>459</v>
      </c>
      <c r="F391" s="13" t="s">
        <v>20</v>
      </c>
      <c r="G391" s="9" t="str">
        <f>VLOOKUP(B391,'Property Name List'!A$2:D$834,3,FALSE)</f>
        <v>Fairfield Inn &amp; Suites Ruston</v>
      </c>
      <c r="H391" s="15">
        <v>46119</v>
      </c>
      <c r="I391" t="s">
        <v>14</v>
      </c>
      <c r="J391">
        <f>VLOOKUP(E391,'Room Count'!A$2:B$2616,2,FALSE)</f>
        <v>82</v>
      </c>
    </row>
    <row r="392" spans="1:10" ht="17.100000000000001">
      <c r="A392" s="13" t="s">
        <v>40</v>
      </c>
      <c r="B392" s="13" t="s">
        <v>454</v>
      </c>
      <c r="C392" s="26">
        <v>200125</v>
      </c>
      <c r="D392" s="13" t="s">
        <v>454</v>
      </c>
      <c r="E392" s="13">
        <v>460</v>
      </c>
      <c r="F392" s="13" t="s">
        <v>20</v>
      </c>
      <c r="G392" s="9" t="str">
        <f>VLOOKUP(B392,'Property Name List'!A$2:D$834,3,FALSE)</f>
        <v>Fairfield Inn &amp; Suites Oklahoma City El Reno</v>
      </c>
      <c r="H392" s="15">
        <v>46119</v>
      </c>
      <c r="I392" t="s">
        <v>14</v>
      </c>
      <c r="J392">
        <f>VLOOKUP(E392,'Room Count'!A$2:B$2616,2,FALSE)</f>
        <v>82</v>
      </c>
    </row>
    <row r="393" spans="1:10" ht="17.100000000000001">
      <c r="A393" s="13" t="s">
        <v>40</v>
      </c>
      <c r="B393" s="13" t="s">
        <v>455</v>
      </c>
      <c r="C393" s="26">
        <v>100665</v>
      </c>
      <c r="D393" s="13" t="s">
        <v>455</v>
      </c>
      <c r="E393" s="13">
        <v>462</v>
      </c>
      <c r="F393" s="13" t="s">
        <v>12</v>
      </c>
      <c r="G393" s="9" t="str">
        <f>VLOOKUP(B393,'Property Name List'!A$2:D$834,3,FALSE)</f>
        <v>Fairfield Inn By Marriott Owensboro</v>
      </c>
      <c r="H393" s="15">
        <v>46119</v>
      </c>
      <c r="I393" t="s">
        <v>14</v>
      </c>
      <c r="J393">
        <f>VLOOKUP(E393,'Room Count'!A$2:B$2616,2,FALSE)</f>
        <v>97</v>
      </c>
    </row>
    <row r="394" spans="1:10" ht="17.100000000000001">
      <c r="A394" s="13" t="s">
        <v>40</v>
      </c>
      <c r="B394" s="13" t="s">
        <v>456</v>
      </c>
      <c r="C394" s="26">
        <v>200127</v>
      </c>
      <c r="D394" s="13" t="s">
        <v>456</v>
      </c>
      <c r="E394" s="13">
        <v>463</v>
      </c>
      <c r="F394" s="13" t="s">
        <v>20</v>
      </c>
      <c r="G394" s="9" t="str">
        <f>VLOOKUP(B394,'Property Name List'!A$2:D$834,3,FALSE)</f>
        <v>Fairfield Inn &amp; Suites Little Rock Benton</v>
      </c>
      <c r="H394" s="15">
        <v>46119</v>
      </c>
      <c r="I394" t="s">
        <v>14</v>
      </c>
      <c r="J394">
        <f>VLOOKUP(E394,'Room Count'!A$2:B$2616,2,FALSE)</f>
        <v>79</v>
      </c>
    </row>
    <row r="395" spans="1:10" ht="17.100000000000001">
      <c r="A395" s="13" t="s">
        <v>40</v>
      </c>
      <c r="B395" s="13" t="s">
        <v>457</v>
      </c>
      <c r="C395" s="26">
        <v>200131</v>
      </c>
      <c r="D395" s="13" t="s">
        <v>457</v>
      </c>
      <c r="E395" s="13">
        <v>465</v>
      </c>
      <c r="F395" s="13" t="s">
        <v>20</v>
      </c>
      <c r="G395" s="9" t="str">
        <f>VLOOKUP(B395,'Property Name List'!A$2:D$834,3,FALSE)</f>
        <v>Fairfield Inn &amp; Suites El Dorado</v>
      </c>
      <c r="H395" s="15">
        <v>46119</v>
      </c>
      <c r="I395" t="s">
        <v>14</v>
      </c>
      <c r="J395">
        <f>VLOOKUP(E395,'Room Count'!A$2:B$2616,2,FALSE)</f>
        <v>75</v>
      </c>
    </row>
    <row r="396" spans="1:10" ht="17.100000000000001">
      <c r="A396" s="13" t="s">
        <v>40</v>
      </c>
      <c r="B396" s="13" t="s">
        <v>458</v>
      </c>
      <c r="C396" s="26">
        <v>200135</v>
      </c>
      <c r="D396" s="13" t="s">
        <v>458</v>
      </c>
      <c r="E396" s="13">
        <v>469</v>
      </c>
      <c r="F396" s="13" t="s">
        <v>20</v>
      </c>
      <c r="G396" s="9" t="str">
        <f>VLOOKUP(B396,'Property Name List'!A$2:D$834,3,FALSE)</f>
        <v>Courtyard By Marriott Lafayette South</v>
      </c>
      <c r="H396" s="15">
        <v>46119</v>
      </c>
      <c r="I396" t="s">
        <v>14</v>
      </c>
      <c r="J396">
        <f>VLOOKUP(E396,'Room Count'!A$2:B$2616,2,FALSE)</f>
        <v>94</v>
      </c>
    </row>
    <row r="397" spans="1:10" ht="17.100000000000001">
      <c r="A397" s="13" t="s">
        <v>40</v>
      </c>
      <c r="B397" s="13" t="s">
        <v>459</v>
      </c>
      <c r="C397" s="26">
        <v>100677</v>
      </c>
      <c r="D397" s="13" t="s">
        <v>459</v>
      </c>
      <c r="E397" s="13">
        <v>473</v>
      </c>
      <c r="F397" s="13" t="s">
        <v>12</v>
      </c>
      <c r="G397" s="9" t="str">
        <f>VLOOKUP(B397,'Property Name List'!A$2:D$834,3,FALSE)</f>
        <v>Fairfield Inn &amp; Suites Nashville at Opryland</v>
      </c>
      <c r="H397" s="15">
        <v>46119</v>
      </c>
      <c r="I397" t="s">
        <v>14</v>
      </c>
      <c r="J397">
        <f>VLOOKUP(E397,'Room Count'!A$2:B$2616,2,FALSE)</f>
        <v>109</v>
      </c>
    </row>
    <row r="398" spans="1:10" ht="17.100000000000001">
      <c r="A398" s="13" t="s">
        <v>40</v>
      </c>
      <c r="B398" s="13" t="s">
        <v>460</v>
      </c>
      <c r="C398" s="26">
        <v>100681</v>
      </c>
      <c r="D398" s="13" t="s">
        <v>460</v>
      </c>
      <c r="E398" s="13">
        <v>475</v>
      </c>
      <c r="F398" s="13" t="s">
        <v>12</v>
      </c>
      <c r="G398" s="9" t="str">
        <f>VLOOKUP(B398,'Property Name List'!A$2:D$834,3,FALSE)</f>
        <v>Courtyard By Marriott Nashville at Opryland</v>
      </c>
      <c r="H398" s="15">
        <v>46119</v>
      </c>
      <c r="I398" t="s">
        <v>14</v>
      </c>
      <c r="J398">
        <f>VLOOKUP(E398,'Room Count'!A$2:B$2616,2,FALSE)</f>
        <v>94</v>
      </c>
    </row>
    <row r="399" spans="1:10" ht="17.100000000000001">
      <c r="A399" s="13" t="s">
        <v>40</v>
      </c>
      <c r="B399" s="13" t="s">
        <v>461</v>
      </c>
      <c r="C399" s="26">
        <v>100683</v>
      </c>
      <c r="D399" s="13" t="s">
        <v>461</v>
      </c>
      <c r="E399" s="13">
        <v>476</v>
      </c>
      <c r="F399" s="13" t="s">
        <v>12</v>
      </c>
      <c r="G399" s="9" t="str">
        <f>VLOOKUP(B399,'Property Name List'!A$2:D$834,3,FALSE)</f>
        <v>SpringHill Suites By Marriott Nashville MetroCenter</v>
      </c>
      <c r="H399" s="15">
        <v>46119</v>
      </c>
      <c r="I399" t="s">
        <v>14</v>
      </c>
      <c r="J399">
        <f>VLOOKUP(E399,'Room Count'!A$2:B$2616,2,FALSE)</f>
        <v>78</v>
      </c>
    </row>
    <row r="400" spans="1:10" ht="33.950000000000003">
      <c r="A400" s="13" t="s">
        <v>40</v>
      </c>
      <c r="B400" s="13" t="s">
        <v>462</v>
      </c>
      <c r="C400" s="26">
        <v>100685</v>
      </c>
      <c r="D400" s="13" t="s">
        <v>462</v>
      </c>
      <c r="E400" s="13">
        <v>477</v>
      </c>
      <c r="F400" s="13" t="s">
        <v>12</v>
      </c>
      <c r="G400" s="9" t="str">
        <f>VLOOKUP(B400,'Property Name List'!A$2:D$834,3,FALSE)</f>
        <v>SpringHill Suites By Marriott Minneapolis-St. Paul Airport/Mall of America</v>
      </c>
      <c r="H400" s="15">
        <v>46119</v>
      </c>
      <c r="I400" t="s">
        <v>14</v>
      </c>
      <c r="J400">
        <f>VLOOKUP(E400,'Room Count'!A$2:B$2616,2,FALSE)</f>
        <v>113</v>
      </c>
    </row>
    <row r="401" spans="1:10" ht="17.100000000000001">
      <c r="A401" s="13" t="s">
        <v>40</v>
      </c>
      <c r="B401" s="13" t="s">
        <v>463</v>
      </c>
      <c r="C401" s="26">
        <v>200137</v>
      </c>
      <c r="D401" s="13" t="s">
        <v>463</v>
      </c>
      <c r="E401" s="13">
        <v>478</v>
      </c>
      <c r="F401" s="13" t="s">
        <v>20</v>
      </c>
      <c r="G401" s="9" t="str">
        <f>VLOOKUP(B401,'Property Name List'!A$2:D$834,3,FALSE)</f>
        <v>Courtyard By Marriott Lincoln Downtown/Haymarket</v>
      </c>
      <c r="H401" s="15">
        <v>46119</v>
      </c>
      <c r="I401" t="s">
        <v>14</v>
      </c>
      <c r="J401">
        <f>VLOOKUP(E401,'Room Count'!A$2:B$2616,2,FALSE)</f>
        <v>155</v>
      </c>
    </row>
    <row r="402" spans="1:10" ht="17.100000000000001">
      <c r="A402" s="13" t="s">
        <v>40</v>
      </c>
      <c r="B402" s="13" t="s">
        <v>464</v>
      </c>
      <c r="C402" s="26">
        <v>200141</v>
      </c>
      <c r="D402" s="13" t="s">
        <v>464</v>
      </c>
      <c r="E402" s="13">
        <v>481</v>
      </c>
      <c r="F402" s="13" t="s">
        <v>20</v>
      </c>
      <c r="G402" s="9" t="str">
        <f>VLOOKUP(B402,'Property Name List'!A$2:D$834,3,FALSE)</f>
        <v>Fairfield by Marriott Inn &amp; Suites Omaha at MH Landing</v>
      </c>
      <c r="H402" s="15">
        <v>46119</v>
      </c>
      <c r="I402" t="s">
        <v>14</v>
      </c>
      <c r="J402">
        <f>VLOOKUP(E402,'Room Count'!A$2:B$2616,2,FALSE)</f>
        <v>85</v>
      </c>
    </row>
    <row r="403" spans="1:10" ht="17.100000000000001">
      <c r="A403" s="13" t="s">
        <v>40</v>
      </c>
      <c r="B403" s="13" t="s">
        <v>465</v>
      </c>
      <c r="C403" s="26" t="s">
        <v>466</v>
      </c>
      <c r="D403" s="13" t="s">
        <v>465</v>
      </c>
      <c r="E403" s="13">
        <v>483</v>
      </c>
      <c r="F403" s="13" t="s">
        <v>12</v>
      </c>
      <c r="G403" s="9" t="str">
        <f>VLOOKUP(B403,'Property Name List'!A$2:D$834,3,FALSE)</f>
        <v>Fairfield by Marriott Inn &amp; Suites Missoula Airport</v>
      </c>
      <c r="H403" s="15">
        <v>46119</v>
      </c>
      <c r="I403" t="s">
        <v>14</v>
      </c>
      <c r="J403">
        <f>VLOOKUP(E403,'Room Count'!A$2:B$2616,2,FALSE)</f>
        <v>100</v>
      </c>
    </row>
    <row r="404" spans="1:10" ht="17.100000000000001">
      <c r="A404" s="13" t="s">
        <v>40</v>
      </c>
      <c r="B404" s="13" t="s">
        <v>467</v>
      </c>
      <c r="C404" s="26">
        <v>100691</v>
      </c>
      <c r="D404" s="13" t="s">
        <v>467</v>
      </c>
      <c r="E404" s="13">
        <v>485</v>
      </c>
      <c r="F404" s="13" t="s">
        <v>12</v>
      </c>
      <c r="G404" s="9" t="str">
        <f>VLOOKUP(B404,'Property Name List'!A$2:D$834,3,FALSE)</f>
        <v>Courtyard By Marriott Nashville Vanderbilt/West End</v>
      </c>
      <c r="H404" s="15">
        <v>46119</v>
      </c>
      <c r="I404" t="s">
        <v>14</v>
      </c>
      <c r="J404">
        <f>VLOOKUP(E404,'Room Count'!A$2:B$2616,2,FALSE)</f>
        <v>226</v>
      </c>
    </row>
    <row r="405" spans="1:10" ht="17.100000000000001">
      <c r="A405" s="13" t="s">
        <v>40</v>
      </c>
      <c r="B405" s="13" t="s">
        <v>468</v>
      </c>
      <c r="C405" s="26">
        <v>200161</v>
      </c>
      <c r="D405" s="13" t="s">
        <v>468</v>
      </c>
      <c r="E405" s="13">
        <v>493</v>
      </c>
      <c r="F405" s="13" t="s">
        <v>20</v>
      </c>
      <c r="G405" s="9" t="str">
        <f>VLOOKUP(B405,'Property Name List'!A$2:D$834,3,FALSE)</f>
        <v>Fairfield by Marriott Inn &amp; Suites Phoenix West/Tolleson</v>
      </c>
      <c r="H405" s="15">
        <v>46119</v>
      </c>
      <c r="I405" t="s">
        <v>14</v>
      </c>
      <c r="J405">
        <f>VLOOKUP(E405,'Room Count'!A$2:B$2616,2,FALSE)</f>
        <v>116</v>
      </c>
    </row>
    <row r="406" spans="1:10" ht="17.100000000000001">
      <c r="A406" s="13" t="s">
        <v>40</v>
      </c>
      <c r="B406" s="13" t="s">
        <v>469</v>
      </c>
      <c r="C406" s="26">
        <v>200167</v>
      </c>
      <c r="D406" s="13" t="s">
        <v>469</v>
      </c>
      <c r="E406" s="13">
        <v>496</v>
      </c>
      <c r="F406" s="13" t="s">
        <v>20</v>
      </c>
      <c r="G406" s="9" t="str">
        <f>VLOOKUP(B406,'Property Name List'!A$2:D$834,3,FALSE)</f>
        <v>Fairfield Inn &amp; Suites Phoenix Tempe/Airport</v>
      </c>
      <c r="H406" s="15">
        <v>46119</v>
      </c>
      <c r="I406" t="s">
        <v>14</v>
      </c>
      <c r="J406">
        <f>VLOOKUP(E406,'Room Count'!A$2:B$2616,2,FALSE)</f>
        <v>110</v>
      </c>
    </row>
    <row r="407" spans="1:10" ht="17.100000000000001">
      <c r="A407" s="13" t="s">
        <v>40</v>
      </c>
      <c r="B407" s="13" t="s">
        <v>470</v>
      </c>
      <c r="C407" s="26">
        <v>100939</v>
      </c>
      <c r="D407" s="13" t="s">
        <v>470</v>
      </c>
      <c r="E407" s="13">
        <v>683</v>
      </c>
      <c r="F407" s="13" t="s">
        <v>12</v>
      </c>
      <c r="G407" s="9" t="str">
        <f>VLOOKUP(B407,'Property Name List'!A$2:D$834,3,FALSE)</f>
        <v>Fairfield Inn &amp; Suites Flint Grand Blanc</v>
      </c>
      <c r="H407" s="15">
        <v>46119</v>
      </c>
      <c r="I407" t="s">
        <v>14</v>
      </c>
      <c r="J407">
        <f>VLOOKUP(E407,'Room Count'!A$2:B$2616,2,FALSE)</f>
        <v>97</v>
      </c>
    </row>
    <row r="408" spans="1:10" ht="17.100000000000001">
      <c r="A408" s="13" t="s">
        <v>40</v>
      </c>
      <c r="B408" s="13" t="s">
        <v>471</v>
      </c>
      <c r="C408" s="26">
        <v>100937</v>
      </c>
      <c r="D408" s="13" t="s">
        <v>471</v>
      </c>
      <c r="E408" s="13">
        <v>682</v>
      </c>
      <c r="F408" s="13" t="s">
        <v>12</v>
      </c>
      <c r="G408" s="9" t="str">
        <f>VLOOKUP(B408,'Property Name List'!A$2:D$834,3,FALSE)</f>
        <v>Courtyard By Marriott Winston-Salem Downtown</v>
      </c>
      <c r="H408" s="15">
        <v>46119</v>
      </c>
      <c r="I408" t="s">
        <v>14</v>
      </c>
      <c r="J408">
        <f>VLOOKUP(E408,'Room Count'!A$2:B$2616,2,FALSE)</f>
        <v>126</v>
      </c>
    </row>
    <row r="409" spans="1:10" ht="17.100000000000001">
      <c r="A409" s="13" t="s">
        <v>40</v>
      </c>
      <c r="B409" s="13" t="s">
        <v>472</v>
      </c>
      <c r="C409" s="26">
        <v>100935</v>
      </c>
      <c r="D409" s="13" t="s">
        <v>472</v>
      </c>
      <c r="E409" s="13">
        <v>681</v>
      </c>
      <c r="F409" s="13" t="s">
        <v>12</v>
      </c>
      <c r="G409" s="9" t="str">
        <f>VLOOKUP(B409,'Property Name List'!A$2:D$834,3,FALSE)</f>
        <v>Fairfield Inn &amp; Suites Somerset</v>
      </c>
      <c r="H409" s="15">
        <v>46119</v>
      </c>
      <c r="I409" t="s">
        <v>14</v>
      </c>
      <c r="J409">
        <f>VLOOKUP(E409,'Room Count'!A$2:B$2616,2,FALSE)</f>
        <v>80</v>
      </c>
    </row>
    <row r="410" spans="1:10" ht="17.100000000000001">
      <c r="A410" s="13" t="s">
        <v>40</v>
      </c>
      <c r="B410" s="13" t="s">
        <v>473</v>
      </c>
      <c r="C410" s="26">
        <v>100933</v>
      </c>
      <c r="D410" s="13" t="s">
        <v>473</v>
      </c>
      <c r="E410" s="13">
        <v>680</v>
      </c>
      <c r="F410" s="13" t="s">
        <v>12</v>
      </c>
      <c r="G410" s="9" t="str">
        <f>VLOOKUP(B410,'Property Name List'!A$2:D$834,3,FALSE)</f>
        <v>Courtyard By Marriott Atlanta Buckhead</v>
      </c>
      <c r="H410" s="15">
        <v>46119</v>
      </c>
      <c r="I410" t="s">
        <v>14</v>
      </c>
      <c r="J410">
        <f>VLOOKUP(E410,'Room Count'!A$2:B$2616,2,FALSE)</f>
        <v>181</v>
      </c>
    </row>
    <row r="411" spans="1:10" ht="17.100000000000001">
      <c r="A411" s="13" t="s">
        <v>40</v>
      </c>
      <c r="B411" s="13" t="s">
        <v>474</v>
      </c>
      <c r="C411" s="26">
        <v>100931</v>
      </c>
      <c r="D411" s="13" t="s">
        <v>474</v>
      </c>
      <c r="E411" s="13">
        <v>679</v>
      </c>
      <c r="F411" s="13" t="s">
        <v>12</v>
      </c>
      <c r="G411" s="9" t="str">
        <f>VLOOKUP(B411,'Property Name List'!A$2:D$834,3,FALSE)</f>
        <v>SpringHill Suites By Marriott Atlanta Alpharetta/Roswell</v>
      </c>
      <c r="H411" s="15">
        <v>46119</v>
      </c>
      <c r="I411" t="s">
        <v>14</v>
      </c>
      <c r="J411">
        <f>VLOOKUP(E411,'Room Count'!A$2:B$2616,2,FALSE)</f>
        <v>90</v>
      </c>
    </row>
    <row r="412" spans="1:10" ht="17.100000000000001">
      <c r="A412" s="13" t="s">
        <v>40</v>
      </c>
      <c r="B412" s="13" t="s">
        <v>475</v>
      </c>
      <c r="C412" s="26">
        <v>100929</v>
      </c>
      <c r="D412" s="13" t="s">
        <v>475</v>
      </c>
      <c r="E412" s="13">
        <v>678</v>
      </c>
      <c r="F412" s="13" t="s">
        <v>12</v>
      </c>
      <c r="G412" s="9" t="str">
        <f>VLOOKUP(B412,'Property Name List'!A$2:D$834,3,FALSE)</f>
        <v>AC Hotel Jacksonville St Johns Town Center</v>
      </c>
      <c r="H412" s="15">
        <v>46119</v>
      </c>
      <c r="I412" t="s">
        <v>14</v>
      </c>
      <c r="J412">
        <f>VLOOKUP(E412,'Room Count'!A$2:B$2616,2,FALSE)</f>
        <v>118</v>
      </c>
    </row>
    <row r="413" spans="1:10" ht="17.100000000000001">
      <c r="A413" s="13" t="s">
        <v>40</v>
      </c>
      <c r="B413" s="13" t="s">
        <v>476</v>
      </c>
      <c r="C413" s="26">
        <v>100927</v>
      </c>
      <c r="D413" s="13" t="s">
        <v>476</v>
      </c>
      <c r="E413" s="13">
        <v>677</v>
      </c>
      <c r="F413" s="13" t="s">
        <v>12</v>
      </c>
      <c r="G413" s="9" t="str">
        <f>VLOOKUP(B413,'Property Name List'!A$2:D$834,3,FALSE)</f>
        <v>Courtyard By Marriott Atlanta Decatur Downtown/Emory</v>
      </c>
      <c r="H413" s="15">
        <v>46119</v>
      </c>
      <c r="I413" t="s">
        <v>14</v>
      </c>
      <c r="J413">
        <f>VLOOKUP(E413,'Room Count'!A$2:B$2616,2,FALSE)</f>
        <v>179</v>
      </c>
    </row>
    <row r="414" spans="1:10" ht="17.100000000000001">
      <c r="A414" s="13" t="s">
        <v>40</v>
      </c>
      <c r="B414" s="13" t="s">
        <v>477</v>
      </c>
      <c r="C414" s="26">
        <v>100925</v>
      </c>
      <c r="D414" s="13" t="s">
        <v>477</v>
      </c>
      <c r="E414" s="13">
        <v>676</v>
      </c>
      <c r="F414" s="13" t="s">
        <v>12</v>
      </c>
      <c r="G414" s="9" t="str">
        <f>VLOOKUP(B414,'Property Name List'!A$2:D$834,3,FALSE)</f>
        <v>Fairfield Inn &amp; Suites Washington Court House Jeffersonville</v>
      </c>
      <c r="H414" s="15">
        <v>46119</v>
      </c>
      <c r="I414" t="s">
        <v>14</v>
      </c>
      <c r="J414">
        <f>VLOOKUP(E414,'Room Count'!A$2:B$2616,2,FALSE)</f>
        <v>70</v>
      </c>
    </row>
    <row r="415" spans="1:10" ht="17.100000000000001">
      <c r="A415" s="13" t="s">
        <v>40</v>
      </c>
      <c r="B415" s="13" t="s">
        <v>478</v>
      </c>
      <c r="C415" s="26">
        <v>100923</v>
      </c>
      <c r="D415" s="13" t="s">
        <v>478</v>
      </c>
      <c r="E415" s="13">
        <v>675</v>
      </c>
      <c r="F415" s="13" t="s">
        <v>12</v>
      </c>
      <c r="G415" s="9" t="str">
        <f>VLOOKUP(B415,'Property Name List'!A$2:D$834,3,FALSE)</f>
        <v>Courtyard By Marriott Boston Natick</v>
      </c>
      <c r="H415" s="15">
        <v>46119</v>
      </c>
      <c r="I415" t="s">
        <v>14</v>
      </c>
      <c r="J415">
        <f>VLOOKUP(E415,'Room Count'!A$2:B$2616,2,FALSE)</f>
        <v>181</v>
      </c>
    </row>
    <row r="416" spans="1:10" ht="17.100000000000001">
      <c r="A416" s="13" t="s">
        <v>40</v>
      </c>
      <c r="B416" s="13" t="s">
        <v>479</v>
      </c>
      <c r="C416" s="26">
        <v>100921</v>
      </c>
      <c r="D416" s="13" t="s">
        <v>479</v>
      </c>
      <c r="E416" s="13">
        <v>674</v>
      </c>
      <c r="F416" s="13" t="s">
        <v>12</v>
      </c>
      <c r="G416" s="9" t="str">
        <f>VLOOKUP(B416,'Property Name List'!A$2:D$834,3,FALSE)</f>
        <v>Fairfield Inn &amp; Suites Columbus Polaris</v>
      </c>
      <c r="H416" s="15">
        <v>46119</v>
      </c>
      <c r="I416" t="s">
        <v>14</v>
      </c>
      <c r="J416">
        <f>VLOOKUP(E416,'Room Count'!A$2:B$2616,2,FALSE)</f>
        <v>125</v>
      </c>
    </row>
    <row r="417" spans="1:10" ht="17.100000000000001">
      <c r="A417" s="13" t="s">
        <v>40</v>
      </c>
      <c r="B417" s="13" t="s">
        <v>480</v>
      </c>
      <c r="C417" s="26">
        <v>100919</v>
      </c>
      <c r="D417" s="13" t="s">
        <v>480</v>
      </c>
      <c r="E417" s="13">
        <v>673</v>
      </c>
      <c r="F417" s="13" t="s">
        <v>12</v>
      </c>
      <c r="G417" s="9" t="str">
        <f>VLOOKUP(B417,'Property Name List'!A$2:D$834,3,FALSE)</f>
        <v>Fairfield Inn &amp; Suites Brunswick</v>
      </c>
      <c r="H417" s="15">
        <v>46119</v>
      </c>
      <c r="I417" t="s">
        <v>14</v>
      </c>
      <c r="J417">
        <f>VLOOKUP(E417,'Room Count'!A$2:B$2616,2,FALSE)</f>
        <v>80</v>
      </c>
    </row>
    <row r="418" spans="1:10" ht="17.100000000000001">
      <c r="A418" s="13" t="s">
        <v>40</v>
      </c>
      <c r="B418" s="13" t="s">
        <v>481</v>
      </c>
      <c r="C418" s="26">
        <v>100917</v>
      </c>
      <c r="D418" s="13" t="s">
        <v>481</v>
      </c>
      <c r="E418" s="13">
        <v>672</v>
      </c>
      <c r="F418" s="13" t="s">
        <v>12</v>
      </c>
      <c r="G418" s="9" t="str">
        <f>VLOOKUP(B418,'Property Name List'!A$2:D$834,3,FALSE)</f>
        <v>Fairfield Inn By Marriott Boston Tewksbury/Andover</v>
      </c>
      <c r="H418" s="15">
        <v>46119</v>
      </c>
      <c r="I418" t="s">
        <v>14</v>
      </c>
      <c r="J418">
        <f>VLOOKUP(E418,'Room Count'!A$2:B$2616,2,FALSE)</f>
        <v>122</v>
      </c>
    </row>
    <row r="419" spans="1:10" ht="17.100000000000001">
      <c r="A419" s="13" t="s">
        <v>40</v>
      </c>
      <c r="B419" s="13" t="s">
        <v>482</v>
      </c>
      <c r="C419" s="26">
        <v>100915</v>
      </c>
      <c r="D419" s="13" t="s">
        <v>482</v>
      </c>
      <c r="E419" s="13">
        <v>671</v>
      </c>
      <c r="F419" s="13" t="s">
        <v>12</v>
      </c>
      <c r="G419" s="9" t="str">
        <f>VLOOKUP(B419,'Property Name List'!A$2:D$834,3,FALSE)</f>
        <v>Fairfield Inn &amp; Suites Augusta</v>
      </c>
      <c r="H419" s="15">
        <v>46119</v>
      </c>
      <c r="I419" t="s">
        <v>14</v>
      </c>
      <c r="J419">
        <f>VLOOKUP(E419,'Room Count'!A$2:B$2616,2,FALSE)</f>
        <v>81</v>
      </c>
    </row>
    <row r="420" spans="1:10" ht="17.100000000000001">
      <c r="A420" s="13" t="s">
        <v>40</v>
      </c>
      <c r="B420" s="13" t="s">
        <v>483</v>
      </c>
      <c r="C420" s="26">
        <v>100913</v>
      </c>
      <c r="D420" s="13" t="s">
        <v>483</v>
      </c>
      <c r="E420" s="13">
        <v>670</v>
      </c>
      <c r="F420" s="13" t="s">
        <v>12</v>
      </c>
      <c r="G420" s="9" t="str">
        <f>VLOOKUP(B420,'Property Name List'!A$2:D$834,3,FALSE)</f>
        <v>Fairfield Inn &amp; Suites Charlotte Matthews</v>
      </c>
      <c r="H420" s="15">
        <v>46119</v>
      </c>
      <c r="I420" t="s">
        <v>14</v>
      </c>
      <c r="J420">
        <f>VLOOKUP(E420,'Room Count'!A$2:B$2616,2,FALSE)</f>
        <v>94</v>
      </c>
    </row>
    <row r="421" spans="1:10" ht="17.100000000000001">
      <c r="A421" s="13" t="s">
        <v>40</v>
      </c>
      <c r="B421" s="13" t="s">
        <v>484</v>
      </c>
      <c r="C421" s="26">
        <v>100911</v>
      </c>
      <c r="D421" s="13" t="s">
        <v>484</v>
      </c>
      <c r="E421" s="13">
        <v>669</v>
      </c>
      <c r="F421" s="13" t="s">
        <v>12</v>
      </c>
      <c r="G421" s="9" t="str">
        <f>VLOOKUP(B421,'Property Name List'!A$2:D$834,3,FALSE)</f>
        <v>Courtyard By Marriott Chicago Southeast/Hammond, IN</v>
      </c>
      <c r="H421" s="15">
        <v>46119</v>
      </c>
      <c r="I421" t="s">
        <v>14</v>
      </c>
      <c r="J421">
        <f>VLOOKUP(E421,'Room Count'!A$2:B$2616,2,FALSE)</f>
        <v>85</v>
      </c>
    </row>
    <row r="422" spans="1:10" ht="17.100000000000001">
      <c r="A422" s="13" t="s">
        <v>40</v>
      </c>
      <c r="B422" s="13" t="s">
        <v>485</v>
      </c>
      <c r="C422" s="26">
        <v>100909</v>
      </c>
      <c r="D422" s="13" t="s">
        <v>485</v>
      </c>
      <c r="E422" s="13">
        <v>668</v>
      </c>
      <c r="F422" s="13" t="s">
        <v>12</v>
      </c>
      <c r="G422" s="9" t="str">
        <f>VLOOKUP(B422,'Property Name List'!A$2:D$834,3,FALSE)</f>
        <v>Courtyard By Marriott Nashville Smyrna</v>
      </c>
      <c r="H422" s="15">
        <v>46119</v>
      </c>
      <c r="I422" t="s">
        <v>14</v>
      </c>
      <c r="J422">
        <f>VLOOKUP(E422,'Room Count'!A$2:B$2616,2,FALSE)</f>
        <v>102</v>
      </c>
    </row>
    <row r="423" spans="1:10" ht="17.100000000000001">
      <c r="A423" s="13" t="s">
        <v>40</v>
      </c>
      <c r="B423" s="13" t="s">
        <v>486</v>
      </c>
      <c r="C423" s="26">
        <v>100907</v>
      </c>
      <c r="D423" s="13" t="s">
        <v>486</v>
      </c>
      <c r="E423" s="13">
        <v>667</v>
      </c>
      <c r="F423" s="13" t="s">
        <v>12</v>
      </c>
      <c r="G423" s="9" t="str">
        <f>VLOOKUP(B423,'Property Name List'!A$2:D$834,3,FALSE)</f>
        <v>Fairfield Inn &amp; Suites Nashville MetroCenter</v>
      </c>
      <c r="H423" s="15">
        <v>46119</v>
      </c>
      <c r="I423" t="s">
        <v>14</v>
      </c>
      <c r="J423">
        <f>VLOOKUP(E423,'Room Count'!A$2:B$2616,2,FALSE)</f>
        <v>80</v>
      </c>
    </row>
    <row r="424" spans="1:10" ht="17.100000000000001">
      <c r="A424" s="13" t="s">
        <v>40</v>
      </c>
      <c r="B424" s="13" t="s">
        <v>487</v>
      </c>
      <c r="C424" s="26">
        <v>100905</v>
      </c>
      <c r="D424" s="13" t="s">
        <v>487</v>
      </c>
      <c r="E424" s="13">
        <v>666</v>
      </c>
      <c r="F424" s="13" t="s">
        <v>12</v>
      </c>
      <c r="G424" s="9" t="str">
        <f>VLOOKUP(B424,'Property Name List'!A$2:D$834,3,FALSE)</f>
        <v>AC Hotel Nashville Brentwood</v>
      </c>
      <c r="H424" s="15">
        <v>46119</v>
      </c>
      <c r="I424" t="s">
        <v>14</v>
      </c>
      <c r="J424">
        <f>VLOOKUP(E424,'Room Count'!A$2:B$2616,2,FALSE)</f>
        <v>148</v>
      </c>
    </row>
    <row r="425" spans="1:10" ht="17.100000000000001">
      <c r="A425" s="13" t="s">
        <v>40</v>
      </c>
      <c r="B425" s="13" t="s">
        <v>488</v>
      </c>
      <c r="C425" s="26">
        <v>100903</v>
      </c>
      <c r="D425" s="13" t="s">
        <v>488</v>
      </c>
      <c r="E425" s="13">
        <v>665</v>
      </c>
      <c r="F425" s="13" t="s">
        <v>12</v>
      </c>
      <c r="G425" s="9" t="str">
        <f>VLOOKUP(B425,'Property Name List'!A$2:D$834,3,FALSE)</f>
        <v>Fairfield by Marriott Inn &amp; Suites Appleton</v>
      </c>
      <c r="H425" s="15">
        <v>46119</v>
      </c>
      <c r="I425" t="s">
        <v>14</v>
      </c>
      <c r="J425">
        <f>VLOOKUP(E425,'Room Count'!A$2:B$2616,2,FALSE)</f>
        <v>82</v>
      </c>
    </row>
    <row r="426" spans="1:10" ht="17.100000000000001">
      <c r="A426" s="13" t="s">
        <v>40</v>
      </c>
      <c r="B426" s="13" t="s">
        <v>489</v>
      </c>
      <c r="C426" s="26">
        <v>100901</v>
      </c>
      <c r="D426" s="13" t="s">
        <v>489</v>
      </c>
      <c r="E426" s="13">
        <v>664</v>
      </c>
      <c r="F426" s="13" t="s">
        <v>12</v>
      </c>
      <c r="G426" s="9" t="str">
        <f>VLOOKUP(B426,'Property Name List'!A$2:D$834,3,FALSE)</f>
        <v>SpringHill Suites By Marriott Ocala</v>
      </c>
      <c r="H426" s="15">
        <v>46119</v>
      </c>
      <c r="I426" t="s">
        <v>14</v>
      </c>
      <c r="J426">
        <f>VLOOKUP(E426,'Room Count'!A$2:B$2616,2,FALSE)</f>
        <v>102</v>
      </c>
    </row>
    <row r="427" spans="1:10" ht="17.100000000000001">
      <c r="A427" s="13" t="s">
        <v>40</v>
      </c>
      <c r="B427" s="13" t="s">
        <v>490</v>
      </c>
      <c r="C427" s="26">
        <v>100899</v>
      </c>
      <c r="D427" s="13" t="s">
        <v>490</v>
      </c>
      <c r="E427" s="13">
        <v>663</v>
      </c>
      <c r="F427" s="13" t="s">
        <v>12</v>
      </c>
      <c r="G427" s="9" t="str">
        <f>VLOOKUP(B427,'Property Name List'!A$2:D$834,3,FALSE)</f>
        <v>Fairfield Inn &amp; Suites Atlanta Peachtree City</v>
      </c>
      <c r="H427" s="15">
        <v>46119</v>
      </c>
      <c r="I427" t="s">
        <v>14</v>
      </c>
      <c r="J427">
        <f>VLOOKUP(E427,'Room Count'!A$2:B$2616,2,FALSE)</f>
        <v>81</v>
      </c>
    </row>
    <row r="428" spans="1:10" ht="17.100000000000001">
      <c r="A428" s="13" t="s">
        <v>40</v>
      </c>
      <c r="B428" s="13" t="s">
        <v>491</v>
      </c>
      <c r="C428" s="26">
        <v>100897</v>
      </c>
      <c r="D428" s="13" t="s">
        <v>491</v>
      </c>
      <c r="E428" s="13">
        <v>662</v>
      </c>
      <c r="F428" s="13" t="s">
        <v>12</v>
      </c>
      <c r="G428" s="9" t="str">
        <f>VLOOKUP(B428,'Property Name List'!A$2:D$834,3,FALSE)</f>
        <v>SpringHill Suites by Marriott Jacksonville Baymeadows</v>
      </c>
      <c r="H428" s="15">
        <v>46119</v>
      </c>
      <c r="I428" t="s">
        <v>14</v>
      </c>
      <c r="J428">
        <f>VLOOKUP(E428,'Room Count'!A$2:B$2616,2,FALSE)</f>
        <v>120</v>
      </c>
    </row>
    <row r="429" spans="1:10" ht="17.100000000000001">
      <c r="A429" s="13" t="s">
        <v>40</v>
      </c>
      <c r="B429" s="13" t="s">
        <v>492</v>
      </c>
      <c r="C429" s="26">
        <v>100895</v>
      </c>
      <c r="D429" s="13" t="s">
        <v>492</v>
      </c>
      <c r="E429" s="13">
        <v>661</v>
      </c>
      <c r="F429" s="13" t="s">
        <v>12</v>
      </c>
      <c r="G429" s="9" t="str">
        <f>VLOOKUP(B429,'Property Name List'!A$2:D$834,3,FALSE)</f>
        <v>AC Hotel Gainesville Downtown</v>
      </c>
      <c r="H429" s="15">
        <v>46119</v>
      </c>
      <c r="I429" t="s">
        <v>14</v>
      </c>
      <c r="J429">
        <f>VLOOKUP(E429,'Room Count'!A$2:B$2616,2,FALSE)</f>
        <v>144</v>
      </c>
    </row>
    <row r="430" spans="1:10" ht="17.100000000000001">
      <c r="A430" s="13" t="s">
        <v>40</v>
      </c>
      <c r="B430" s="13" t="s">
        <v>493</v>
      </c>
      <c r="C430" s="26">
        <v>100893</v>
      </c>
      <c r="D430" s="13" t="s">
        <v>493</v>
      </c>
      <c r="E430" s="13">
        <v>660</v>
      </c>
      <c r="F430" s="13" t="s">
        <v>12</v>
      </c>
      <c r="G430" s="9" t="str">
        <f>VLOOKUP(B430,'Property Name List'!A$2:D$834,3,FALSE)</f>
        <v>Courtyard By Marriott Southington</v>
      </c>
      <c r="H430" s="15">
        <v>46119</v>
      </c>
      <c r="I430" t="s">
        <v>14</v>
      </c>
      <c r="J430">
        <f>VLOOKUP(E430,'Room Count'!A$2:B$2616,2,FALSE)</f>
        <v>125</v>
      </c>
    </row>
    <row r="431" spans="1:10" ht="17.100000000000001">
      <c r="A431" s="13" t="s">
        <v>40</v>
      </c>
      <c r="B431" s="13" t="s">
        <v>494</v>
      </c>
      <c r="C431" s="26">
        <v>100891</v>
      </c>
      <c r="D431" s="13" t="s">
        <v>494</v>
      </c>
      <c r="E431" s="13">
        <v>659</v>
      </c>
      <c r="F431" s="13" t="s">
        <v>12</v>
      </c>
      <c r="G431" s="9" t="str">
        <f>VLOOKUP(B431,'Property Name List'!A$2:D$834,3,FALSE)</f>
        <v>Fairfield Inn &amp; Suites Millville Vineland</v>
      </c>
      <c r="H431" s="15">
        <v>46119</v>
      </c>
      <c r="I431" t="s">
        <v>14</v>
      </c>
      <c r="J431">
        <f>VLOOKUP(E431,'Room Count'!A$2:B$2616,2,FALSE)</f>
        <v>109</v>
      </c>
    </row>
    <row r="432" spans="1:10" ht="17.100000000000001">
      <c r="A432" s="13" t="s">
        <v>40</v>
      </c>
      <c r="B432" s="13" t="s">
        <v>495</v>
      </c>
      <c r="C432" s="26">
        <v>100889</v>
      </c>
      <c r="D432" s="13" t="s">
        <v>495</v>
      </c>
      <c r="E432" s="13">
        <v>658</v>
      </c>
      <c r="F432" s="13" t="s">
        <v>12</v>
      </c>
      <c r="G432" s="9" t="str">
        <f>VLOOKUP(B432,'Property Name List'!A$2:D$834,3,FALSE)</f>
        <v>Fairfield Inn &amp; Suites Waycross</v>
      </c>
      <c r="H432" s="15">
        <v>46119</v>
      </c>
      <c r="I432" t="s">
        <v>14</v>
      </c>
      <c r="J432">
        <f>VLOOKUP(E432,'Room Count'!A$2:B$2616,2,FALSE)</f>
        <v>89</v>
      </c>
    </row>
    <row r="433" spans="1:10" ht="17.100000000000001">
      <c r="A433" s="13" t="s">
        <v>40</v>
      </c>
      <c r="B433" s="13" t="s">
        <v>496</v>
      </c>
      <c r="C433" s="26">
        <v>100887</v>
      </c>
      <c r="D433" s="13" t="s">
        <v>496</v>
      </c>
      <c r="E433" s="13">
        <v>657</v>
      </c>
      <c r="F433" s="13" t="s">
        <v>12</v>
      </c>
      <c r="G433" s="9" t="str">
        <f>VLOOKUP(B433,'Property Name List'!A$2:D$834,3,FALSE)</f>
        <v>Courtyard By Marriott Lansing</v>
      </c>
      <c r="H433" s="15">
        <v>46119</v>
      </c>
      <c r="I433" t="s">
        <v>14</v>
      </c>
      <c r="J433">
        <f>VLOOKUP(E433,'Room Count'!A$2:B$2616,2,FALSE)</f>
        <v>128</v>
      </c>
    </row>
    <row r="434" spans="1:10" ht="17.100000000000001">
      <c r="A434" s="13" t="s">
        <v>40</v>
      </c>
      <c r="B434" s="13" t="s">
        <v>497</v>
      </c>
      <c r="C434" s="26">
        <v>100885</v>
      </c>
      <c r="D434" s="13" t="s">
        <v>497</v>
      </c>
      <c r="E434" s="13">
        <v>656</v>
      </c>
      <c r="F434" s="13" t="s">
        <v>12</v>
      </c>
      <c r="G434" s="9" t="str">
        <f>VLOOKUP(B434,'Property Name List'!A$2:D$834,3,FALSE)</f>
        <v>SpringHill Suites By Marriott Baltimore White Marsh/Middle River</v>
      </c>
      <c r="H434" s="15">
        <v>46119</v>
      </c>
      <c r="I434" t="s">
        <v>14</v>
      </c>
      <c r="J434">
        <f>VLOOKUP(E434,'Room Count'!A$2:B$2616,2,FALSE)</f>
        <v>120</v>
      </c>
    </row>
    <row r="435" spans="1:10" ht="17.100000000000001">
      <c r="A435" s="13" t="s">
        <v>40</v>
      </c>
      <c r="B435" s="13" t="s">
        <v>498</v>
      </c>
      <c r="C435" s="26">
        <v>100883</v>
      </c>
      <c r="D435" s="13" t="s">
        <v>498</v>
      </c>
      <c r="E435" s="13">
        <v>655</v>
      </c>
      <c r="F435" s="13" t="s">
        <v>12</v>
      </c>
      <c r="G435" s="9" t="str">
        <f>VLOOKUP(B435,'Property Name List'!A$2:D$834,3,FALSE)</f>
        <v>SpringHill Suites By Marriott Dayton South/Miamisburg</v>
      </c>
      <c r="H435" s="15">
        <v>46119</v>
      </c>
      <c r="I435" t="s">
        <v>14</v>
      </c>
      <c r="J435">
        <f>VLOOKUP(E435,'Room Count'!A$2:B$2616,2,FALSE)</f>
        <v>84</v>
      </c>
    </row>
    <row r="436" spans="1:10" ht="17.100000000000001">
      <c r="A436" s="13" t="s">
        <v>40</v>
      </c>
      <c r="B436" s="13" t="s">
        <v>499</v>
      </c>
      <c r="C436" s="26">
        <v>100881</v>
      </c>
      <c r="D436" s="13" t="s">
        <v>499</v>
      </c>
      <c r="E436" s="13">
        <v>654</v>
      </c>
      <c r="F436" s="13" t="s">
        <v>12</v>
      </c>
      <c r="G436" s="9" t="str">
        <f>VLOOKUP(B436,'Property Name List'!A$2:D$834,3,FALSE)</f>
        <v>Fairfield Inn &amp; Suites Atlanta Alpharetta</v>
      </c>
      <c r="H436" s="15">
        <v>46119</v>
      </c>
      <c r="I436" t="s">
        <v>14</v>
      </c>
      <c r="J436">
        <f>VLOOKUP(E436,'Room Count'!A$2:B$2616,2,FALSE)</f>
        <v>88</v>
      </c>
    </row>
    <row r="437" spans="1:10" ht="17.100000000000001">
      <c r="A437" s="13" t="s">
        <v>40</v>
      </c>
      <c r="B437" s="13" t="s">
        <v>500</v>
      </c>
      <c r="C437" s="26">
        <v>100879</v>
      </c>
      <c r="D437" s="13" t="s">
        <v>500</v>
      </c>
      <c r="E437" s="13">
        <v>653</v>
      </c>
      <c r="F437" s="13" t="s">
        <v>12</v>
      </c>
      <c r="G437" s="9" t="str">
        <f>VLOOKUP(B437,'Property Name List'!A$2:D$834,3,FALSE)</f>
        <v>Courtyard By Marriott Mt. Pleasant at Central Michigan University</v>
      </c>
      <c r="H437" s="15">
        <v>46119</v>
      </c>
      <c r="I437" t="s">
        <v>14</v>
      </c>
      <c r="J437">
        <f>VLOOKUP(E437,'Room Count'!A$2:B$2616,2,FALSE)</f>
        <v>148</v>
      </c>
    </row>
    <row r="438" spans="1:10" ht="17.100000000000001">
      <c r="A438" s="13" t="s">
        <v>40</v>
      </c>
      <c r="B438" s="13" t="s">
        <v>501</v>
      </c>
      <c r="C438" s="26">
        <v>100877</v>
      </c>
      <c r="D438" s="13" t="s">
        <v>501</v>
      </c>
      <c r="E438" s="13">
        <v>652</v>
      </c>
      <c r="F438" s="13" t="s">
        <v>12</v>
      </c>
      <c r="G438" s="9" t="str">
        <f>VLOOKUP(B438,'Property Name List'!A$2:D$834,3,FALSE)</f>
        <v>Fairfield Inn &amp; Suites Gainesville I-75</v>
      </c>
      <c r="H438" s="15">
        <v>46119</v>
      </c>
      <c r="I438" t="s">
        <v>14</v>
      </c>
      <c r="J438">
        <f>VLOOKUP(E438,'Room Count'!A$2:B$2616,2,FALSE)</f>
        <v>114</v>
      </c>
    </row>
    <row r="439" spans="1:10" ht="17.100000000000001">
      <c r="A439" s="13" t="s">
        <v>40</v>
      </c>
      <c r="B439" s="13" t="s">
        <v>502</v>
      </c>
      <c r="C439" s="26">
        <v>100875</v>
      </c>
      <c r="D439" s="13" t="s">
        <v>502</v>
      </c>
      <c r="E439" s="13">
        <v>651</v>
      </c>
      <c r="F439" s="13" t="s">
        <v>12</v>
      </c>
      <c r="G439" s="9" t="str">
        <f>VLOOKUP(B439,'Property Name List'!A$2:D$834,3,FALSE)</f>
        <v>Fairfield Inn &amp; Suites Cincinnati North/West Chester</v>
      </c>
      <c r="H439" s="15">
        <v>46119</v>
      </c>
      <c r="I439" t="s">
        <v>14</v>
      </c>
      <c r="J439">
        <f>VLOOKUP(E439,'Room Count'!A$2:B$2616,2,FALSE)</f>
        <v>107</v>
      </c>
    </row>
    <row r="440" spans="1:10" ht="17.100000000000001">
      <c r="A440" s="13" t="s">
        <v>40</v>
      </c>
      <c r="B440" s="13" t="s">
        <v>503</v>
      </c>
      <c r="C440" s="26">
        <v>100873</v>
      </c>
      <c r="D440" s="13" t="s">
        <v>503</v>
      </c>
      <c r="E440" s="13">
        <v>650</v>
      </c>
      <c r="F440" s="13" t="s">
        <v>12</v>
      </c>
      <c r="G440" s="9" t="str">
        <f>VLOOKUP(B440,'Property Name List'!A$2:D$834,3,FALSE)</f>
        <v>SpringHill Suites By Marriott Chattanooga Downtown/Cameron Harbor</v>
      </c>
      <c r="H440" s="15">
        <v>46119</v>
      </c>
      <c r="I440" t="s">
        <v>14</v>
      </c>
      <c r="J440">
        <f>VLOOKUP(E440,'Room Count'!A$2:B$2616,2,FALSE)</f>
        <v>116</v>
      </c>
    </row>
    <row r="441" spans="1:10" ht="17.100000000000001">
      <c r="A441" s="13" t="s">
        <v>40</v>
      </c>
      <c r="B441" s="13" t="s">
        <v>504</v>
      </c>
      <c r="C441" s="26">
        <v>100871</v>
      </c>
      <c r="D441" s="13" t="s">
        <v>504</v>
      </c>
      <c r="E441" s="13">
        <v>649</v>
      </c>
      <c r="F441" s="13" t="s">
        <v>12</v>
      </c>
      <c r="G441" s="9" t="str">
        <f>VLOOKUP(B441,'Property Name List'!A$2:D$834,3,FALSE)</f>
        <v>SpringHill Suites By Marriott Tuckahoe Westchester County</v>
      </c>
      <c r="H441" s="15">
        <v>46119</v>
      </c>
      <c r="I441" t="s">
        <v>14</v>
      </c>
      <c r="J441">
        <f>VLOOKUP(E441,'Room Count'!A$2:B$2616,2,FALSE)</f>
        <v>153</v>
      </c>
    </row>
    <row r="442" spans="1:10" ht="17.100000000000001">
      <c r="A442" s="13" t="s">
        <v>40</v>
      </c>
      <c r="B442" s="13" t="s">
        <v>505</v>
      </c>
      <c r="C442" s="26">
        <v>100869</v>
      </c>
      <c r="D442" s="13" t="s">
        <v>505</v>
      </c>
      <c r="E442" s="13">
        <v>648</v>
      </c>
      <c r="F442" s="13" t="s">
        <v>12</v>
      </c>
      <c r="G442" s="9" t="str">
        <f>VLOOKUP(B442,'Property Name List'!A$2:D$834,3,FALSE)</f>
        <v>Courtyard By Marriott Burlington Williston</v>
      </c>
      <c r="H442" s="15">
        <v>46119</v>
      </c>
      <c r="I442" t="s">
        <v>14</v>
      </c>
      <c r="J442">
        <f>VLOOKUP(E442,'Room Count'!A$2:B$2616,2,FALSE)</f>
        <v>90</v>
      </c>
    </row>
    <row r="443" spans="1:10" ht="17.100000000000001">
      <c r="A443" s="13" t="s">
        <v>40</v>
      </c>
      <c r="B443" s="13" t="s">
        <v>506</v>
      </c>
      <c r="C443" s="26">
        <v>100867</v>
      </c>
      <c r="D443" s="13" t="s">
        <v>506</v>
      </c>
      <c r="E443" s="13">
        <v>647</v>
      </c>
      <c r="F443" s="13" t="s">
        <v>12</v>
      </c>
      <c r="G443" s="9" t="str">
        <f>VLOOKUP(B443,'Property Name List'!A$2:D$834,3,FALSE)</f>
        <v>Fairfield Inn &amp; Suites Arundel Mills BWI Airport</v>
      </c>
      <c r="H443" s="15">
        <v>46119</v>
      </c>
      <c r="I443" t="s">
        <v>14</v>
      </c>
      <c r="J443">
        <f>VLOOKUP(E443,'Room Count'!A$2:B$2616,2,FALSE)</f>
        <v>96</v>
      </c>
    </row>
    <row r="444" spans="1:10" ht="17.100000000000001">
      <c r="A444" s="13" t="s">
        <v>40</v>
      </c>
      <c r="B444" s="13" t="s">
        <v>507</v>
      </c>
      <c r="C444" s="26">
        <v>100865</v>
      </c>
      <c r="D444" s="13" t="s">
        <v>507</v>
      </c>
      <c r="E444" s="13">
        <v>646</v>
      </c>
      <c r="F444" s="13" t="s">
        <v>12</v>
      </c>
      <c r="G444" s="9" t="str">
        <f>VLOOKUP(B444,'Property Name List'!A$2:D$834,3,FALSE)</f>
        <v>Fairfield Inn &amp; Suites St. Joseph Stevensville</v>
      </c>
      <c r="H444" s="15">
        <v>46119</v>
      </c>
      <c r="I444" t="s">
        <v>14</v>
      </c>
      <c r="J444">
        <f>VLOOKUP(E444,'Room Count'!A$2:B$2616,2,FALSE)</f>
        <v>87</v>
      </c>
    </row>
    <row r="445" spans="1:10" ht="17.100000000000001">
      <c r="A445" s="13" t="s">
        <v>40</v>
      </c>
      <c r="B445" s="13" t="s">
        <v>508</v>
      </c>
      <c r="C445" s="26">
        <v>100863</v>
      </c>
      <c r="D445" s="13" t="s">
        <v>508</v>
      </c>
      <c r="E445" s="13">
        <v>645</v>
      </c>
      <c r="F445" s="13" t="s">
        <v>12</v>
      </c>
      <c r="G445" s="9" t="str">
        <f>VLOOKUP(B445,'Property Name List'!A$2:D$834,3,FALSE)</f>
        <v>SpringHill Suites by Marriott Boston Logan Airport Revere Beach</v>
      </c>
      <c r="H445" s="15">
        <v>46119</v>
      </c>
      <c r="I445" t="s">
        <v>14</v>
      </c>
      <c r="J445">
        <f>VLOOKUP(E445,'Room Count'!A$2:B$2616,2,FALSE)</f>
        <v>168</v>
      </c>
    </row>
    <row r="446" spans="1:10" ht="17.100000000000001">
      <c r="A446" s="13" t="s">
        <v>40</v>
      </c>
      <c r="B446" s="13" t="s">
        <v>509</v>
      </c>
      <c r="C446" s="26">
        <v>100861</v>
      </c>
      <c r="D446" s="13" t="s">
        <v>509</v>
      </c>
      <c r="E446" s="13">
        <v>644</v>
      </c>
      <c r="F446" s="13" t="s">
        <v>12</v>
      </c>
      <c r="G446" s="9" t="str">
        <f>VLOOKUP(B446,'Property Name List'!A$2:D$834,3,FALSE)</f>
        <v>SpringHill Suites by Marriott Wixom Novi</v>
      </c>
      <c r="H446" s="15">
        <v>46119</v>
      </c>
      <c r="I446" t="s">
        <v>14</v>
      </c>
      <c r="J446">
        <f>VLOOKUP(E446,'Room Count'!A$2:B$2616,2,FALSE)</f>
        <v>99</v>
      </c>
    </row>
    <row r="447" spans="1:10" ht="17.100000000000001">
      <c r="A447" s="13" t="s">
        <v>40</v>
      </c>
      <c r="B447" s="13" t="s">
        <v>510</v>
      </c>
      <c r="C447" s="26">
        <v>100859</v>
      </c>
      <c r="D447" s="13" t="s">
        <v>510</v>
      </c>
      <c r="E447" s="13">
        <v>643</v>
      </c>
      <c r="F447" s="13" t="s">
        <v>12</v>
      </c>
      <c r="G447" s="9" t="str">
        <f>VLOOKUP(B447,'Property Name List'!A$2:D$834,3,FALSE)</f>
        <v>Courtyard By Marriott Lake City</v>
      </c>
      <c r="H447" s="15">
        <v>46119</v>
      </c>
      <c r="I447" t="s">
        <v>14</v>
      </c>
      <c r="J447">
        <f>VLOOKUP(E447,'Room Count'!A$2:B$2616,2,FALSE)</f>
        <v>136</v>
      </c>
    </row>
    <row r="448" spans="1:10" ht="17.100000000000001">
      <c r="A448" s="13" t="s">
        <v>40</v>
      </c>
      <c r="B448" s="13" t="s">
        <v>511</v>
      </c>
      <c r="C448" s="26">
        <v>100857</v>
      </c>
      <c r="D448" s="13" t="s">
        <v>511</v>
      </c>
      <c r="E448" s="13">
        <v>642</v>
      </c>
      <c r="F448" s="13" t="s">
        <v>12</v>
      </c>
      <c r="G448" s="9" t="str">
        <f>VLOOKUP(B448,'Property Name List'!A$2:D$834,3,FALSE)</f>
        <v>Courtyard By Marriott Dulles Airport Chantilly</v>
      </c>
      <c r="H448" s="15">
        <v>46119</v>
      </c>
      <c r="I448" t="s">
        <v>14</v>
      </c>
      <c r="J448">
        <f>VLOOKUP(E448,'Room Count'!A$2:B$2616,2,FALSE)</f>
        <v>149</v>
      </c>
    </row>
    <row r="449" spans="1:10" ht="17.100000000000001">
      <c r="A449" s="13" t="s">
        <v>40</v>
      </c>
      <c r="B449" s="13" t="s">
        <v>512</v>
      </c>
      <c r="C449" s="26">
        <v>100855</v>
      </c>
      <c r="D449" s="13" t="s">
        <v>512</v>
      </c>
      <c r="E449" s="13">
        <v>641</v>
      </c>
      <c r="F449" s="13" t="s">
        <v>12</v>
      </c>
      <c r="G449" s="9" t="str">
        <f>VLOOKUP(B449,'Property Name List'!A$2:D$834,3,FALSE)</f>
        <v>SpringHill Suites By Marriott Columbus Dublin</v>
      </c>
      <c r="H449" s="15">
        <v>46119</v>
      </c>
      <c r="I449" t="s">
        <v>14</v>
      </c>
      <c r="J449">
        <f>VLOOKUP(E449,'Room Count'!A$2:B$2616,2,FALSE)</f>
        <v>145</v>
      </c>
    </row>
    <row r="450" spans="1:10" ht="17.100000000000001">
      <c r="A450" s="13" t="s">
        <v>40</v>
      </c>
      <c r="B450" s="13" t="s">
        <v>513</v>
      </c>
      <c r="C450" s="26">
        <v>100853</v>
      </c>
      <c r="D450" s="13" t="s">
        <v>513</v>
      </c>
      <c r="E450" s="13">
        <v>640</v>
      </c>
      <c r="F450" s="13" t="s">
        <v>12</v>
      </c>
      <c r="G450" s="9" t="str">
        <f>VLOOKUP(B450,'Property Name List'!A$2:D$834,3,FALSE)</f>
        <v>Courtyard By Marriott Wilmington Downtown</v>
      </c>
      <c r="H450" s="15">
        <v>46119</v>
      </c>
      <c r="I450" t="s">
        <v>14</v>
      </c>
      <c r="J450">
        <f>VLOOKUP(E450,'Room Count'!A$2:B$2616,2,FALSE)</f>
        <v>126</v>
      </c>
    </row>
    <row r="451" spans="1:10" ht="17.100000000000001">
      <c r="A451" s="13" t="s">
        <v>40</v>
      </c>
      <c r="B451" s="13" t="s">
        <v>514</v>
      </c>
      <c r="C451" s="26">
        <v>100851</v>
      </c>
      <c r="D451" s="13" t="s">
        <v>514</v>
      </c>
      <c r="E451" s="13">
        <v>639</v>
      </c>
      <c r="F451" s="13" t="s">
        <v>12</v>
      </c>
      <c r="G451" s="9" t="str">
        <f>VLOOKUP(B451,'Property Name List'!A$2:D$834,3,FALSE)</f>
        <v>Courtyard By Marriott Clemson</v>
      </c>
      <c r="H451" s="15">
        <v>46119</v>
      </c>
      <c r="I451" t="s">
        <v>14</v>
      </c>
      <c r="J451">
        <f>VLOOKUP(E451,'Room Count'!A$2:B$2616,2,FALSE)</f>
        <v>110</v>
      </c>
    </row>
    <row r="452" spans="1:10" ht="17.100000000000001">
      <c r="A452" s="13" t="s">
        <v>40</v>
      </c>
      <c r="B452" s="13" t="s">
        <v>515</v>
      </c>
      <c r="C452" s="26">
        <v>100849</v>
      </c>
      <c r="D452" s="13" t="s">
        <v>515</v>
      </c>
      <c r="E452" s="13">
        <v>638</v>
      </c>
      <c r="F452" s="13" t="s">
        <v>12</v>
      </c>
      <c r="G452" s="9" t="str">
        <f>VLOOKUP(B452,'Property Name List'!A$2:D$834,3,FALSE)</f>
        <v>Fairfield Inn By Marriott New York LaGuardia Airport/Flushing</v>
      </c>
      <c r="H452" s="15">
        <v>46119</v>
      </c>
      <c r="I452" t="s">
        <v>14</v>
      </c>
      <c r="J452">
        <f>VLOOKUP(E452,'Room Count'!A$2:B$2616,2,FALSE)</f>
        <v>88</v>
      </c>
    </row>
    <row r="453" spans="1:10" ht="17.100000000000001">
      <c r="A453" s="13" t="s">
        <v>40</v>
      </c>
      <c r="B453" s="13" t="s">
        <v>516</v>
      </c>
      <c r="C453" s="26">
        <v>100847</v>
      </c>
      <c r="D453" s="13" t="s">
        <v>516</v>
      </c>
      <c r="E453" s="13">
        <v>637</v>
      </c>
      <c r="F453" s="13" t="s">
        <v>12</v>
      </c>
      <c r="G453" s="9" t="str">
        <f>VLOOKUP(B453,'Property Name List'!A$2:D$834,3,FALSE)</f>
        <v>Courtyard By Marriott Hamilton</v>
      </c>
      <c r="H453" s="15">
        <v>46119</v>
      </c>
      <c r="I453" t="s">
        <v>14</v>
      </c>
      <c r="J453">
        <f>VLOOKUP(E453,'Room Count'!A$2:B$2616,2,FALSE)</f>
        <v>120</v>
      </c>
    </row>
    <row r="454" spans="1:10" ht="17.100000000000001">
      <c r="A454" s="13" t="s">
        <v>40</v>
      </c>
      <c r="B454" s="13" t="s">
        <v>517</v>
      </c>
      <c r="C454" s="26">
        <v>100845</v>
      </c>
      <c r="D454" s="13" t="s">
        <v>517</v>
      </c>
      <c r="E454" s="13">
        <v>636</v>
      </c>
      <c r="F454" s="13" t="s">
        <v>12</v>
      </c>
      <c r="G454" s="9" t="str">
        <f>VLOOKUP(B454,'Property Name List'!A$2:D$834,3,FALSE)</f>
        <v>Courtyard By Marriott High Point</v>
      </c>
      <c r="H454" s="15">
        <v>46119</v>
      </c>
      <c r="I454" t="s">
        <v>14</v>
      </c>
      <c r="J454">
        <f>VLOOKUP(E454,'Room Count'!A$2:B$2616,2,FALSE)</f>
        <v>107</v>
      </c>
    </row>
    <row r="455" spans="1:10" ht="17.100000000000001">
      <c r="A455" s="13" t="s">
        <v>40</v>
      </c>
      <c r="B455" s="13" t="s">
        <v>518</v>
      </c>
      <c r="C455" s="26">
        <v>100843</v>
      </c>
      <c r="D455" s="13" t="s">
        <v>518</v>
      </c>
      <c r="E455" s="13">
        <v>635</v>
      </c>
      <c r="F455" s="13" t="s">
        <v>12</v>
      </c>
      <c r="G455" s="9" t="str">
        <f>VLOOKUP(B455,'Property Name List'!A$2:D$834,3,FALSE)</f>
        <v>Fairfield by Marriott Inn &amp; Suites Atlanta Marietta</v>
      </c>
      <c r="H455" s="15">
        <v>46119</v>
      </c>
      <c r="I455" t="s">
        <v>14</v>
      </c>
      <c r="J455">
        <f>VLOOKUP(E455,'Room Count'!A$2:B$2616,2,FALSE)</f>
        <v>95</v>
      </c>
    </row>
    <row r="456" spans="1:10" ht="17.100000000000001">
      <c r="A456" s="13" t="s">
        <v>40</v>
      </c>
      <c r="B456" s="13" t="s">
        <v>519</v>
      </c>
      <c r="C456" s="26">
        <v>100841</v>
      </c>
      <c r="D456" s="13" t="s">
        <v>519</v>
      </c>
      <c r="E456" s="13">
        <v>634</v>
      </c>
      <c r="F456" s="13" t="s">
        <v>12</v>
      </c>
      <c r="G456" s="9" t="str">
        <f>VLOOKUP(B456,'Property Name List'!A$2:D$834,3,FALSE)</f>
        <v>Fairfield Inn &amp; Suites Fort Wayne</v>
      </c>
      <c r="H456" s="15">
        <v>46119</v>
      </c>
      <c r="I456" t="s">
        <v>14</v>
      </c>
      <c r="J456">
        <f>VLOOKUP(E456,'Room Count'!A$2:B$2616,2,FALSE)</f>
        <v>83</v>
      </c>
    </row>
    <row r="457" spans="1:10" ht="17.100000000000001">
      <c r="A457" s="13" t="s">
        <v>40</v>
      </c>
      <c r="B457" s="13" t="s">
        <v>520</v>
      </c>
      <c r="C457" s="26">
        <v>100839</v>
      </c>
      <c r="D457" s="13" t="s">
        <v>520</v>
      </c>
      <c r="E457" s="13">
        <v>633</v>
      </c>
      <c r="F457" s="13" t="s">
        <v>12</v>
      </c>
      <c r="G457" s="9" t="str">
        <f>VLOOKUP(B457,'Property Name List'!A$2:D$834,3,FALSE)</f>
        <v>Fairfield Inn &amp; Suites Greenville</v>
      </c>
      <c r="H457" s="15">
        <v>46119</v>
      </c>
      <c r="I457" t="s">
        <v>14</v>
      </c>
      <c r="J457">
        <f>VLOOKUP(E457,'Room Count'!A$2:B$2616,2,FALSE)</f>
        <v>73</v>
      </c>
    </row>
    <row r="458" spans="1:10" ht="17.100000000000001">
      <c r="A458" s="13" t="s">
        <v>40</v>
      </c>
      <c r="B458" s="13" t="s">
        <v>521</v>
      </c>
      <c r="C458" s="26">
        <v>100837</v>
      </c>
      <c r="D458" s="13" t="s">
        <v>521</v>
      </c>
      <c r="E458" s="13">
        <v>632</v>
      </c>
      <c r="F458" s="13" t="s">
        <v>12</v>
      </c>
      <c r="G458" s="9" t="str">
        <f>VLOOKUP(B458,'Property Name List'!A$2:D$834,3,FALSE)</f>
        <v>Fairfield Inn By Marriott New York LaGuardia Airport/Astoria</v>
      </c>
      <c r="H458" s="15">
        <v>46119</v>
      </c>
      <c r="I458" t="s">
        <v>14</v>
      </c>
      <c r="J458">
        <f>VLOOKUP(E458,'Room Count'!A$2:B$2616,2,FALSE)</f>
        <v>87</v>
      </c>
    </row>
    <row r="459" spans="1:10" ht="17.100000000000001">
      <c r="A459" s="13" t="s">
        <v>40</v>
      </c>
      <c r="B459" s="13" t="s">
        <v>522</v>
      </c>
      <c r="C459" s="26">
        <v>100835</v>
      </c>
      <c r="D459" s="13" t="s">
        <v>522</v>
      </c>
      <c r="E459" s="13">
        <v>631</v>
      </c>
      <c r="F459" s="13" t="s">
        <v>12</v>
      </c>
      <c r="G459" s="9" t="str">
        <f>VLOOKUP(B459,'Property Name List'!A$2:D$834,3,FALSE)</f>
        <v>AC Hotel Boston Cleveland Circle</v>
      </c>
      <c r="H459" s="15">
        <v>46119</v>
      </c>
      <c r="I459" t="s">
        <v>14</v>
      </c>
      <c r="J459">
        <f>VLOOKUP(E459,'Room Count'!A$2:B$2616,2,FALSE)</f>
        <v>164</v>
      </c>
    </row>
    <row r="460" spans="1:10" ht="17.100000000000001">
      <c r="A460" s="13" t="s">
        <v>40</v>
      </c>
      <c r="B460" s="13" t="s">
        <v>523</v>
      </c>
      <c r="C460" s="26">
        <v>100833</v>
      </c>
      <c r="D460" s="13" t="s">
        <v>523</v>
      </c>
      <c r="E460" s="13">
        <v>630</v>
      </c>
      <c r="F460" s="13" t="s">
        <v>12</v>
      </c>
      <c r="G460" s="9" t="str">
        <f>VLOOKUP(B460,'Property Name List'!A$2:D$834,3,FALSE)</f>
        <v>Courtyard By Marriott Atlanta Duluth Downtown</v>
      </c>
      <c r="H460" s="15">
        <v>46119</v>
      </c>
      <c r="I460" t="s">
        <v>14</v>
      </c>
      <c r="J460">
        <f>VLOOKUP(E460,'Room Count'!A$2:B$2616,2,FALSE)</f>
        <v>100</v>
      </c>
    </row>
    <row r="461" spans="1:10" ht="17.100000000000001">
      <c r="A461" s="13" t="s">
        <v>40</v>
      </c>
      <c r="B461" s="13" t="s">
        <v>524</v>
      </c>
      <c r="C461" s="26">
        <v>100831</v>
      </c>
      <c r="D461" s="13" t="s">
        <v>524</v>
      </c>
      <c r="E461" s="13">
        <v>629</v>
      </c>
      <c r="F461" s="13" t="s">
        <v>12</v>
      </c>
      <c r="G461" s="9" t="str">
        <f>VLOOKUP(B461,'Property Name List'!A$2:D$834,3,FALSE)</f>
        <v>Courtyard By Marriott West Orange</v>
      </c>
      <c r="H461" s="15">
        <v>46119</v>
      </c>
      <c r="I461" t="s">
        <v>14</v>
      </c>
      <c r="J461">
        <f>VLOOKUP(E461,'Room Count'!A$2:B$2616,2,FALSE)</f>
        <v>131</v>
      </c>
    </row>
    <row r="462" spans="1:10" ht="17.100000000000001">
      <c r="A462" s="13" t="s">
        <v>40</v>
      </c>
      <c r="B462" s="13" t="s">
        <v>525</v>
      </c>
      <c r="C462" s="26">
        <v>100827</v>
      </c>
      <c r="D462" s="13" t="s">
        <v>525</v>
      </c>
      <c r="E462" s="13">
        <v>627</v>
      </c>
      <c r="F462" s="13" t="s">
        <v>12</v>
      </c>
      <c r="G462" s="9" t="str">
        <f>VLOOKUP(B462,'Property Name List'!A$2:D$834,3,FALSE)</f>
        <v>Fairfield Inn &amp; Suites Columbus Canal Winchester</v>
      </c>
      <c r="H462" s="15">
        <v>46119</v>
      </c>
      <c r="I462" t="s">
        <v>14</v>
      </c>
      <c r="J462">
        <f>VLOOKUP(E462,'Room Count'!A$2:B$2616,2,FALSE)</f>
        <v>82</v>
      </c>
    </row>
    <row r="463" spans="1:10" ht="17.100000000000001">
      <c r="A463" s="13" t="s">
        <v>40</v>
      </c>
      <c r="B463" s="13" t="s">
        <v>526</v>
      </c>
      <c r="C463" s="26">
        <v>100825</v>
      </c>
      <c r="D463" s="13" t="s">
        <v>526</v>
      </c>
      <c r="E463" s="13">
        <v>626</v>
      </c>
      <c r="F463" s="13" t="s">
        <v>12</v>
      </c>
      <c r="G463" s="9" t="str">
        <f>VLOOKUP(B463,'Property Name List'!A$2:D$834,3,FALSE)</f>
        <v>Fairfield Inn &amp; Suites Chillicothe, OH</v>
      </c>
      <c r="H463" s="15">
        <v>46119</v>
      </c>
      <c r="I463" t="s">
        <v>14</v>
      </c>
      <c r="J463">
        <f>VLOOKUP(E463,'Room Count'!A$2:B$2616,2,FALSE)</f>
        <v>81</v>
      </c>
    </row>
    <row r="464" spans="1:10" ht="17.100000000000001">
      <c r="A464" s="13" t="s">
        <v>40</v>
      </c>
      <c r="B464" s="13" t="s">
        <v>527</v>
      </c>
      <c r="C464" s="26">
        <v>100823</v>
      </c>
      <c r="D464" s="13" t="s">
        <v>527</v>
      </c>
      <c r="E464" s="13">
        <v>625</v>
      </c>
      <c r="F464" s="13" t="s">
        <v>12</v>
      </c>
      <c r="G464" s="9" t="str">
        <f>VLOOKUP(B464,'Property Name List'!A$2:D$834,3,FALSE)</f>
        <v>Courtyard By Marriott Shelton</v>
      </c>
      <c r="H464" s="15">
        <v>46119</v>
      </c>
      <c r="I464" t="s">
        <v>14</v>
      </c>
      <c r="J464">
        <f>VLOOKUP(E464,'Room Count'!A$2:B$2616,2,FALSE)</f>
        <v>161</v>
      </c>
    </row>
    <row r="465" spans="1:10" ht="17.100000000000001">
      <c r="A465" s="13" t="s">
        <v>40</v>
      </c>
      <c r="B465" s="13" t="s">
        <v>528</v>
      </c>
      <c r="C465" s="26">
        <v>100821</v>
      </c>
      <c r="D465" s="13" t="s">
        <v>528</v>
      </c>
      <c r="E465" s="13">
        <v>624</v>
      </c>
      <c r="F465" s="13" t="s">
        <v>12</v>
      </c>
      <c r="G465" s="9" t="str">
        <f>VLOOKUP(B465,'Property Name List'!A$2:D$834,3,FALSE)</f>
        <v>Fairfield by Marriott Inn &amp; Suites Grand Rapids North</v>
      </c>
      <c r="H465" s="15">
        <v>46119</v>
      </c>
      <c r="I465" t="s">
        <v>14</v>
      </c>
      <c r="J465">
        <f>VLOOKUP(E465,'Room Count'!A$2:B$2616,2,FALSE)</f>
        <v>100</v>
      </c>
    </row>
    <row r="466" spans="1:10" ht="17.100000000000001">
      <c r="A466" s="13" t="s">
        <v>40</v>
      </c>
      <c r="B466" s="13" t="s">
        <v>529</v>
      </c>
      <c r="C466" s="26">
        <v>100819</v>
      </c>
      <c r="D466" s="13" t="s">
        <v>529</v>
      </c>
      <c r="E466" s="13">
        <v>623</v>
      </c>
      <c r="F466" s="13" t="s">
        <v>12</v>
      </c>
      <c r="G466" s="9" t="str">
        <f>VLOOKUP(B466,'Property Name List'!A$2:D$834,3,FALSE)</f>
        <v>Courtyard by Marriott Charlotte Waverly</v>
      </c>
      <c r="H466" s="15">
        <v>46119</v>
      </c>
      <c r="I466" t="s">
        <v>14</v>
      </c>
      <c r="J466">
        <f>VLOOKUP(E466,'Room Count'!A$2:B$2616,2,FALSE)</f>
        <v>129</v>
      </c>
    </row>
    <row r="467" spans="1:10" ht="17.100000000000001">
      <c r="A467" s="13" t="s">
        <v>40</v>
      </c>
      <c r="B467" s="13" t="s">
        <v>530</v>
      </c>
      <c r="C467" s="26">
        <v>100817</v>
      </c>
      <c r="D467" s="13" t="s">
        <v>530</v>
      </c>
      <c r="E467" s="13">
        <v>622</v>
      </c>
      <c r="F467" s="13" t="s">
        <v>12</v>
      </c>
      <c r="G467" s="9" t="str">
        <f>VLOOKUP(B467,'Property Name List'!A$2:D$834,3,FALSE)</f>
        <v>Moxy Charleston Downtown</v>
      </c>
      <c r="H467" s="15">
        <v>46119</v>
      </c>
      <c r="I467" t="s">
        <v>14</v>
      </c>
      <c r="J467">
        <f>VLOOKUP(E467,'Room Count'!A$2:B$2616,2,FALSE)</f>
        <v>131</v>
      </c>
    </row>
    <row r="468" spans="1:10" ht="17.100000000000001">
      <c r="A468" s="13" t="s">
        <v>40</v>
      </c>
      <c r="B468" s="13" t="s">
        <v>531</v>
      </c>
      <c r="C468" s="26">
        <v>100815</v>
      </c>
      <c r="D468" s="13" t="s">
        <v>531</v>
      </c>
      <c r="E468" s="13">
        <v>621</v>
      </c>
      <c r="F468" s="13" t="s">
        <v>12</v>
      </c>
      <c r="G468" s="9" t="str">
        <f>VLOOKUP(B468,'Property Name List'!A$2:D$834,3,FALSE)</f>
        <v>Fairfield by Marriott Inn &amp; Suites Morganton Historic Downtown</v>
      </c>
      <c r="H468" s="15">
        <v>46119</v>
      </c>
      <c r="I468" t="s">
        <v>14</v>
      </c>
      <c r="J468">
        <f>VLOOKUP(E468,'Room Count'!A$2:B$2616,2,FALSE)</f>
        <v>85</v>
      </c>
    </row>
    <row r="469" spans="1:10" ht="17.100000000000001">
      <c r="A469" s="13" t="s">
        <v>40</v>
      </c>
      <c r="B469" s="13" t="s">
        <v>532</v>
      </c>
      <c r="C469" s="26">
        <v>100813</v>
      </c>
      <c r="D469" s="13" t="s">
        <v>532</v>
      </c>
      <c r="E469" s="13">
        <v>620</v>
      </c>
      <c r="F469" s="13" t="s">
        <v>12</v>
      </c>
      <c r="G469" s="9" t="str">
        <f>VLOOKUP(B469,'Property Name List'!A$2:D$834,3,FALSE)</f>
        <v>Fairfield Inn &amp; Suites Gatlinburg Downtown</v>
      </c>
      <c r="H469" s="15">
        <v>46119</v>
      </c>
      <c r="I469" t="s">
        <v>14</v>
      </c>
      <c r="J469">
        <f>VLOOKUP(E469,'Room Count'!A$2:B$2616,2,FALSE)</f>
        <v>98</v>
      </c>
    </row>
    <row r="470" spans="1:10" ht="17.100000000000001">
      <c r="A470" s="13" t="s">
        <v>40</v>
      </c>
      <c r="B470" s="13" t="s">
        <v>533</v>
      </c>
      <c r="C470" s="26">
        <v>100811</v>
      </c>
      <c r="D470" s="13" t="s">
        <v>533</v>
      </c>
      <c r="E470" s="13">
        <v>619</v>
      </c>
      <c r="F470" s="13" t="s">
        <v>12</v>
      </c>
      <c r="G470" s="9" t="str">
        <f>VLOOKUP(B470,'Property Name List'!A$2:D$834,3,FALSE)</f>
        <v>Fairfield Inn &amp; Suites Atlanta Stockbridge</v>
      </c>
      <c r="H470" s="15">
        <v>46119</v>
      </c>
      <c r="I470" t="s">
        <v>14</v>
      </c>
      <c r="J470">
        <f>VLOOKUP(E470,'Room Count'!A$2:B$2616,2,FALSE)</f>
        <v>92</v>
      </c>
    </row>
    <row r="471" spans="1:10" ht="17.100000000000001">
      <c r="A471" s="13" t="s">
        <v>40</v>
      </c>
      <c r="B471" s="13" t="s">
        <v>534</v>
      </c>
      <c r="C471" s="26">
        <v>100809</v>
      </c>
      <c r="D471" s="13" t="s">
        <v>534</v>
      </c>
      <c r="E471" s="13">
        <v>618</v>
      </c>
      <c r="F471" s="13" t="s">
        <v>12</v>
      </c>
      <c r="G471" s="9" t="str">
        <f>VLOOKUP(B471,'Property Name List'!A$2:D$834,3,FALSE)</f>
        <v>Fairfield Inn By Marriott New York JFK Airport</v>
      </c>
      <c r="H471" s="15">
        <v>46119</v>
      </c>
      <c r="I471" t="s">
        <v>14</v>
      </c>
      <c r="J471">
        <f>VLOOKUP(E471,'Room Count'!A$2:B$2616,2,FALSE)</f>
        <v>110</v>
      </c>
    </row>
    <row r="472" spans="1:10" ht="17.100000000000001">
      <c r="A472" s="13" t="s">
        <v>40</v>
      </c>
      <c r="B472" s="13" t="s">
        <v>535</v>
      </c>
      <c r="C472" s="26">
        <v>100807</v>
      </c>
      <c r="D472" s="13" t="s">
        <v>535</v>
      </c>
      <c r="E472" s="13">
        <v>617</v>
      </c>
      <c r="F472" s="13" t="s">
        <v>12</v>
      </c>
      <c r="G472" s="9" t="str">
        <f>VLOOKUP(B472,'Property Name List'!A$2:D$834,3,FALSE)</f>
        <v>Courtyard By Marriott Hartford Cromwell</v>
      </c>
      <c r="H472" s="15">
        <v>46119</v>
      </c>
      <c r="I472" t="s">
        <v>14</v>
      </c>
      <c r="J472">
        <f>VLOOKUP(E472,'Room Count'!A$2:B$2616,2,FALSE)</f>
        <v>145</v>
      </c>
    </row>
    <row r="473" spans="1:10" ht="17.100000000000001">
      <c r="A473" s="13" t="s">
        <v>40</v>
      </c>
      <c r="B473" s="13" t="s">
        <v>536</v>
      </c>
      <c r="C473" s="26">
        <v>100805</v>
      </c>
      <c r="D473" s="13" t="s">
        <v>536</v>
      </c>
      <c r="E473" s="13">
        <v>616</v>
      </c>
      <c r="F473" s="13" t="s">
        <v>12</v>
      </c>
      <c r="G473" s="9" t="str">
        <f>VLOOKUP(B473,'Property Name List'!A$2:D$834,3,FALSE)</f>
        <v>Fairfield Inn &amp; Suites Ann Arbor Ypsilanti</v>
      </c>
      <c r="H473" s="15">
        <v>46119</v>
      </c>
      <c r="I473" t="s">
        <v>14</v>
      </c>
      <c r="J473">
        <f>VLOOKUP(E473,'Room Count'!A$2:B$2616,2,FALSE)</f>
        <v>100</v>
      </c>
    </row>
    <row r="474" spans="1:10" ht="17.100000000000001">
      <c r="A474" s="13" t="s">
        <v>40</v>
      </c>
      <c r="B474" s="13" t="s">
        <v>537</v>
      </c>
      <c r="C474" s="26">
        <v>100803</v>
      </c>
      <c r="D474" s="13" t="s">
        <v>537</v>
      </c>
      <c r="E474" s="13">
        <v>615</v>
      </c>
      <c r="F474" s="13" t="s">
        <v>12</v>
      </c>
      <c r="G474" s="9" t="str">
        <f>VLOOKUP(B474,'Property Name List'!A$2:D$834,3,FALSE)</f>
        <v>AC Hotel Asheville Downtown</v>
      </c>
      <c r="H474" s="15">
        <v>46119</v>
      </c>
      <c r="I474" t="s">
        <v>14</v>
      </c>
      <c r="J474">
        <f>VLOOKUP(E474,'Room Count'!A$2:B$2616,2,FALSE)</f>
        <v>132</v>
      </c>
    </row>
    <row r="475" spans="1:10" ht="17.100000000000001">
      <c r="A475" s="13" t="s">
        <v>40</v>
      </c>
      <c r="B475" s="13" t="s">
        <v>538</v>
      </c>
      <c r="C475" s="26">
        <v>100801</v>
      </c>
      <c r="D475" s="13" t="s">
        <v>538</v>
      </c>
      <c r="E475" s="13">
        <v>614</v>
      </c>
      <c r="F475" s="13" t="s">
        <v>12</v>
      </c>
      <c r="G475" s="9" t="str">
        <f>VLOOKUP(B475,'Property Name List'!A$2:D$834,3,FALSE)</f>
        <v>SpringHill Suites By Marriott Wilmington Wrightsville Beach</v>
      </c>
      <c r="H475" s="15">
        <v>46119</v>
      </c>
      <c r="I475" t="s">
        <v>14</v>
      </c>
      <c r="J475">
        <f>VLOOKUP(E475,'Room Count'!A$2:B$2616,2,FALSE)</f>
        <v>120</v>
      </c>
    </row>
    <row r="476" spans="1:10" ht="17.100000000000001">
      <c r="A476" s="13" t="s">
        <v>40</v>
      </c>
      <c r="B476" s="13" t="s">
        <v>539</v>
      </c>
      <c r="C476" s="26">
        <v>100799</v>
      </c>
      <c r="D476" s="13" t="s">
        <v>539</v>
      </c>
      <c r="E476" s="13">
        <v>613</v>
      </c>
      <c r="F476" s="13" t="s">
        <v>12</v>
      </c>
      <c r="G476" s="9" t="str">
        <f>VLOOKUP(B476,'Property Name List'!A$2:D$834,3,FALSE)</f>
        <v>Fairfield Inn &amp; Suites Atlanta Fairburn</v>
      </c>
      <c r="H476" s="15">
        <v>46119</v>
      </c>
      <c r="I476" t="s">
        <v>14</v>
      </c>
      <c r="J476">
        <f>VLOOKUP(E476,'Room Count'!A$2:B$2616,2,FALSE)</f>
        <v>87</v>
      </c>
    </row>
    <row r="477" spans="1:10" ht="17.100000000000001">
      <c r="A477" s="13" t="s">
        <v>40</v>
      </c>
      <c r="B477" s="13" t="s">
        <v>540</v>
      </c>
      <c r="C477" s="26">
        <v>100797</v>
      </c>
      <c r="D477" s="13" t="s">
        <v>540</v>
      </c>
      <c r="E477" s="13">
        <v>612</v>
      </c>
      <c r="F477" s="13" t="s">
        <v>12</v>
      </c>
      <c r="G477" s="9" t="str">
        <f>VLOOKUP(B477,'Property Name List'!A$2:D$834,3,FALSE)</f>
        <v>Courtyard By Marriott Boone</v>
      </c>
      <c r="H477" s="15">
        <v>46119</v>
      </c>
      <c r="I477" t="s">
        <v>14</v>
      </c>
      <c r="J477">
        <f>VLOOKUP(E477,'Room Count'!A$2:B$2616,2,FALSE)</f>
        <v>100</v>
      </c>
    </row>
    <row r="478" spans="1:10" ht="17.100000000000001">
      <c r="A478" s="13" t="s">
        <v>40</v>
      </c>
      <c r="B478" s="13" t="s">
        <v>541</v>
      </c>
      <c r="C478" s="26">
        <v>100795</v>
      </c>
      <c r="D478" s="13" t="s">
        <v>541</v>
      </c>
      <c r="E478" s="13">
        <v>611</v>
      </c>
      <c r="F478" s="13" t="s">
        <v>12</v>
      </c>
      <c r="G478" s="9" t="str">
        <f>VLOOKUP(B478,'Property Name List'!A$2:D$834,3,FALSE)</f>
        <v>Fairfield by Marriott Inn &amp; Suites Columbus Marysville</v>
      </c>
      <c r="H478" s="15">
        <v>46119</v>
      </c>
      <c r="I478" t="s">
        <v>14</v>
      </c>
      <c r="J478">
        <f>VLOOKUP(E478,'Room Count'!A$2:B$2616,2,FALSE)</f>
        <v>84</v>
      </c>
    </row>
    <row r="479" spans="1:10" ht="17.100000000000001">
      <c r="A479" s="13" t="s">
        <v>40</v>
      </c>
      <c r="B479" s="13" t="s">
        <v>542</v>
      </c>
      <c r="C479" s="26">
        <v>100793</v>
      </c>
      <c r="D479" s="13" t="s">
        <v>542</v>
      </c>
      <c r="E479" s="13">
        <v>610</v>
      </c>
      <c r="F479" s="13" t="s">
        <v>12</v>
      </c>
      <c r="G479" s="9" t="str">
        <f>VLOOKUP(B479,'Property Name List'!A$2:D$834,3,FALSE)</f>
        <v>SpringHill Suites By Marriott Charlotte Ballantyne</v>
      </c>
      <c r="H479" s="15">
        <v>46119</v>
      </c>
      <c r="I479" t="s">
        <v>14</v>
      </c>
      <c r="J479">
        <f>VLOOKUP(E479,'Room Count'!A$2:B$2616,2,FALSE)</f>
        <v>164</v>
      </c>
    </row>
    <row r="480" spans="1:10" ht="17.100000000000001">
      <c r="A480" s="13" t="s">
        <v>40</v>
      </c>
      <c r="B480" s="13" t="s">
        <v>543</v>
      </c>
      <c r="C480" s="26">
        <v>100791</v>
      </c>
      <c r="D480" s="13" t="s">
        <v>543</v>
      </c>
      <c r="E480" s="13">
        <v>609</v>
      </c>
      <c r="F480" s="13" t="s">
        <v>12</v>
      </c>
      <c r="G480" s="9" t="str">
        <f>VLOOKUP(B480,'Property Name List'!A$2:D$834,3,FALSE)</f>
        <v>SpringHill Suites By Marriott East Lansing University Area</v>
      </c>
      <c r="H480" s="15">
        <v>46119</v>
      </c>
      <c r="I480" t="s">
        <v>14</v>
      </c>
      <c r="J480">
        <f>VLOOKUP(E480,'Room Count'!A$2:B$2616,2,FALSE)</f>
        <v>88</v>
      </c>
    </row>
    <row r="481" spans="1:10" ht="17.100000000000001">
      <c r="A481" s="13" t="s">
        <v>40</v>
      </c>
      <c r="B481" s="13" t="s">
        <v>544</v>
      </c>
      <c r="C481" s="26">
        <v>100789</v>
      </c>
      <c r="D481" s="13" t="s">
        <v>544</v>
      </c>
      <c r="E481" s="13">
        <v>608</v>
      </c>
      <c r="F481" s="13" t="s">
        <v>12</v>
      </c>
      <c r="G481" s="9" t="str">
        <f>VLOOKUP(B481,'Property Name List'!A$2:D$834,3,FALSE)</f>
        <v>Fairfield by Marriott Inn &amp; Suites Sandusky</v>
      </c>
      <c r="H481" s="15">
        <v>46119</v>
      </c>
      <c r="I481" t="s">
        <v>14</v>
      </c>
      <c r="J481">
        <f>VLOOKUP(E481,'Room Count'!A$2:B$2616,2,FALSE)</f>
        <v>99</v>
      </c>
    </row>
    <row r="482" spans="1:10" ht="17.100000000000001" hidden="1">
      <c r="A482" s="13" t="s">
        <v>42</v>
      </c>
      <c r="B482" s="13" t="s">
        <v>545</v>
      </c>
      <c r="C482" s="26">
        <v>100787</v>
      </c>
      <c r="D482" s="13" t="s">
        <v>545</v>
      </c>
      <c r="E482" s="13">
        <v>607</v>
      </c>
      <c r="F482" s="13" t="s">
        <v>12</v>
      </c>
      <c r="G482" s="9" t="str">
        <f>VLOOKUP(B482,'Property Name List'!A$2:D$834,3,FALSE)</f>
        <v>Courtyard By Marriott Columbus West/Hilliard</v>
      </c>
      <c r="H482" s="13" t="s">
        <v>42</v>
      </c>
      <c r="I482" t="s">
        <v>14</v>
      </c>
      <c r="J482">
        <f>VLOOKUP(E482,'Room Count'!A$2:B$2616,2,FALSE)</f>
        <v>150</v>
      </c>
    </row>
    <row r="483" spans="1:10" ht="17.100000000000001">
      <c r="A483" s="13" t="s">
        <v>40</v>
      </c>
      <c r="B483" s="13" t="s">
        <v>546</v>
      </c>
      <c r="C483" s="26">
        <v>100785</v>
      </c>
      <c r="D483" s="13" t="s">
        <v>546</v>
      </c>
      <c r="E483" s="13">
        <v>606</v>
      </c>
      <c r="F483" s="13" t="s">
        <v>12</v>
      </c>
      <c r="G483" s="9" t="str">
        <f>VLOOKUP(B483,'Property Name List'!A$2:D$834,3,FALSE)</f>
        <v>Courtyard By Marriott Boston Copley Square</v>
      </c>
      <c r="H483" s="15">
        <v>46119</v>
      </c>
      <c r="I483" t="s">
        <v>14</v>
      </c>
      <c r="J483">
        <f>VLOOKUP(E483,'Room Count'!A$2:B$2616,2,FALSE)</f>
        <v>81</v>
      </c>
    </row>
    <row r="484" spans="1:10" ht="17.100000000000001">
      <c r="A484" s="13" t="s">
        <v>40</v>
      </c>
      <c r="B484" s="13" t="s">
        <v>547</v>
      </c>
      <c r="C484" s="26">
        <v>100783</v>
      </c>
      <c r="D484" s="13" t="s">
        <v>547</v>
      </c>
      <c r="E484" s="13">
        <v>605</v>
      </c>
      <c r="F484" s="13" t="s">
        <v>12</v>
      </c>
      <c r="G484" s="9" t="str">
        <f>VLOOKUP(B484,'Property Name List'!A$2:D$834,3,FALSE)</f>
        <v>SpringHill Suites By Marriott Albany-Colonie</v>
      </c>
      <c r="H484" s="15">
        <v>46119</v>
      </c>
      <c r="I484" t="s">
        <v>14</v>
      </c>
      <c r="J484">
        <f>VLOOKUP(E484,'Room Count'!A$2:B$2616,2,FALSE)</f>
        <v>119</v>
      </c>
    </row>
    <row r="485" spans="1:10" ht="17.100000000000001">
      <c r="A485" s="13" t="s">
        <v>40</v>
      </c>
      <c r="B485" s="13" t="s">
        <v>548</v>
      </c>
      <c r="C485" s="26">
        <v>100781</v>
      </c>
      <c r="D485" s="13" t="s">
        <v>548</v>
      </c>
      <c r="E485" s="13">
        <v>604</v>
      </c>
      <c r="F485" s="13" t="s">
        <v>12</v>
      </c>
      <c r="G485" s="9" t="str">
        <f>VLOOKUP(B485,'Property Name List'!A$2:D$834,3,FALSE)</f>
        <v>SpringHill Suites By Marriott Cincinnati Midtown</v>
      </c>
      <c r="H485" s="15">
        <v>46119</v>
      </c>
      <c r="I485" t="s">
        <v>14</v>
      </c>
      <c r="J485">
        <f>VLOOKUP(E485,'Room Count'!A$2:B$2616,2,FALSE)</f>
        <v>122</v>
      </c>
    </row>
    <row r="486" spans="1:10" ht="17.100000000000001">
      <c r="A486" s="13" t="s">
        <v>40</v>
      </c>
      <c r="B486" s="13" t="s">
        <v>549</v>
      </c>
      <c r="C486" s="26">
        <v>100779</v>
      </c>
      <c r="D486" s="13" t="s">
        <v>549</v>
      </c>
      <c r="E486" s="13">
        <v>603</v>
      </c>
      <c r="F486" s="13" t="s">
        <v>12</v>
      </c>
      <c r="G486" s="9" t="str">
        <f>VLOOKUP(B486,'Property Name List'!A$2:D$834,3,FALSE)</f>
        <v>Fairfield Inn &amp; Suites Atlanta Buckhead</v>
      </c>
      <c r="H486" s="15">
        <v>46119</v>
      </c>
      <c r="I486" t="s">
        <v>14</v>
      </c>
      <c r="J486">
        <f>VLOOKUP(E486,'Room Count'!A$2:B$2616,2,FALSE)</f>
        <v>115</v>
      </c>
    </row>
    <row r="487" spans="1:10" ht="17.100000000000001">
      <c r="A487" s="13" t="s">
        <v>40</v>
      </c>
      <c r="B487" s="13" t="s">
        <v>550</v>
      </c>
      <c r="C487" s="26">
        <v>100777</v>
      </c>
      <c r="D487" s="13" t="s">
        <v>550</v>
      </c>
      <c r="E487" s="13">
        <v>602</v>
      </c>
      <c r="F487" s="13" t="s">
        <v>12</v>
      </c>
      <c r="G487" s="9" t="str">
        <f>VLOOKUP(B487,'Property Name List'!A$2:D$834,3,FALSE)</f>
        <v>Courtyard By Marriott East Lansing Okemos</v>
      </c>
      <c r="H487" s="15">
        <v>46119</v>
      </c>
      <c r="I487" t="s">
        <v>14</v>
      </c>
      <c r="J487">
        <f>VLOOKUP(E487,'Room Count'!A$2:B$2616,2,FALSE)</f>
        <v>105</v>
      </c>
    </row>
    <row r="488" spans="1:10" ht="17.100000000000001">
      <c r="A488" s="13" t="s">
        <v>40</v>
      </c>
      <c r="B488" s="13" t="s">
        <v>551</v>
      </c>
      <c r="C488" s="26">
        <v>100775</v>
      </c>
      <c r="D488" s="13" t="s">
        <v>551</v>
      </c>
      <c r="E488" s="13">
        <v>601</v>
      </c>
      <c r="F488" s="13" t="s">
        <v>12</v>
      </c>
      <c r="G488" s="9" t="str">
        <f>VLOOKUP(B488,'Property Name List'!A$2:D$834,3,FALSE)</f>
        <v>Fairfield by Marriott Inn &amp; Suites Alpharetta Avalon Area</v>
      </c>
      <c r="H488" s="15">
        <v>46119</v>
      </c>
      <c r="I488" t="s">
        <v>14</v>
      </c>
      <c r="J488">
        <f>VLOOKUP(E488,'Room Count'!A$2:B$2616,2,FALSE)</f>
        <v>166</v>
      </c>
    </row>
    <row r="489" spans="1:10" ht="17.100000000000001">
      <c r="A489" s="13" t="s">
        <v>40</v>
      </c>
      <c r="B489" s="13" t="s">
        <v>552</v>
      </c>
      <c r="C489" s="26">
        <v>100773</v>
      </c>
      <c r="D489" s="13" t="s">
        <v>552</v>
      </c>
      <c r="E489" s="13">
        <v>600</v>
      </c>
      <c r="F489" s="13" t="s">
        <v>12</v>
      </c>
      <c r="G489" s="9" t="str">
        <f>VLOOKUP(B489,'Property Name List'!A$2:D$834,3,FALSE)</f>
        <v>Fairfield Inn &amp; Suites Atlanta Woodstock</v>
      </c>
      <c r="H489" s="15">
        <v>46119</v>
      </c>
      <c r="I489" t="s">
        <v>14</v>
      </c>
      <c r="J489">
        <f>VLOOKUP(E489,'Room Count'!A$2:B$2616,2,FALSE)</f>
        <v>82</v>
      </c>
    </row>
    <row r="490" spans="1:10" ht="17.100000000000001">
      <c r="A490" s="13" t="s">
        <v>40</v>
      </c>
      <c r="B490" s="13" t="s">
        <v>553</v>
      </c>
      <c r="C490" s="26">
        <v>100771</v>
      </c>
      <c r="D490" s="13" t="s">
        <v>553</v>
      </c>
      <c r="E490" s="13">
        <v>599</v>
      </c>
      <c r="F490" s="13" t="s">
        <v>12</v>
      </c>
      <c r="G490" s="9" t="str">
        <f>VLOOKUP(B490,'Property Name List'!A$2:D$834,3,FALSE)</f>
        <v>Fairfield Inn &amp; Suites Detroit Taylor</v>
      </c>
      <c r="H490" s="15">
        <v>46119</v>
      </c>
      <c r="I490" t="s">
        <v>14</v>
      </c>
      <c r="J490">
        <f>VLOOKUP(E490,'Room Count'!A$2:B$2616,2,FALSE)</f>
        <v>100</v>
      </c>
    </row>
    <row r="491" spans="1:10" ht="17.100000000000001">
      <c r="A491" s="13" t="s">
        <v>40</v>
      </c>
      <c r="B491" s="13" t="s">
        <v>554</v>
      </c>
      <c r="C491" s="26">
        <v>100769</v>
      </c>
      <c r="D491" s="13" t="s">
        <v>554</v>
      </c>
      <c r="E491" s="13">
        <v>598</v>
      </c>
      <c r="F491" s="13" t="s">
        <v>12</v>
      </c>
      <c r="G491" s="9" t="str">
        <f>VLOOKUP(B491,'Property Name List'!A$2:D$834,3,FALSE)</f>
        <v>Fairfield Inn &amp; Suites Huntington</v>
      </c>
      <c r="H491" s="15">
        <v>46119</v>
      </c>
      <c r="I491" t="s">
        <v>14</v>
      </c>
      <c r="J491">
        <f>VLOOKUP(E491,'Room Count'!A$2:B$2616,2,FALSE)</f>
        <v>106</v>
      </c>
    </row>
    <row r="492" spans="1:10" ht="17.100000000000001">
      <c r="A492" s="13" t="s">
        <v>40</v>
      </c>
      <c r="B492" s="13" t="s">
        <v>555</v>
      </c>
      <c r="C492" s="26">
        <v>100767</v>
      </c>
      <c r="D492" s="13" t="s">
        <v>555</v>
      </c>
      <c r="E492" s="13">
        <v>597</v>
      </c>
      <c r="F492" s="13" t="s">
        <v>12</v>
      </c>
      <c r="G492" s="9" t="str">
        <f>VLOOKUP(B492,'Property Name List'!A$2:D$834,3,FALSE)</f>
        <v>Courtyard By Marriott Salisbury</v>
      </c>
      <c r="H492" s="15">
        <v>46119</v>
      </c>
      <c r="I492" t="s">
        <v>14</v>
      </c>
      <c r="J492">
        <f>VLOOKUP(E492,'Room Count'!A$2:B$2616,2,FALSE)</f>
        <v>94</v>
      </c>
    </row>
    <row r="493" spans="1:10" ht="17.100000000000001">
      <c r="A493" s="13" t="s">
        <v>40</v>
      </c>
      <c r="B493" s="13" t="s">
        <v>556</v>
      </c>
      <c r="C493" s="26">
        <v>100765</v>
      </c>
      <c r="D493" s="13" t="s">
        <v>556</v>
      </c>
      <c r="E493" s="13">
        <v>596</v>
      </c>
      <c r="F493" s="13" t="s">
        <v>12</v>
      </c>
      <c r="G493" s="9" t="str">
        <f>VLOOKUP(B493,'Property Name List'!A$2:D$834,3,FALSE)</f>
        <v>Fairfield by Marriott Inn &amp; Suites Charlotte Belmont</v>
      </c>
      <c r="H493" s="15">
        <v>46119</v>
      </c>
      <c r="I493" t="s">
        <v>14</v>
      </c>
      <c r="J493">
        <f>VLOOKUP(E493,'Room Count'!A$2:B$2616,2,FALSE)</f>
        <v>91</v>
      </c>
    </row>
    <row r="494" spans="1:10" ht="33.950000000000003">
      <c r="A494" s="13" t="s">
        <v>40</v>
      </c>
      <c r="B494" s="13" t="s">
        <v>557</v>
      </c>
      <c r="C494" s="26">
        <v>100763</v>
      </c>
      <c r="D494" s="13" t="s">
        <v>557</v>
      </c>
      <c r="E494" s="13">
        <v>595</v>
      </c>
      <c r="F494" s="13" t="s">
        <v>12</v>
      </c>
      <c r="G494" s="9" t="str">
        <f>VLOOKUP(B494,'Property Name List'!A$2:D$834,3,FALSE)</f>
        <v>Courtyard By Marriott Fort Wayne Downtown at Grand Wayne Convention Center</v>
      </c>
      <c r="H494" s="15">
        <v>46119</v>
      </c>
      <c r="I494" t="s">
        <v>14</v>
      </c>
      <c r="J494">
        <f>VLOOKUP(E494,'Room Count'!A$2:B$2616,2,FALSE)</f>
        <v>250</v>
      </c>
    </row>
    <row r="495" spans="1:10" ht="17.100000000000001">
      <c r="A495" s="13" t="s">
        <v>40</v>
      </c>
      <c r="B495" s="13" t="s">
        <v>558</v>
      </c>
      <c r="C495" s="26">
        <v>100761</v>
      </c>
      <c r="D495" s="13" t="s">
        <v>558</v>
      </c>
      <c r="E495" s="13">
        <v>594</v>
      </c>
      <c r="F495" s="13" t="s">
        <v>12</v>
      </c>
      <c r="G495" s="9" t="str">
        <f>VLOOKUP(B495,'Property Name List'!A$2:D$834,3,FALSE)</f>
        <v>SpringHill Suites By Marriott Cincinnati Blue Ash</v>
      </c>
      <c r="H495" s="15">
        <v>46119</v>
      </c>
      <c r="I495" t="s">
        <v>14</v>
      </c>
      <c r="J495">
        <f>VLOOKUP(E495,'Room Count'!A$2:B$2616,2,FALSE)</f>
        <v>100</v>
      </c>
    </row>
    <row r="496" spans="1:10" ht="17.100000000000001">
      <c r="A496" s="13" t="s">
        <v>40</v>
      </c>
      <c r="B496" s="13" t="s">
        <v>559</v>
      </c>
      <c r="C496" s="26">
        <v>100759</v>
      </c>
      <c r="D496" s="13" t="s">
        <v>559</v>
      </c>
      <c r="E496" s="13">
        <v>593</v>
      </c>
      <c r="F496" s="13" t="s">
        <v>12</v>
      </c>
      <c r="G496" s="9" t="str">
        <f>VLOOKUP(B496,'Property Name List'!A$2:D$834,3,FALSE)</f>
        <v>Courtyard By Marriott Muncie at Horizon Convention Center</v>
      </c>
      <c r="H496" s="15">
        <v>46119</v>
      </c>
      <c r="I496" t="s">
        <v>14</v>
      </c>
      <c r="J496">
        <f>VLOOKUP(E496,'Room Count'!A$2:B$2616,2,FALSE)</f>
        <v>150</v>
      </c>
    </row>
    <row r="497" spans="1:10" ht="17.100000000000001">
      <c r="A497" s="13" t="s">
        <v>40</v>
      </c>
      <c r="B497" s="13" t="s">
        <v>560</v>
      </c>
      <c r="C497" s="26">
        <v>100757</v>
      </c>
      <c r="D497" s="13" t="s">
        <v>560</v>
      </c>
      <c r="E497" s="13">
        <v>592</v>
      </c>
      <c r="F497" s="13" t="s">
        <v>12</v>
      </c>
      <c r="G497" s="9" t="str">
        <f>VLOOKUP(B497,'Property Name List'!A$2:D$834,3,FALSE)</f>
        <v>SpringHill Suites By Marriott Atlanta Perimeter Center</v>
      </c>
      <c r="H497" s="15">
        <v>46119</v>
      </c>
      <c r="I497" t="s">
        <v>14</v>
      </c>
      <c r="J497">
        <f>VLOOKUP(E497,'Room Count'!A$2:B$2616,2,FALSE)</f>
        <v>150</v>
      </c>
    </row>
    <row r="498" spans="1:10" ht="17.100000000000001">
      <c r="A498" s="13" t="s">
        <v>40</v>
      </c>
      <c r="B498" s="13" t="s">
        <v>561</v>
      </c>
      <c r="C498" s="26">
        <v>100755</v>
      </c>
      <c r="D498" s="13" t="s">
        <v>561</v>
      </c>
      <c r="E498" s="13">
        <v>591</v>
      </c>
      <c r="F498" s="13" t="s">
        <v>12</v>
      </c>
      <c r="G498" s="9" t="str">
        <f>VLOOKUP(B498,'Property Name List'!A$2:D$834,3,FALSE)</f>
        <v>SpringHill Suites By Marriott Atlanta Six Flags</v>
      </c>
      <c r="H498" s="15">
        <v>46119</v>
      </c>
      <c r="I498" t="s">
        <v>14</v>
      </c>
      <c r="J498">
        <f>VLOOKUP(E498,'Room Count'!A$2:B$2616,2,FALSE)</f>
        <v>78</v>
      </c>
    </row>
    <row r="499" spans="1:10" ht="17.100000000000001">
      <c r="A499" s="13" t="s">
        <v>40</v>
      </c>
      <c r="B499" s="13" t="s">
        <v>562</v>
      </c>
      <c r="C499" s="26">
        <v>100753</v>
      </c>
      <c r="D499" s="13" t="s">
        <v>562</v>
      </c>
      <c r="E499" s="13">
        <v>590</v>
      </c>
      <c r="F499" s="13" t="s">
        <v>12</v>
      </c>
      <c r="G499" s="9" t="str">
        <f>VLOOKUP(B499,'Property Name List'!A$2:D$834,3,FALSE)</f>
        <v>Courtyard By Marriott Atlanta Buford/Mall of Georgia</v>
      </c>
      <c r="H499" s="15">
        <v>46119</v>
      </c>
      <c r="I499" t="s">
        <v>14</v>
      </c>
      <c r="J499">
        <f>VLOOKUP(E499,'Room Count'!A$2:B$2616,2,FALSE)</f>
        <v>110</v>
      </c>
    </row>
    <row r="500" spans="1:10" ht="17.100000000000001">
      <c r="A500" s="13" t="s">
        <v>40</v>
      </c>
      <c r="B500" s="13" t="s">
        <v>563</v>
      </c>
      <c r="C500" s="26">
        <v>100751</v>
      </c>
      <c r="D500" s="13" t="s">
        <v>563</v>
      </c>
      <c r="E500" s="13">
        <v>589</v>
      </c>
      <c r="F500" s="13" t="s">
        <v>12</v>
      </c>
      <c r="G500" s="9" t="str">
        <f>VLOOKUP(B500,'Property Name List'!A$2:D$834,3,FALSE)</f>
        <v>SpringHill Suites by Marriott Fayetteville I 95</v>
      </c>
      <c r="H500" s="15">
        <v>46119</v>
      </c>
      <c r="I500" t="s">
        <v>14</v>
      </c>
      <c r="J500">
        <f>VLOOKUP(E500,'Room Count'!A$2:B$2616,2,FALSE)</f>
        <v>119</v>
      </c>
    </row>
    <row r="501" spans="1:10" ht="17.100000000000001">
      <c r="A501" s="13" t="s">
        <v>40</v>
      </c>
      <c r="B501" s="13" t="s">
        <v>564</v>
      </c>
      <c r="C501" s="26">
        <v>100749</v>
      </c>
      <c r="D501" s="13" t="s">
        <v>564</v>
      </c>
      <c r="E501" s="13">
        <v>588</v>
      </c>
      <c r="F501" s="13" t="s">
        <v>12</v>
      </c>
      <c r="G501" s="9" t="str">
        <f>VLOOKUP(B501,'Property Name List'!A$2:D$834,3,FALSE)</f>
        <v>Fairfield Inn &amp; Suites Atlanta Buford/Mall of Georgia</v>
      </c>
      <c r="H501" s="15">
        <v>46119</v>
      </c>
      <c r="I501" t="s">
        <v>14</v>
      </c>
      <c r="J501">
        <f>VLOOKUP(E501,'Room Count'!A$2:B$2616,2,FALSE)</f>
        <v>96</v>
      </c>
    </row>
    <row r="502" spans="1:10" ht="17.100000000000001">
      <c r="A502" s="13" t="s">
        <v>40</v>
      </c>
      <c r="B502" s="13" t="s">
        <v>565</v>
      </c>
      <c r="C502" s="26">
        <v>100745</v>
      </c>
      <c r="D502" s="13" t="s">
        <v>565</v>
      </c>
      <c r="E502" s="13">
        <v>586</v>
      </c>
      <c r="F502" s="13" t="s">
        <v>12</v>
      </c>
      <c r="G502" s="9" t="str">
        <f>VLOOKUP(B502,'Property Name List'!A$2:D$834,3,FALSE)</f>
        <v>Courtyard By Marriott Boston Downtown/North Station</v>
      </c>
      <c r="H502" s="15">
        <v>46119</v>
      </c>
      <c r="I502" t="s">
        <v>14</v>
      </c>
      <c r="J502">
        <f>VLOOKUP(E502,'Room Count'!A$2:B$2616,2,FALSE)</f>
        <v>220</v>
      </c>
    </row>
    <row r="503" spans="1:10" ht="17.100000000000001">
      <c r="A503" s="13" t="s">
        <v>40</v>
      </c>
      <c r="B503" s="13" t="s">
        <v>566</v>
      </c>
      <c r="C503" s="26">
        <v>100743</v>
      </c>
      <c r="D503" s="13" t="s">
        <v>566</v>
      </c>
      <c r="E503" s="13">
        <v>585</v>
      </c>
      <c r="F503" s="13" t="s">
        <v>12</v>
      </c>
      <c r="G503" s="9" t="str">
        <f>VLOOKUP(B503,'Property Name List'!A$2:D$834,3,FALSE)</f>
        <v>Courtyard By Marriott Gettysburg</v>
      </c>
      <c r="H503" s="15">
        <v>46119</v>
      </c>
      <c r="I503" t="s">
        <v>14</v>
      </c>
      <c r="J503">
        <f>VLOOKUP(E503,'Room Count'!A$2:B$2616,2,FALSE)</f>
        <v>152</v>
      </c>
    </row>
    <row r="504" spans="1:10" ht="17.100000000000001">
      <c r="A504" s="13" t="s">
        <v>40</v>
      </c>
      <c r="B504" s="13" t="s">
        <v>567</v>
      </c>
      <c r="C504" s="26">
        <v>100741</v>
      </c>
      <c r="D504" s="13" t="s">
        <v>567</v>
      </c>
      <c r="E504" s="13">
        <v>584</v>
      </c>
      <c r="F504" s="13" t="s">
        <v>12</v>
      </c>
      <c r="G504" s="9" t="str">
        <f>VLOOKUP(B504,'Property Name List'!A$2:D$834,3,FALSE)</f>
        <v>SpringHill Suites By Marriott Allentown Bethlehem/Center Valley</v>
      </c>
      <c r="H504" s="15">
        <v>46119</v>
      </c>
      <c r="I504" t="s">
        <v>14</v>
      </c>
      <c r="J504">
        <f>VLOOKUP(E504,'Room Count'!A$2:B$2616,2,FALSE)</f>
        <v>132</v>
      </c>
    </row>
    <row r="505" spans="1:10" ht="17.100000000000001">
      <c r="A505" s="13" t="s">
        <v>40</v>
      </c>
      <c r="B505" s="13" t="s">
        <v>568</v>
      </c>
      <c r="C505" s="26">
        <v>100739</v>
      </c>
      <c r="D505" s="13" t="s">
        <v>568</v>
      </c>
      <c r="E505" s="13">
        <v>583</v>
      </c>
      <c r="F505" s="13" t="s">
        <v>12</v>
      </c>
      <c r="G505" s="9" t="str">
        <f>VLOOKUP(B505,'Property Name List'!A$2:D$834,3,FALSE)</f>
        <v>Courtyard By Marriott Columbia Cayce</v>
      </c>
      <c r="H505" s="15">
        <v>46119</v>
      </c>
      <c r="I505" t="s">
        <v>14</v>
      </c>
      <c r="J505">
        <f>VLOOKUP(E505,'Room Count'!A$2:B$2616,2,FALSE)</f>
        <v>100</v>
      </c>
    </row>
    <row r="506" spans="1:10" ht="17.100000000000001">
      <c r="A506" s="13" t="s">
        <v>40</v>
      </c>
      <c r="B506" s="13" t="s">
        <v>569</v>
      </c>
      <c r="C506" s="26">
        <v>100735</v>
      </c>
      <c r="D506" s="13" t="s">
        <v>569</v>
      </c>
      <c r="E506" s="13">
        <v>581</v>
      </c>
      <c r="F506" s="13" t="s">
        <v>12</v>
      </c>
      <c r="G506" s="9" t="str">
        <f>VLOOKUP(B506,'Property Name List'!A$2:D$834,3,FALSE)</f>
        <v>Courtyard By Marriott Gatlinburg Downtown</v>
      </c>
      <c r="H506" s="15">
        <v>46119</v>
      </c>
      <c r="I506" t="s">
        <v>14</v>
      </c>
      <c r="J506">
        <f>VLOOKUP(E506,'Room Count'!A$2:B$2616,2,FALSE)</f>
        <v>130</v>
      </c>
    </row>
    <row r="507" spans="1:10" ht="17.100000000000001">
      <c r="A507" s="13" t="s">
        <v>40</v>
      </c>
      <c r="B507" s="13" t="s">
        <v>570</v>
      </c>
      <c r="C507" s="26">
        <v>100733</v>
      </c>
      <c r="D507" s="13" t="s">
        <v>570</v>
      </c>
      <c r="E507" s="13">
        <v>580</v>
      </c>
      <c r="F507" s="13" t="s">
        <v>12</v>
      </c>
      <c r="G507" s="9" t="str">
        <f>VLOOKUP(B507,'Property Name List'!A$2:D$834,3,FALSE)</f>
        <v>Fairfield Inn &amp; Suites Akron Stow</v>
      </c>
      <c r="H507" s="15">
        <v>46119</v>
      </c>
      <c r="I507" t="s">
        <v>14</v>
      </c>
      <c r="J507">
        <f>VLOOKUP(E507,'Room Count'!A$2:B$2616,2,FALSE)</f>
        <v>82</v>
      </c>
    </row>
    <row r="508" spans="1:10" ht="17.100000000000001">
      <c r="A508" s="13" t="s">
        <v>40</v>
      </c>
      <c r="B508" s="13" t="s">
        <v>571</v>
      </c>
      <c r="C508" s="26">
        <v>100731</v>
      </c>
      <c r="D508" s="13" t="s">
        <v>571</v>
      </c>
      <c r="E508" s="13">
        <v>579</v>
      </c>
      <c r="F508" s="13" t="s">
        <v>12</v>
      </c>
      <c r="G508" s="9" t="str">
        <f>VLOOKUP(B508,'Property Name List'!A$2:D$834,3,FALSE)</f>
        <v>Courtyard By Marriott Harrisburg Hershey</v>
      </c>
      <c r="H508" s="15">
        <v>46119</v>
      </c>
      <c r="I508" t="s">
        <v>14</v>
      </c>
      <c r="J508">
        <f>VLOOKUP(E508,'Room Count'!A$2:B$2616,2,FALSE)</f>
        <v>128</v>
      </c>
    </row>
    <row r="509" spans="1:10" ht="17.100000000000001">
      <c r="A509" s="13" t="s">
        <v>40</v>
      </c>
      <c r="B509" s="13" t="s">
        <v>572</v>
      </c>
      <c r="C509" s="26">
        <v>100729</v>
      </c>
      <c r="D509" s="13" t="s">
        <v>572</v>
      </c>
      <c r="E509" s="13">
        <v>578</v>
      </c>
      <c r="F509" s="13" t="s">
        <v>12</v>
      </c>
      <c r="G509" s="9" t="str">
        <f>VLOOKUP(B509,'Property Name List'!A$2:D$834,3,FALSE)</f>
        <v>Courtyard By Marriott Lexington South/Hamburg Place</v>
      </c>
      <c r="H509" s="15">
        <v>46119</v>
      </c>
      <c r="I509" t="s">
        <v>14</v>
      </c>
      <c r="J509">
        <f>VLOOKUP(E509,'Room Count'!A$2:B$2616,2,FALSE)</f>
        <v>90</v>
      </c>
    </row>
    <row r="510" spans="1:10" ht="17.100000000000001">
      <c r="A510" s="13" t="s">
        <v>40</v>
      </c>
      <c r="B510" s="13" t="s">
        <v>573</v>
      </c>
      <c r="C510" s="26">
        <v>100727</v>
      </c>
      <c r="D510" s="13" t="s">
        <v>573</v>
      </c>
      <c r="E510" s="13">
        <v>577</v>
      </c>
      <c r="F510" s="13" t="s">
        <v>12</v>
      </c>
      <c r="G510" s="9" t="str">
        <f>VLOOKUP(B510,'Property Name List'!A$2:D$834,3,FALSE)</f>
        <v>Courtyard By Marriott Cranbury South Brunswick</v>
      </c>
      <c r="H510" s="15">
        <v>46119</v>
      </c>
      <c r="I510" t="s">
        <v>14</v>
      </c>
      <c r="J510">
        <f>VLOOKUP(E510,'Room Count'!A$2:B$2616,2,FALSE)</f>
        <v>144</v>
      </c>
    </row>
    <row r="511" spans="1:10" ht="17.100000000000001">
      <c r="A511" s="13" t="s">
        <v>40</v>
      </c>
      <c r="B511" s="13" t="s">
        <v>574</v>
      </c>
      <c r="C511" s="26">
        <v>100723</v>
      </c>
      <c r="D511" s="13" t="s">
        <v>574</v>
      </c>
      <c r="E511" s="13">
        <v>575</v>
      </c>
      <c r="F511" s="13" t="s">
        <v>12</v>
      </c>
      <c r="G511" s="9" t="str">
        <f>VLOOKUP(B511,'Property Name List'!A$2:D$834,3,FALSE)</f>
        <v>AC Hotel Des Moines East Village</v>
      </c>
      <c r="H511" s="15">
        <v>46119</v>
      </c>
      <c r="I511" t="s">
        <v>14</v>
      </c>
      <c r="J511">
        <f>VLOOKUP(E511,'Room Count'!A$2:B$2616,2,FALSE)</f>
        <v>109</v>
      </c>
    </row>
    <row r="512" spans="1:10" ht="17.100000000000001">
      <c r="A512" s="13" t="s">
        <v>40</v>
      </c>
      <c r="B512" s="13" t="s">
        <v>575</v>
      </c>
      <c r="C512" s="26">
        <v>100721</v>
      </c>
      <c r="D512" s="13" t="s">
        <v>575</v>
      </c>
      <c r="E512" s="13">
        <v>574</v>
      </c>
      <c r="F512" s="13" t="s">
        <v>12</v>
      </c>
      <c r="G512" s="9" t="str">
        <f>VLOOKUP(B512,'Property Name List'!A$2:D$834,3,FALSE)</f>
        <v>Fairfield Inn &amp; Suites Wausau</v>
      </c>
      <c r="H512" s="15">
        <v>46119</v>
      </c>
      <c r="I512" t="s">
        <v>14</v>
      </c>
      <c r="J512">
        <f>VLOOKUP(E512,'Room Count'!A$2:B$2616,2,FALSE)</f>
        <v>87</v>
      </c>
    </row>
    <row r="513" spans="1:10" ht="17.100000000000001">
      <c r="A513" s="13" t="s">
        <v>40</v>
      </c>
      <c r="B513" s="13" t="s">
        <v>576</v>
      </c>
      <c r="C513" s="26">
        <v>100719</v>
      </c>
      <c r="D513" s="13" t="s">
        <v>576</v>
      </c>
      <c r="E513" s="13">
        <v>573</v>
      </c>
      <c r="F513" s="13" t="s">
        <v>12</v>
      </c>
      <c r="G513" s="9" t="str">
        <f>VLOOKUP(B513,'Property Name List'!A$2:D$834,3,FALSE)</f>
        <v>Fairfield Inn &amp; Suites Nashville Hendersonville</v>
      </c>
      <c r="H513" s="15">
        <v>46119</v>
      </c>
      <c r="I513" t="s">
        <v>14</v>
      </c>
      <c r="J513">
        <f>VLOOKUP(E513,'Room Count'!A$2:B$2616,2,FALSE)</f>
        <v>90</v>
      </c>
    </row>
    <row r="514" spans="1:10" ht="17.100000000000001">
      <c r="A514" s="13" t="s">
        <v>40</v>
      </c>
      <c r="B514" s="13" t="s">
        <v>577</v>
      </c>
      <c r="C514" s="26">
        <v>100717</v>
      </c>
      <c r="D514" s="13" t="s">
        <v>577</v>
      </c>
      <c r="E514" s="13">
        <v>572</v>
      </c>
      <c r="F514" s="13" t="s">
        <v>12</v>
      </c>
      <c r="G514" s="9" t="str">
        <f>VLOOKUP(B514,'Property Name List'!A$2:D$834,3,FALSE)</f>
        <v>Fairfield Inn &amp; Suites Detroit Lakes</v>
      </c>
      <c r="H514" s="15">
        <v>46119</v>
      </c>
      <c r="I514" t="s">
        <v>14</v>
      </c>
      <c r="J514">
        <f>VLOOKUP(E514,'Room Count'!A$2:B$2616,2,FALSE)</f>
        <v>69</v>
      </c>
    </row>
    <row r="515" spans="1:10" ht="17.100000000000001">
      <c r="A515" s="13" t="s">
        <v>40</v>
      </c>
      <c r="B515" s="13" t="s">
        <v>578</v>
      </c>
      <c r="C515" s="26">
        <v>100715</v>
      </c>
      <c r="D515" s="13" t="s">
        <v>578</v>
      </c>
      <c r="E515" s="13">
        <v>571</v>
      </c>
      <c r="F515" s="13" t="s">
        <v>12</v>
      </c>
      <c r="G515" s="9" t="str">
        <f>VLOOKUP(B515,'Property Name List'!A$2:D$834,3,FALSE)</f>
        <v>Courtyard By Marriott Fargo</v>
      </c>
      <c r="H515" s="15">
        <v>46119</v>
      </c>
      <c r="I515" t="s">
        <v>14</v>
      </c>
      <c r="J515">
        <f>VLOOKUP(E515,'Room Count'!A$2:B$2616,2,FALSE)</f>
        <v>110</v>
      </c>
    </row>
    <row r="516" spans="1:10" ht="17.100000000000001">
      <c r="A516" s="13" t="s">
        <v>40</v>
      </c>
      <c r="B516" s="13" t="s">
        <v>579</v>
      </c>
      <c r="C516" s="26">
        <v>100713</v>
      </c>
      <c r="D516" s="13" t="s">
        <v>579</v>
      </c>
      <c r="E516" s="13">
        <v>570</v>
      </c>
      <c r="F516" s="13" t="s">
        <v>12</v>
      </c>
      <c r="G516" s="9" t="str">
        <f>VLOOKUP(B516,'Property Name List'!A$2:D$834,3,FALSE)</f>
        <v>Fairfield Inn &amp; Suites Birmingham Bessemer</v>
      </c>
      <c r="H516" s="15">
        <v>46119</v>
      </c>
      <c r="I516" t="s">
        <v>14</v>
      </c>
      <c r="J516">
        <f>VLOOKUP(E516,'Room Count'!A$2:B$2616,2,FALSE)</f>
        <v>76</v>
      </c>
    </row>
    <row r="517" spans="1:10" ht="17.100000000000001">
      <c r="A517" s="13" t="s">
        <v>40</v>
      </c>
      <c r="B517" s="13" t="s">
        <v>580</v>
      </c>
      <c r="C517" s="26">
        <v>100711</v>
      </c>
      <c r="D517" s="13" t="s">
        <v>580</v>
      </c>
      <c r="E517" s="13">
        <v>569</v>
      </c>
      <c r="F517" s="13" t="s">
        <v>12</v>
      </c>
      <c r="G517" s="9" t="str">
        <f>VLOOKUP(B517,'Property Name List'!A$2:D$834,3,FALSE)</f>
        <v>Courtyard By Marriott Jackson Madison</v>
      </c>
      <c r="H517" s="15">
        <v>46119</v>
      </c>
      <c r="I517" t="s">
        <v>14</v>
      </c>
      <c r="J517">
        <f>VLOOKUP(E517,'Room Count'!A$2:B$2616,2,FALSE)</f>
        <v>125</v>
      </c>
    </row>
    <row r="518" spans="1:10" ht="17.100000000000001">
      <c r="A518" s="13" t="s">
        <v>40</v>
      </c>
      <c r="B518" s="13" t="s">
        <v>581</v>
      </c>
      <c r="C518" s="26">
        <v>100709</v>
      </c>
      <c r="D518" s="13" t="s">
        <v>581</v>
      </c>
      <c r="E518" s="13">
        <v>568</v>
      </c>
      <c r="F518" s="13" t="s">
        <v>12</v>
      </c>
      <c r="G518" s="9" t="str">
        <f>VLOOKUP(B518,'Property Name List'!A$2:D$834,3,FALSE)</f>
        <v>Courtyard By Marriott Wausau</v>
      </c>
      <c r="H518" s="15">
        <v>46119</v>
      </c>
      <c r="I518" t="s">
        <v>14</v>
      </c>
      <c r="J518">
        <f>VLOOKUP(E518,'Room Count'!A$2:B$2616,2,FALSE)</f>
        <v>87</v>
      </c>
    </row>
    <row r="519" spans="1:10" ht="17.100000000000001">
      <c r="A519" s="13" t="s">
        <v>40</v>
      </c>
      <c r="B519" s="13" t="s">
        <v>582</v>
      </c>
      <c r="C519" s="26">
        <v>100707</v>
      </c>
      <c r="D519" s="13" t="s">
        <v>582</v>
      </c>
      <c r="E519" s="13">
        <v>567</v>
      </c>
      <c r="F519" s="13" t="s">
        <v>12</v>
      </c>
      <c r="G519" s="9" t="str">
        <f>VLOOKUP(B519,'Property Name List'!A$2:D$834,3,FALSE)</f>
        <v>Fairfield by Marriott Inn &amp; Suites Laurel</v>
      </c>
      <c r="H519" s="15">
        <v>46119</v>
      </c>
      <c r="I519" t="s">
        <v>14</v>
      </c>
      <c r="J519">
        <f>VLOOKUP(E519,'Room Count'!A$2:B$2616,2,FALSE)</f>
        <v>78</v>
      </c>
    </row>
    <row r="520" spans="1:10" ht="17.100000000000001">
      <c r="A520" s="13" t="s">
        <v>40</v>
      </c>
      <c r="B520" s="13" t="s">
        <v>583</v>
      </c>
      <c r="C520" s="26">
        <v>100705</v>
      </c>
      <c r="D520" s="13" t="s">
        <v>583</v>
      </c>
      <c r="E520" s="13">
        <v>566</v>
      </c>
      <c r="F520" s="13" t="s">
        <v>12</v>
      </c>
      <c r="G520" s="9" t="str">
        <f>VLOOKUP(B520,'Property Name List'!A$2:D$834,3,FALSE)</f>
        <v>Fairfield Inn &amp; Suites Nashville Downtown/The Gulch</v>
      </c>
      <c r="H520" s="15">
        <v>46119</v>
      </c>
      <c r="I520" t="s">
        <v>14</v>
      </c>
      <c r="J520">
        <f>VLOOKUP(E520,'Room Count'!A$2:B$2616,2,FALSE)</f>
        <v>126</v>
      </c>
    </row>
    <row r="521" spans="1:10" ht="17.100000000000001">
      <c r="A521" s="13" t="s">
        <v>40</v>
      </c>
      <c r="B521" s="13" t="s">
        <v>584</v>
      </c>
      <c r="C521" s="26">
        <v>100703</v>
      </c>
      <c r="D521" s="13" t="s">
        <v>584</v>
      </c>
      <c r="E521" s="13">
        <v>565</v>
      </c>
      <c r="F521" s="13" t="s">
        <v>12</v>
      </c>
      <c r="G521" s="9" t="str">
        <f>VLOOKUP(B521,'Property Name List'!A$2:D$834,3,FALSE)</f>
        <v>Courtyard By Marriott Billings</v>
      </c>
      <c r="H521" s="15">
        <v>46119</v>
      </c>
      <c r="I521" t="s">
        <v>14</v>
      </c>
      <c r="J521">
        <f>VLOOKUP(E521,'Room Count'!A$2:B$2616,2,FALSE)</f>
        <v>137</v>
      </c>
    </row>
    <row r="522" spans="1:10" ht="17.100000000000001">
      <c r="A522" s="13" t="s">
        <v>40</v>
      </c>
      <c r="B522" s="13" t="s">
        <v>585</v>
      </c>
      <c r="C522" s="26">
        <v>100701</v>
      </c>
      <c r="D522" s="13" t="s">
        <v>585</v>
      </c>
      <c r="E522" s="13">
        <v>564</v>
      </c>
      <c r="F522" s="13" t="s">
        <v>12</v>
      </c>
      <c r="G522" s="9" t="str">
        <f>VLOOKUP(B522,'Property Name List'!A$2:D$834,3,FALSE)</f>
        <v>Fairfield Inn &amp; Suites Pittsburgh New Stanton</v>
      </c>
      <c r="H522" s="15">
        <v>46119</v>
      </c>
      <c r="I522" t="s">
        <v>14</v>
      </c>
      <c r="J522">
        <f>VLOOKUP(E522,'Room Count'!A$2:B$2616,2,FALSE)</f>
        <v>62</v>
      </c>
    </row>
    <row r="523" spans="1:10" ht="17.100000000000001">
      <c r="A523" s="13" t="s">
        <v>40</v>
      </c>
      <c r="B523" s="13" t="s">
        <v>586</v>
      </c>
      <c r="C523" s="26">
        <v>200295</v>
      </c>
      <c r="D523" s="13" t="s">
        <v>586</v>
      </c>
      <c r="E523" s="13">
        <v>563</v>
      </c>
      <c r="F523" s="13" t="s">
        <v>20</v>
      </c>
      <c r="G523" s="9" t="str">
        <f>VLOOKUP(B523,'Property Name List'!A$2:D$834,3,FALSE)</f>
        <v>Courtyard By Marriott Walla Walla</v>
      </c>
      <c r="H523" s="15">
        <v>46119</v>
      </c>
      <c r="I523" t="s">
        <v>14</v>
      </c>
      <c r="J523">
        <f>VLOOKUP(E523,'Room Count'!A$2:B$2616,2,FALSE)</f>
        <v>120</v>
      </c>
    </row>
    <row r="524" spans="1:10" ht="17.100000000000001">
      <c r="A524" s="13" t="s">
        <v>40</v>
      </c>
      <c r="B524" s="13" t="s">
        <v>587</v>
      </c>
      <c r="C524" s="26">
        <v>200293</v>
      </c>
      <c r="D524" s="13" t="s">
        <v>587</v>
      </c>
      <c r="E524" s="13">
        <v>562</v>
      </c>
      <c r="F524" s="13" t="s">
        <v>20</v>
      </c>
      <c r="G524" s="9" t="str">
        <f>VLOOKUP(B524,'Property Name List'!A$2:D$834,3,FALSE)</f>
        <v>Fairfield Inn By Marriott Tracy</v>
      </c>
      <c r="H524" s="15">
        <v>46119</v>
      </c>
      <c r="I524" t="s">
        <v>14</v>
      </c>
      <c r="J524">
        <f>VLOOKUP(E524,'Room Count'!A$2:B$2616,2,FALSE)</f>
        <v>64</v>
      </c>
    </row>
    <row r="525" spans="1:10" ht="17.100000000000001">
      <c r="A525" s="13" t="s">
        <v>40</v>
      </c>
      <c r="B525" s="13" t="s">
        <v>588</v>
      </c>
      <c r="C525" s="26">
        <v>200291</v>
      </c>
      <c r="D525" s="13" t="s">
        <v>588</v>
      </c>
      <c r="E525" s="13">
        <v>561</v>
      </c>
      <c r="F525" s="13" t="s">
        <v>20</v>
      </c>
      <c r="G525" s="9" t="str">
        <f>VLOOKUP(B525,'Property Name List'!A$2:D$834,3,FALSE)</f>
        <v>Courtyard By Marriott San Diego Rancho Bernardo</v>
      </c>
      <c r="H525" s="15">
        <v>46119</v>
      </c>
      <c r="I525" t="s">
        <v>14</v>
      </c>
      <c r="J525">
        <f>VLOOKUP(E525,'Room Count'!A$2:B$2616,2,FALSE)</f>
        <v>210</v>
      </c>
    </row>
    <row r="526" spans="1:10" ht="17.100000000000001">
      <c r="A526" s="13" t="s">
        <v>40</v>
      </c>
      <c r="B526" s="13" t="s">
        <v>589</v>
      </c>
      <c r="C526" s="26">
        <v>200289</v>
      </c>
      <c r="D526" s="13" t="s">
        <v>589</v>
      </c>
      <c r="E526" s="13">
        <v>560</v>
      </c>
      <c r="F526" s="13" t="s">
        <v>20</v>
      </c>
      <c r="G526" s="9" t="str">
        <f>VLOOKUP(B526,'Property Name List'!A$2:D$834,3,FALSE)</f>
        <v>Courtyard By Marriott Roseville Galleria Mall/Creekside Ridge Drive</v>
      </c>
      <c r="H526" s="15">
        <v>46119</v>
      </c>
      <c r="I526" t="s">
        <v>14</v>
      </c>
      <c r="J526">
        <f>VLOOKUP(E526,'Room Count'!A$2:B$2616,2,FALSE)</f>
        <v>125</v>
      </c>
    </row>
    <row r="527" spans="1:10" ht="17.100000000000001">
      <c r="A527" s="13" t="s">
        <v>40</v>
      </c>
      <c r="B527" s="13" t="s">
        <v>590</v>
      </c>
      <c r="C527" s="26">
        <v>200287</v>
      </c>
      <c r="D527" s="13" t="s">
        <v>590</v>
      </c>
      <c r="E527" s="13">
        <v>559</v>
      </c>
      <c r="F527" s="13" t="s">
        <v>20</v>
      </c>
      <c r="G527" s="9" t="str">
        <f>VLOOKUP(B527,'Property Name List'!A$2:D$834,3,FALSE)</f>
        <v>Fairfield Inn By Marriott Visalia Sequoia</v>
      </c>
      <c r="H527" s="15">
        <v>46119</v>
      </c>
      <c r="I527" t="s">
        <v>14</v>
      </c>
      <c r="J527">
        <f>VLOOKUP(E527,'Room Count'!A$2:B$2616,2,FALSE)</f>
        <v>63</v>
      </c>
    </row>
    <row r="528" spans="1:10" ht="17.100000000000001">
      <c r="A528" s="13" t="s">
        <v>40</v>
      </c>
      <c r="B528" s="13" t="s">
        <v>591</v>
      </c>
      <c r="C528" s="26">
        <v>200285</v>
      </c>
      <c r="D528" s="13" t="s">
        <v>591</v>
      </c>
      <c r="E528" s="13">
        <v>558</v>
      </c>
      <c r="F528" s="13" t="s">
        <v>20</v>
      </c>
      <c r="G528" s="9" t="str">
        <f>VLOOKUP(B528,'Property Name List'!A$2:D$834,3,FALSE)</f>
        <v>Courtyard By Marriott Roseville</v>
      </c>
      <c r="H528" s="15">
        <v>46119</v>
      </c>
      <c r="I528" t="s">
        <v>14</v>
      </c>
      <c r="J528">
        <f>VLOOKUP(E528,'Room Count'!A$2:B$2616,2,FALSE)</f>
        <v>90</v>
      </c>
    </row>
    <row r="529" spans="1:10" ht="17.100000000000001">
      <c r="A529" s="13" t="s">
        <v>40</v>
      </c>
      <c r="B529" s="13" t="s">
        <v>592</v>
      </c>
      <c r="C529" s="26">
        <v>200283</v>
      </c>
      <c r="D529" s="13" t="s">
        <v>592</v>
      </c>
      <c r="E529" s="13">
        <v>557</v>
      </c>
      <c r="F529" s="13" t="s">
        <v>20</v>
      </c>
      <c r="G529" s="9" t="str">
        <f>VLOOKUP(B529,'Property Name List'!A$2:D$834,3,FALSE)</f>
        <v>Courtyard By Marriott Cedar City</v>
      </c>
      <c r="H529" s="15">
        <v>46119</v>
      </c>
      <c r="I529" t="s">
        <v>14</v>
      </c>
      <c r="J529">
        <f>VLOOKUP(E529,'Room Count'!A$2:B$2616,2,FALSE)</f>
        <v>112</v>
      </c>
    </row>
    <row r="530" spans="1:10" ht="17.100000000000001">
      <c r="A530" s="13" t="s">
        <v>40</v>
      </c>
      <c r="B530" s="13" t="s">
        <v>593</v>
      </c>
      <c r="C530" s="26">
        <v>200281</v>
      </c>
      <c r="D530" s="13" t="s">
        <v>593</v>
      </c>
      <c r="E530" s="13">
        <v>556</v>
      </c>
      <c r="F530" s="13" t="s">
        <v>20</v>
      </c>
      <c r="G530" s="9" t="str">
        <f>VLOOKUP(B530,'Property Name List'!A$2:D$834,3,FALSE)</f>
        <v>Fairfield Inn By Marriott Boise</v>
      </c>
      <c r="H530" s="15">
        <v>46119</v>
      </c>
      <c r="I530" t="s">
        <v>14</v>
      </c>
      <c r="J530">
        <f>VLOOKUP(E530,'Room Count'!A$2:B$2616,2,FALSE)</f>
        <v>61</v>
      </c>
    </row>
    <row r="531" spans="1:10" ht="17.100000000000001">
      <c r="A531" s="13" t="s">
        <v>40</v>
      </c>
      <c r="B531" s="13" t="s">
        <v>594</v>
      </c>
      <c r="C531" s="26">
        <v>200279</v>
      </c>
      <c r="D531" s="13" t="s">
        <v>594</v>
      </c>
      <c r="E531" s="13">
        <v>555</v>
      </c>
      <c r="F531" s="13" t="s">
        <v>20</v>
      </c>
      <c r="G531" s="9" t="str">
        <f>VLOOKUP(B531,'Property Name List'!A$2:D$834,3,FALSE)</f>
        <v>SpringHill Suites By Marriott Phoenix Tempe/Airport</v>
      </c>
      <c r="H531" s="15">
        <v>46119</v>
      </c>
      <c r="I531" t="s">
        <v>14</v>
      </c>
      <c r="J531">
        <f>VLOOKUP(E531,'Room Count'!A$2:B$2616,2,FALSE)</f>
        <v>130</v>
      </c>
    </row>
    <row r="532" spans="1:10" ht="17.100000000000001">
      <c r="A532" s="13" t="s">
        <v>40</v>
      </c>
      <c r="B532" s="13" t="s">
        <v>595</v>
      </c>
      <c r="C532" s="26">
        <v>200277</v>
      </c>
      <c r="D532" s="13" t="s">
        <v>595</v>
      </c>
      <c r="E532" s="13">
        <v>554</v>
      </c>
      <c r="F532" s="13" t="s">
        <v>20</v>
      </c>
      <c r="G532" s="9" t="str">
        <f>VLOOKUP(B532,'Property Name List'!A$2:D$834,3,FALSE)</f>
        <v>SpringHill Suites By Marriott Cedar City</v>
      </c>
      <c r="H532" s="15">
        <v>46119</v>
      </c>
      <c r="I532" t="s">
        <v>14</v>
      </c>
      <c r="J532">
        <f>VLOOKUP(E532,'Room Count'!A$2:B$2616,2,FALSE)</f>
        <v>72</v>
      </c>
    </row>
    <row r="533" spans="1:10" ht="17.100000000000001">
      <c r="A533" s="13" t="s">
        <v>40</v>
      </c>
      <c r="B533" s="13" t="s">
        <v>596</v>
      </c>
      <c r="C533" s="26">
        <v>200275</v>
      </c>
      <c r="D533" s="13" t="s">
        <v>596</v>
      </c>
      <c r="E533" s="13">
        <v>553</v>
      </c>
      <c r="F533" s="13" t="s">
        <v>20</v>
      </c>
      <c r="G533" s="9" t="str">
        <f>VLOOKUP(B533,'Property Name List'!A$2:D$834,3,FALSE)</f>
        <v>Fairfield Inn &amp; Suites Afton Star Valley</v>
      </c>
      <c r="H533" s="15">
        <v>46119</v>
      </c>
      <c r="I533" t="s">
        <v>14</v>
      </c>
      <c r="J533">
        <f>VLOOKUP(E533,'Room Count'!A$2:B$2616,2,FALSE)</f>
        <v>62</v>
      </c>
    </row>
    <row r="534" spans="1:10" ht="17.100000000000001">
      <c r="A534" s="13" t="s">
        <v>40</v>
      </c>
      <c r="B534" s="13" t="s">
        <v>597</v>
      </c>
      <c r="C534" s="26">
        <v>200273</v>
      </c>
      <c r="D534" s="13" t="s">
        <v>597</v>
      </c>
      <c r="E534" s="13">
        <v>552</v>
      </c>
      <c r="F534" s="13" t="s">
        <v>20</v>
      </c>
      <c r="G534" s="9" t="str">
        <f>VLOOKUP(B534,'Property Name List'!A$2:D$834,3,FALSE)</f>
        <v>Fairfield Inn &amp; Suites Boise Nampa</v>
      </c>
      <c r="H534" s="15">
        <v>46119</v>
      </c>
      <c r="I534" t="s">
        <v>14</v>
      </c>
      <c r="J534">
        <f>VLOOKUP(E534,'Room Count'!A$2:B$2616,2,FALSE)</f>
        <v>88</v>
      </c>
    </row>
    <row r="535" spans="1:10" ht="17.100000000000001">
      <c r="A535" s="13" t="s">
        <v>40</v>
      </c>
      <c r="B535" s="13" t="s">
        <v>598</v>
      </c>
      <c r="C535" s="26">
        <v>200271</v>
      </c>
      <c r="D535" s="13" t="s">
        <v>598</v>
      </c>
      <c r="E535" s="13">
        <v>551</v>
      </c>
      <c r="F535" s="13" t="s">
        <v>20</v>
      </c>
      <c r="G535" s="9" t="str">
        <f>VLOOKUP(B535,'Property Name List'!A$2:D$834,3,FALSE)</f>
        <v>Fairfield Inn &amp; Suites Fort Smith</v>
      </c>
      <c r="H535" s="15">
        <v>46119</v>
      </c>
      <c r="I535" t="s">
        <v>14</v>
      </c>
      <c r="J535">
        <f>VLOOKUP(E535,'Room Count'!A$2:B$2616,2,FALSE)</f>
        <v>94</v>
      </c>
    </row>
    <row r="536" spans="1:10" ht="17.100000000000001">
      <c r="A536" s="13" t="s">
        <v>40</v>
      </c>
      <c r="B536" s="13" t="s">
        <v>599</v>
      </c>
      <c r="C536" s="26">
        <v>200269</v>
      </c>
      <c r="D536" s="13" t="s">
        <v>599</v>
      </c>
      <c r="E536" s="13">
        <v>550</v>
      </c>
      <c r="F536" s="13" t="s">
        <v>20</v>
      </c>
      <c r="G536" s="9" t="str">
        <f>VLOOKUP(B536,'Property Name List'!A$2:D$834,3,FALSE)</f>
        <v>Fairfield Inn &amp; Suites Lafayette South</v>
      </c>
      <c r="H536" s="15">
        <v>46119</v>
      </c>
      <c r="I536" t="s">
        <v>14</v>
      </c>
      <c r="J536">
        <f>VLOOKUP(E536,'Room Count'!A$2:B$2616,2,FALSE)</f>
        <v>81</v>
      </c>
    </row>
    <row r="537" spans="1:10" ht="17.100000000000001">
      <c r="A537" s="13" t="s">
        <v>40</v>
      </c>
      <c r="B537" s="13" t="s">
        <v>600</v>
      </c>
      <c r="C537" s="26">
        <v>200267</v>
      </c>
      <c r="D537" s="13" t="s">
        <v>600</v>
      </c>
      <c r="E537" s="13">
        <v>549</v>
      </c>
      <c r="F537" s="13" t="s">
        <v>20</v>
      </c>
      <c r="G537" s="9" t="str">
        <f>VLOOKUP(B537,'Property Name List'!A$2:D$834,3,FALSE)</f>
        <v>Courtyard By Marriott Baton Rouge Downtown</v>
      </c>
      <c r="H537" s="15">
        <v>46119</v>
      </c>
      <c r="I537" t="s">
        <v>14</v>
      </c>
      <c r="J537">
        <f>VLOOKUP(E537,'Room Count'!A$2:B$2616,2,FALSE)</f>
        <v>135</v>
      </c>
    </row>
    <row r="538" spans="1:10" ht="17.100000000000001">
      <c r="A538" s="13" t="s">
        <v>40</v>
      </c>
      <c r="B538" s="13" t="s">
        <v>601</v>
      </c>
      <c r="C538" s="26">
        <v>200265</v>
      </c>
      <c r="D538" s="13" t="s">
        <v>601</v>
      </c>
      <c r="E538" s="13">
        <v>548</v>
      </c>
      <c r="F538" s="13" t="s">
        <v>20</v>
      </c>
      <c r="G538" s="9" t="str">
        <f>VLOOKUP(B538,'Property Name List'!A$2:D$834,3,FALSE)</f>
        <v>SpringHill Suites By Marriott San Antonio Airport</v>
      </c>
      <c r="H538" s="15">
        <v>46119</v>
      </c>
      <c r="I538" t="s">
        <v>14</v>
      </c>
      <c r="J538">
        <f>VLOOKUP(E538,'Room Count'!A$2:B$2616,2,FALSE)</f>
        <v>116</v>
      </c>
    </row>
    <row r="539" spans="1:10" ht="17.100000000000001">
      <c r="A539" s="13" t="s">
        <v>40</v>
      </c>
      <c r="B539" s="13" t="s">
        <v>602</v>
      </c>
      <c r="C539" s="26">
        <v>200263</v>
      </c>
      <c r="D539" s="13" t="s">
        <v>602</v>
      </c>
      <c r="E539" s="13">
        <v>547</v>
      </c>
      <c r="F539" s="13" t="s">
        <v>20</v>
      </c>
      <c r="G539" s="9" t="str">
        <f>VLOOKUP(B539,'Property Name List'!A$2:D$834,3,FALSE)</f>
        <v>Courtyard By Marriott Alexandria</v>
      </c>
      <c r="H539" s="15">
        <v>46119</v>
      </c>
      <c r="I539" t="s">
        <v>14</v>
      </c>
      <c r="J539">
        <f>VLOOKUP(E539,'Room Count'!A$2:B$2616,2,FALSE)</f>
        <v>96</v>
      </c>
    </row>
    <row r="540" spans="1:10" ht="17.100000000000001">
      <c r="A540" s="13" t="s">
        <v>40</v>
      </c>
      <c r="B540" s="13" t="s">
        <v>603</v>
      </c>
      <c r="C540" s="26">
        <v>200261</v>
      </c>
      <c r="D540" s="13" t="s">
        <v>603</v>
      </c>
      <c r="E540" s="13">
        <v>546</v>
      </c>
      <c r="F540" s="13" t="s">
        <v>20</v>
      </c>
      <c r="G540" s="9" t="str">
        <f>VLOOKUP(B540,'Property Name List'!A$2:D$834,3,FALSE)</f>
        <v>Fairfield Inn &amp; Suites Odessa</v>
      </c>
      <c r="H540" s="15">
        <v>46119</v>
      </c>
      <c r="I540" t="s">
        <v>14</v>
      </c>
      <c r="J540">
        <f>VLOOKUP(E540,'Room Count'!A$2:B$2616,2,FALSE)</f>
        <v>67</v>
      </c>
    </row>
    <row r="541" spans="1:10" ht="17.100000000000001">
      <c r="A541" s="13" t="s">
        <v>40</v>
      </c>
      <c r="B541" s="13" t="s">
        <v>604</v>
      </c>
      <c r="C541" s="26">
        <v>200259</v>
      </c>
      <c r="D541" s="13" t="s">
        <v>604</v>
      </c>
      <c r="E541" s="13">
        <v>545</v>
      </c>
      <c r="F541" s="13" t="s">
        <v>20</v>
      </c>
      <c r="G541" s="9" t="str">
        <f>VLOOKUP(B541,'Property Name List'!A$2:D$834,3,FALSE)</f>
        <v>Fairfield by Marriott Inn &amp; Suites Hillsboro</v>
      </c>
      <c r="H541" s="15">
        <v>46119</v>
      </c>
      <c r="I541" t="s">
        <v>14</v>
      </c>
      <c r="J541">
        <f>VLOOKUP(E541,'Room Count'!A$2:B$2616,2,FALSE)</f>
        <v>65</v>
      </c>
    </row>
    <row r="542" spans="1:10" ht="17.100000000000001">
      <c r="A542" s="13" t="s">
        <v>40</v>
      </c>
      <c r="B542" s="13" t="s">
        <v>605</v>
      </c>
      <c r="C542" s="26">
        <v>200257</v>
      </c>
      <c r="D542" s="13" t="s">
        <v>605</v>
      </c>
      <c r="E542" s="13">
        <v>544</v>
      </c>
      <c r="F542" s="13" t="s">
        <v>20</v>
      </c>
      <c r="G542" s="9" t="str">
        <f>VLOOKUP(B542,'Property Name List'!A$2:D$834,3,FALSE)</f>
        <v>SpringHill Suites by Marriott Austin The Domain Area</v>
      </c>
      <c r="H542" s="15">
        <v>46119</v>
      </c>
      <c r="I542" t="s">
        <v>14</v>
      </c>
      <c r="J542">
        <f>VLOOKUP(E542,'Room Count'!A$2:B$2616,2,FALSE)</f>
        <v>99</v>
      </c>
    </row>
    <row r="543" spans="1:10" ht="17.100000000000001">
      <c r="A543" s="13" t="s">
        <v>40</v>
      </c>
      <c r="B543" s="13" t="s">
        <v>606</v>
      </c>
      <c r="C543" s="26">
        <v>200255</v>
      </c>
      <c r="D543" s="13" t="s">
        <v>606</v>
      </c>
      <c r="E543" s="13">
        <v>543</v>
      </c>
      <c r="F543" s="13" t="s">
        <v>20</v>
      </c>
      <c r="G543" s="9" t="str">
        <f>VLOOKUP(B543,'Property Name List'!A$2:D$834,3,FALSE)</f>
        <v>Fairfield Inn &amp; Suites Chickasha</v>
      </c>
      <c r="H543" s="15">
        <v>46119</v>
      </c>
      <c r="I543" t="s">
        <v>14</v>
      </c>
      <c r="J543">
        <f>VLOOKUP(E543,'Room Count'!A$2:B$2616,2,FALSE)</f>
        <v>91</v>
      </c>
    </row>
    <row r="544" spans="1:10" ht="17.100000000000001">
      <c r="A544" s="13" t="s">
        <v>40</v>
      </c>
      <c r="B544" s="13" t="s">
        <v>607</v>
      </c>
      <c r="C544" s="26">
        <v>200253</v>
      </c>
      <c r="D544" s="13" t="s">
        <v>607</v>
      </c>
      <c r="E544" s="13">
        <v>542</v>
      </c>
      <c r="F544" s="13" t="s">
        <v>20</v>
      </c>
      <c r="G544" s="9" t="str">
        <f>VLOOKUP(B544,'Property Name List'!A$2:D$834,3,FALSE)</f>
        <v>Fairfield Inn By Marriott North Little Rock</v>
      </c>
      <c r="H544" s="15">
        <v>46119</v>
      </c>
      <c r="I544" t="s">
        <v>14</v>
      </c>
      <c r="J544">
        <f>VLOOKUP(E544,'Room Count'!A$2:B$2616,2,FALSE)</f>
        <v>85</v>
      </c>
    </row>
    <row r="545" spans="1:10" ht="17.100000000000001">
      <c r="A545" s="13" t="s">
        <v>40</v>
      </c>
      <c r="B545" s="13" t="s">
        <v>608</v>
      </c>
      <c r="C545" s="26">
        <v>200251</v>
      </c>
      <c r="D545" s="13" t="s">
        <v>608</v>
      </c>
      <c r="E545" s="13">
        <v>541</v>
      </c>
      <c r="F545" s="13" t="s">
        <v>20</v>
      </c>
      <c r="G545" s="9" t="str">
        <f>VLOOKUP(B545,'Property Name List'!A$2:D$834,3,FALSE)</f>
        <v>Courtyard By Marriott South Padre Island</v>
      </c>
      <c r="H545" s="15">
        <v>46119</v>
      </c>
      <c r="I545" t="s">
        <v>14</v>
      </c>
      <c r="J545">
        <f>VLOOKUP(E545,'Room Count'!A$2:B$2616,2,FALSE)</f>
        <v>224</v>
      </c>
    </row>
    <row r="546" spans="1:10" ht="17.100000000000001">
      <c r="A546" s="13" t="s">
        <v>40</v>
      </c>
      <c r="B546" s="13" t="s">
        <v>609</v>
      </c>
      <c r="C546" s="26">
        <v>200249</v>
      </c>
      <c r="D546" s="13" t="s">
        <v>609</v>
      </c>
      <c r="E546" s="13">
        <v>540</v>
      </c>
      <c r="F546" s="13" t="s">
        <v>20</v>
      </c>
      <c r="G546" s="9" t="str">
        <f>VLOOKUP(B546,'Property Name List'!A$2:D$834,3,FALSE)</f>
        <v>SpringHill Suites By Marriott Ardmore</v>
      </c>
      <c r="H546" s="15">
        <v>46119</v>
      </c>
      <c r="I546" t="s">
        <v>14</v>
      </c>
      <c r="J546">
        <f>VLOOKUP(E546,'Room Count'!A$2:B$2616,2,FALSE)</f>
        <v>80</v>
      </c>
    </row>
    <row r="547" spans="1:10" ht="17.100000000000001">
      <c r="A547" s="13" t="s">
        <v>40</v>
      </c>
      <c r="B547" s="13" t="s">
        <v>610</v>
      </c>
      <c r="C547" s="26">
        <v>200247</v>
      </c>
      <c r="D547" s="13" t="s">
        <v>610</v>
      </c>
      <c r="E547" s="13">
        <v>539</v>
      </c>
      <c r="F547" s="13" t="s">
        <v>20</v>
      </c>
      <c r="G547" s="9" t="str">
        <f>VLOOKUP(B547,'Property Name List'!A$2:D$834,3,FALSE)</f>
        <v>Courtyard By Marriott Bentonville</v>
      </c>
      <c r="H547" s="15">
        <v>46119</v>
      </c>
      <c r="I547" t="s">
        <v>14</v>
      </c>
      <c r="J547">
        <f>VLOOKUP(E547,'Room Count'!A$2:B$2616,2,FALSE)</f>
        <v>90</v>
      </c>
    </row>
    <row r="548" spans="1:10" ht="17.100000000000001">
      <c r="A548" s="13" t="s">
        <v>40</v>
      </c>
      <c r="B548" s="13" t="s">
        <v>611</v>
      </c>
      <c r="C548" s="26">
        <v>200245</v>
      </c>
      <c r="D548" s="13" t="s">
        <v>611</v>
      </c>
      <c r="E548" s="13">
        <v>538</v>
      </c>
      <c r="F548" s="13" t="s">
        <v>20</v>
      </c>
      <c r="G548" s="9" t="str">
        <f>VLOOKUP(B548,'Property Name List'!A$2:D$834,3,FALSE)</f>
        <v>Fairfield Inn &amp; Suites Huntsville</v>
      </c>
      <c r="H548" s="15">
        <v>46119</v>
      </c>
      <c r="I548" t="s">
        <v>14</v>
      </c>
      <c r="J548">
        <f>VLOOKUP(E548,'Room Count'!A$2:B$2616,2,FALSE)</f>
        <v>71</v>
      </c>
    </row>
    <row r="549" spans="1:10" ht="17.100000000000001">
      <c r="A549" s="13" t="s">
        <v>40</v>
      </c>
      <c r="B549" s="13" t="s">
        <v>612</v>
      </c>
      <c r="C549" s="26">
        <v>200243</v>
      </c>
      <c r="D549" s="13" t="s">
        <v>612</v>
      </c>
      <c r="E549" s="13">
        <v>537</v>
      </c>
      <c r="F549" s="13" t="s">
        <v>20</v>
      </c>
      <c r="G549" s="9" t="str">
        <f>VLOOKUP(B549,'Property Name List'!A$2:D$834,3,FALSE)</f>
        <v>Courtyard By Marriott Memphis East/Galleria</v>
      </c>
      <c r="H549" s="15">
        <v>46119</v>
      </c>
      <c r="I549" t="s">
        <v>14</v>
      </c>
      <c r="J549">
        <f>VLOOKUP(E549,'Room Count'!A$2:B$2616,2,FALSE)</f>
        <v>112</v>
      </c>
    </row>
    <row r="550" spans="1:10" ht="17.100000000000001">
      <c r="A550" s="13" t="s">
        <v>40</v>
      </c>
      <c r="B550" s="13" t="s">
        <v>613</v>
      </c>
      <c r="C550" s="26">
        <v>200241</v>
      </c>
      <c r="D550" s="13" t="s">
        <v>613</v>
      </c>
      <c r="E550" s="13">
        <v>536</v>
      </c>
      <c r="F550" s="13" t="s">
        <v>20</v>
      </c>
      <c r="G550" s="9" t="str">
        <f>VLOOKUP(B550,'Property Name List'!A$2:D$834,3,FALSE)</f>
        <v>Courtyard By Marriott Tampa Oldsmar</v>
      </c>
      <c r="H550" s="15">
        <v>46119</v>
      </c>
      <c r="I550" t="s">
        <v>14</v>
      </c>
      <c r="J550">
        <f>VLOOKUP(E550,'Room Count'!A$2:B$2616,2,FALSE)</f>
        <v>99</v>
      </c>
    </row>
    <row r="551" spans="1:10" ht="17.100000000000001">
      <c r="A551" s="13" t="s">
        <v>40</v>
      </c>
      <c r="B551" s="13" t="s">
        <v>614</v>
      </c>
      <c r="C551" s="26">
        <v>200239</v>
      </c>
      <c r="D551" s="13" t="s">
        <v>614</v>
      </c>
      <c r="E551" s="13">
        <v>535</v>
      </c>
      <c r="F551" s="13" t="s">
        <v>20</v>
      </c>
      <c r="G551" s="9" t="str">
        <f>VLOOKUP(B551,'Property Name List'!A$2:D$834,3,FALSE)</f>
        <v>SpringHill Suites By Marriott Savannah I-95 South</v>
      </c>
      <c r="H551" s="15">
        <v>46119</v>
      </c>
      <c r="I551" t="s">
        <v>14</v>
      </c>
      <c r="J551">
        <f>VLOOKUP(E551,'Room Count'!A$2:B$2616,2,FALSE)</f>
        <v>86</v>
      </c>
    </row>
    <row r="552" spans="1:10" ht="17.100000000000001">
      <c r="A552" s="13" t="s">
        <v>40</v>
      </c>
      <c r="B552" s="13" t="s">
        <v>615</v>
      </c>
      <c r="C552" s="26">
        <v>200235</v>
      </c>
      <c r="D552" s="13" t="s">
        <v>615</v>
      </c>
      <c r="E552" s="13">
        <v>533</v>
      </c>
      <c r="F552" s="13" t="s">
        <v>20</v>
      </c>
      <c r="G552" s="9" t="str">
        <f>VLOOKUP(B552,'Property Name List'!A$2:D$834,3,FALSE)</f>
        <v>AC Hotel Miami Airport West/Doral</v>
      </c>
      <c r="H552" s="15">
        <v>46119</v>
      </c>
      <c r="I552" t="s">
        <v>14</v>
      </c>
      <c r="J552">
        <f>VLOOKUP(E552,'Room Count'!A$2:B$2616,2,FALSE)</f>
        <v>118</v>
      </c>
    </row>
    <row r="553" spans="1:10" ht="17.100000000000001">
      <c r="A553" s="13" t="s">
        <v>40</v>
      </c>
      <c r="B553" s="13" t="s">
        <v>616</v>
      </c>
      <c r="C553" s="26">
        <v>200233</v>
      </c>
      <c r="D553" s="13" t="s">
        <v>616</v>
      </c>
      <c r="E553" s="13">
        <v>532</v>
      </c>
      <c r="F553" s="13" t="s">
        <v>20</v>
      </c>
      <c r="G553" s="9" t="str">
        <f>VLOOKUP(B553,'Property Name List'!A$2:D$834,3,FALSE)</f>
        <v>Fairfield Inn &amp; Suites Pittsburgh Neville Island</v>
      </c>
      <c r="H553" s="15">
        <v>46119</v>
      </c>
      <c r="I553" t="s">
        <v>14</v>
      </c>
      <c r="J553">
        <f>VLOOKUP(E553,'Room Count'!A$2:B$2616,2,FALSE)</f>
        <v>110</v>
      </c>
    </row>
    <row r="554" spans="1:10" ht="17.100000000000001">
      <c r="A554" s="13" t="s">
        <v>40</v>
      </c>
      <c r="B554" s="13" t="s">
        <v>617</v>
      </c>
      <c r="C554" s="26">
        <v>200231</v>
      </c>
      <c r="D554" s="13" t="s">
        <v>617</v>
      </c>
      <c r="E554" s="13">
        <v>531</v>
      </c>
      <c r="F554" s="13" t="s">
        <v>20</v>
      </c>
      <c r="G554" s="9" t="str">
        <f>VLOOKUP(B554,'Property Name List'!A$2:D$834,3,FALSE)</f>
        <v>SpringHill Suites By Marriott Pittsburgh Mt. Lebanon</v>
      </c>
      <c r="H554" s="15">
        <v>46119</v>
      </c>
      <c r="I554" t="s">
        <v>14</v>
      </c>
      <c r="J554">
        <f>VLOOKUP(E554,'Room Count'!A$2:B$2616,2,FALSE)</f>
        <v>108</v>
      </c>
    </row>
    <row r="555" spans="1:10" ht="17.100000000000001">
      <c r="A555" s="13" t="s">
        <v>40</v>
      </c>
      <c r="B555" s="13" t="s">
        <v>618</v>
      </c>
      <c r="C555" s="26">
        <v>200229</v>
      </c>
      <c r="D555" s="13" t="s">
        <v>618</v>
      </c>
      <c r="E555" s="13">
        <v>530</v>
      </c>
      <c r="F555" s="13" t="s">
        <v>20</v>
      </c>
      <c r="G555" s="9" t="str">
        <f>VLOOKUP(B555,'Property Name List'!A$2:D$834,3,FALSE)</f>
        <v>Fairfield Inn &amp; Suites North Conway</v>
      </c>
      <c r="H555" s="15">
        <v>46119</v>
      </c>
      <c r="I555" t="s">
        <v>14</v>
      </c>
      <c r="J555">
        <f>VLOOKUP(E555,'Room Count'!A$2:B$2616,2,FALSE)</f>
        <v>88</v>
      </c>
    </row>
    <row r="556" spans="1:10" ht="17.100000000000001">
      <c r="A556" s="13" t="s">
        <v>40</v>
      </c>
      <c r="B556" s="13" t="s">
        <v>619</v>
      </c>
      <c r="C556" s="26">
        <v>200227</v>
      </c>
      <c r="D556" s="13" t="s">
        <v>619</v>
      </c>
      <c r="E556" s="13">
        <v>529</v>
      </c>
      <c r="F556" s="13" t="s">
        <v>20</v>
      </c>
      <c r="G556" s="9" t="str">
        <f>VLOOKUP(B556,'Property Name List'!A$2:D$834,3,FALSE)</f>
        <v>Moxy NYC Chelsea</v>
      </c>
      <c r="H556" s="15">
        <v>46119</v>
      </c>
      <c r="I556" t="s">
        <v>14</v>
      </c>
      <c r="J556">
        <f>VLOOKUP(E556,'Room Count'!A$2:B$2616,2,FALSE)</f>
        <v>350</v>
      </c>
    </row>
    <row r="557" spans="1:10" ht="17.100000000000001">
      <c r="A557" s="13" t="s">
        <v>40</v>
      </c>
      <c r="B557" s="13" t="s">
        <v>620</v>
      </c>
      <c r="C557" s="26">
        <v>200225</v>
      </c>
      <c r="D557" s="13" t="s">
        <v>620</v>
      </c>
      <c r="E557" s="13">
        <v>528</v>
      </c>
      <c r="F557" s="13" t="s">
        <v>20</v>
      </c>
      <c r="G557" s="9" t="str">
        <f>VLOOKUP(B557,'Property Name List'!A$2:D$834,3,FALSE)</f>
        <v>SpringHill Suites By Marriott Pittsburgh Monroeville</v>
      </c>
      <c r="H557" s="15">
        <v>46119</v>
      </c>
      <c r="I557" t="s">
        <v>14</v>
      </c>
      <c r="J557">
        <f>VLOOKUP(E557,'Room Count'!A$2:B$2616,2,FALSE)</f>
        <v>86</v>
      </c>
    </row>
    <row r="558" spans="1:10" ht="17.100000000000001">
      <c r="A558" s="13" t="s">
        <v>40</v>
      </c>
      <c r="B558" s="13" t="s">
        <v>621</v>
      </c>
      <c r="C558" s="26">
        <v>200223</v>
      </c>
      <c r="D558" s="13" t="s">
        <v>621</v>
      </c>
      <c r="E558" s="13">
        <v>527</v>
      </c>
      <c r="F558" s="13" t="s">
        <v>20</v>
      </c>
      <c r="G558" s="9" t="str">
        <f>VLOOKUP(B558,'Property Name List'!A$2:D$834,3,FALSE)</f>
        <v>Courtyard By Marriott Toledo West</v>
      </c>
      <c r="H558" s="15">
        <v>46119</v>
      </c>
      <c r="I558" t="s">
        <v>14</v>
      </c>
      <c r="J558">
        <f>VLOOKUP(E558,'Room Count'!A$2:B$2616,2,FALSE)</f>
        <v>118</v>
      </c>
    </row>
    <row r="559" spans="1:10" ht="17.100000000000001">
      <c r="A559" s="13" t="s">
        <v>40</v>
      </c>
      <c r="B559" s="13" t="s">
        <v>622</v>
      </c>
      <c r="C559" s="26">
        <v>200221</v>
      </c>
      <c r="D559" s="13" t="s">
        <v>622</v>
      </c>
      <c r="E559" s="13">
        <v>526</v>
      </c>
      <c r="F559" s="13" t="s">
        <v>20</v>
      </c>
      <c r="G559" s="9" t="str">
        <f>VLOOKUP(B559,'Property Name List'!A$2:D$834,3,FALSE)</f>
        <v>Fairfield Inn &amp; Suites Chesapeake</v>
      </c>
      <c r="H559" s="15">
        <v>46119</v>
      </c>
      <c r="I559" t="s">
        <v>14</v>
      </c>
      <c r="J559">
        <f>VLOOKUP(E559,'Room Count'!A$2:B$2616,2,FALSE)</f>
        <v>104</v>
      </c>
    </row>
    <row r="560" spans="1:10" ht="17.100000000000001">
      <c r="A560" s="13" t="s">
        <v>40</v>
      </c>
      <c r="B560" s="13" t="s">
        <v>623</v>
      </c>
      <c r="C560" s="26">
        <v>200217</v>
      </c>
      <c r="D560" s="13" t="s">
        <v>623</v>
      </c>
      <c r="E560" s="13">
        <v>524</v>
      </c>
      <c r="F560" s="13" t="s">
        <v>20</v>
      </c>
      <c r="G560" s="9" t="str">
        <f>VLOOKUP(B560,'Property Name List'!A$2:D$834,3,FALSE)</f>
        <v>Moxy Brooklyn Williamsburg</v>
      </c>
      <c r="H560" s="15">
        <v>46119</v>
      </c>
      <c r="I560" t="s">
        <v>14</v>
      </c>
      <c r="J560">
        <f>VLOOKUP(E560,'Room Count'!A$2:B$2616,2,FALSE)</f>
        <v>216</v>
      </c>
    </row>
    <row r="561" spans="1:10" ht="17.100000000000001">
      <c r="A561" s="13" t="s">
        <v>40</v>
      </c>
      <c r="B561" s="13" t="s">
        <v>624</v>
      </c>
      <c r="C561" s="26">
        <v>200215</v>
      </c>
      <c r="D561" s="13" t="s">
        <v>624</v>
      </c>
      <c r="E561" s="13">
        <v>523</v>
      </c>
      <c r="F561" s="13" t="s">
        <v>20</v>
      </c>
      <c r="G561" s="9" t="str">
        <f>VLOOKUP(B561,'Property Name List'!A$2:D$834,3,FALSE)</f>
        <v>Fairfield Inn &amp; Suites Williamsburg</v>
      </c>
      <c r="H561" s="15">
        <v>46119</v>
      </c>
      <c r="I561" t="s">
        <v>14</v>
      </c>
      <c r="J561">
        <f>VLOOKUP(E561,'Room Count'!A$2:B$2616,2,FALSE)</f>
        <v>148</v>
      </c>
    </row>
    <row r="562" spans="1:10" ht="17.100000000000001">
      <c r="A562" s="13" t="s">
        <v>40</v>
      </c>
      <c r="B562" s="13" t="s">
        <v>625</v>
      </c>
      <c r="C562" s="26">
        <v>200213</v>
      </c>
      <c r="D562" s="13" t="s">
        <v>625</v>
      </c>
      <c r="E562" s="13">
        <v>522</v>
      </c>
      <c r="F562" s="13" t="s">
        <v>20</v>
      </c>
      <c r="G562" s="9" t="str">
        <f>VLOOKUP(B562,'Property Name List'!A$2:D$834,3,FALSE)</f>
        <v>SpringHill Suites By Marriott Norfolk Old Dominion University</v>
      </c>
      <c r="H562" s="15">
        <v>46119</v>
      </c>
      <c r="I562" t="s">
        <v>14</v>
      </c>
      <c r="J562">
        <f>VLOOKUP(E562,'Room Count'!A$2:B$2616,2,FALSE)</f>
        <v>114</v>
      </c>
    </row>
    <row r="563" spans="1:10" ht="17.100000000000001">
      <c r="A563" s="13" t="s">
        <v>40</v>
      </c>
      <c r="B563" s="13" t="s">
        <v>626</v>
      </c>
      <c r="C563" s="26">
        <v>200211</v>
      </c>
      <c r="D563" s="13" t="s">
        <v>626</v>
      </c>
      <c r="E563" s="13">
        <v>521</v>
      </c>
      <c r="F563" s="13" t="s">
        <v>20</v>
      </c>
      <c r="G563" s="9" t="str">
        <f>VLOOKUP(B563,'Property Name List'!A$2:D$834,3,FALSE)</f>
        <v>Courtyard By Marriott Pittsburgh Downtown</v>
      </c>
      <c r="H563" s="15">
        <v>46119</v>
      </c>
      <c r="I563" t="s">
        <v>14</v>
      </c>
      <c r="J563">
        <f>VLOOKUP(E563,'Room Count'!A$2:B$2616,2,FALSE)</f>
        <v>183</v>
      </c>
    </row>
    <row r="564" spans="1:10" ht="17.100000000000001">
      <c r="A564" s="13" t="s">
        <v>40</v>
      </c>
      <c r="B564" s="13" t="s">
        <v>627</v>
      </c>
      <c r="C564" s="26">
        <v>200209</v>
      </c>
      <c r="D564" s="13" t="s">
        <v>627</v>
      </c>
      <c r="E564" s="13">
        <v>520</v>
      </c>
      <c r="F564" s="13" t="s">
        <v>20</v>
      </c>
      <c r="G564" s="9" t="str">
        <f>VLOOKUP(B564,'Property Name List'!A$2:D$834,3,FALSE)</f>
        <v>SpringHill Suites By Marriott Pittsburgh Bakery Square</v>
      </c>
      <c r="H564" s="15">
        <v>46119</v>
      </c>
      <c r="I564" t="s">
        <v>14</v>
      </c>
      <c r="J564">
        <f>VLOOKUP(E564,'Room Count'!A$2:B$2616,2,FALSE)</f>
        <v>110</v>
      </c>
    </row>
    <row r="565" spans="1:10" ht="17.100000000000001">
      <c r="A565" s="13" t="s">
        <v>40</v>
      </c>
      <c r="B565" s="13" t="s">
        <v>628</v>
      </c>
      <c r="C565" s="26">
        <v>200207</v>
      </c>
      <c r="D565" s="13" t="s">
        <v>628</v>
      </c>
      <c r="E565" s="13">
        <v>519</v>
      </c>
      <c r="F565" s="13" t="s">
        <v>20</v>
      </c>
      <c r="G565" s="9" t="str">
        <f>VLOOKUP(B565,'Property Name List'!A$2:D$834,3,FALSE)</f>
        <v>Courtyard By Marriott Harrisonburg</v>
      </c>
      <c r="H565" s="15">
        <v>46119</v>
      </c>
      <c r="I565" t="s">
        <v>14</v>
      </c>
      <c r="J565">
        <f>VLOOKUP(E565,'Room Count'!A$2:B$2616,2,FALSE)</f>
        <v>125</v>
      </c>
    </row>
    <row r="566" spans="1:10" ht="17.100000000000001">
      <c r="A566" s="13" t="s">
        <v>40</v>
      </c>
      <c r="B566" s="13" t="s">
        <v>629</v>
      </c>
      <c r="C566" s="26">
        <v>200205</v>
      </c>
      <c r="D566" s="13" t="s">
        <v>629</v>
      </c>
      <c r="E566" s="13">
        <v>518</v>
      </c>
      <c r="F566" s="13" t="s">
        <v>20</v>
      </c>
      <c r="G566" s="9" t="str">
        <f>VLOOKUP(B566,'Property Name List'!A$2:D$834,3,FALSE)</f>
        <v>Fairfield by Marriott Inn &amp; Suites Louisville Airport</v>
      </c>
      <c r="H566" s="15">
        <v>46119</v>
      </c>
      <c r="I566" t="s">
        <v>14</v>
      </c>
      <c r="J566">
        <f>VLOOKUP(E566,'Room Count'!A$2:B$2616,2,FALSE)</f>
        <v>96</v>
      </c>
    </row>
    <row r="567" spans="1:10" ht="17.100000000000001">
      <c r="A567" s="13" t="s">
        <v>40</v>
      </c>
      <c r="B567" s="13" t="s">
        <v>630</v>
      </c>
      <c r="C567" s="26">
        <v>200203</v>
      </c>
      <c r="D567" s="13" t="s">
        <v>630</v>
      </c>
      <c r="E567" s="13">
        <v>517</v>
      </c>
      <c r="F567" s="13" t="s">
        <v>20</v>
      </c>
      <c r="G567" s="9" t="str">
        <f>VLOOKUP(B567,'Property Name List'!A$2:D$834,3,FALSE)</f>
        <v>Fairfield Inn &amp; Suites Tampa Westshore/Airport</v>
      </c>
      <c r="H567" s="15">
        <v>46119</v>
      </c>
      <c r="I567" t="s">
        <v>14</v>
      </c>
      <c r="J567">
        <f>VLOOKUP(E567,'Room Count'!A$2:B$2616,2,FALSE)</f>
        <v>129</v>
      </c>
    </row>
    <row r="568" spans="1:10" ht="17.100000000000001">
      <c r="A568" s="13" t="s">
        <v>40</v>
      </c>
      <c r="B568" s="13" t="s">
        <v>631</v>
      </c>
      <c r="C568" s="26">
        <v>200201</v>
      </c>
      <c r="D568" s="13" t="s">
        <v>631</v>
      </c>
      <c r="E568" s="13">
        <v>516</v>
      </c>
      <c r="F568" s="13" t="s">
        <v>20</v>
      </c>
      <c r="G568" s="9" t="str">
        <f>VLOOKUP(B568,'Property Name List'!A$2:D$834,3,FALSE)</f>
        <v>Fairfield by Marriott Inn &amp; Suites Traverse City</v>
      </c>
      <c r="H568" s="15">
        <v>46119</v>
      </c>
      <c r="I568" t="s">
        <v>14</v>
      </c>
      <c r="J568">
        <f>VLOOKUP(E568,'Room Count'!A$2:B$2616,2,FALSE)</f>
        <v>93</v>
      </c>
    </row>
    <row r="569" spans="1:10" ht="17.100000000000001">
      <c r="A569" s="13" t="s">
        <v>40</v>
      </c>
      <c r="B569" s="13" t="s">
        <v>632</v>
      </c>
      <c r="C569" s="26">
        <v>200199</v>
      </c>
      <c r="D569" s="13" t="s">
        <v>632</v>
      </c>
      <c r="E569" s="13">
        <v>515</v>
      </c>
      <c r="F569" s="13" t="s">
        <v>20</v>
      </c>
      <c r="G569" s="9" t="str">
        <f>VLOOKUP(B569,'Property Name List'!A$2:D$834,3,FALSE)</f>
        <v>Courtyard By Marriott Richmond Airport</v>
      </c>
      <c r="H569" s="15">
        <v>46119</v>
      </c>
      <c r="I569" t="s">
        <v>14</v>
      </c>
      <c r="J569">
        <f>VLOOKUP(E569,'Room Count'!A$2:B$2616,2,FALSE)</f>
        <v>142</v>
      </c>
    </row>
    <row r="570" spans="1:10" ht="17.100000000000001">
      <c r="A570" s="13" t="s">
        <v>40</v>
      </c>
      <c r="B570" s="13" t="s">
        <v>633</v>
      </c>
      <c r="C570" s="26">
        <v>200197</v>
      </c>
      <c r="D570" s="13" t="s">
        <v>633</v>
      </c>
      <c r="E570" s="13">
        <v>514</v>
      </c>
      <c r="F570" s="13" t="s">
        <v>20</v>
      </c>
      <c r="G570" s="9" t="str">
        <f>VLOOKUP(B570,'Property Name List'!A$2:D$834,3,FALSE)</f>
        <v>Courtyard By Marriott Delray Beach</v>
      </c>
      <c r="H570" s="15">
        <v>46119</v>
      </c>
      <c r="I570" t="s">
        <v>14</v>
      </c>
      <c r="J570">
        <f>VLOOKUP(E570,'Room Count'!A$2:B$2616,2,FALSE)</f>
        <v>150</v>
      </c>
    </row>
    <row r="571" spans="1:10" ht="17.100000000000001">
      <c r="A571" s="13" t="s">
        <v>40</v>
      </c>
      <c r="B571" s="13" t="s">
        <v>634</v>
      </c>
      <c r="C571" s="26">
        <v>200195</v>
      </c>
      <c r="D571" s="13" t="s">
        <v>634</v>
      </c>
      <c r="E571" s="13">
        <v>513</v>
      </c>
      <c r="F571" s="13" t="s">
        <v>20</v>
      </c>
      <c r="G571" s="9" t="str">
        <f>VLOOKUP(B571,'Property Name List'!A$2:D$834,3,FALSE)</f>
        <v>SpringHill Suites By Marriott Manchester-Boston Regional Airport</v>
      </c>
      <c r="H571" s="15">
        <v>46119</v>
      </c>
      <c r="I571" t="s">
        <v>14</v>
      </c>
      <c r="J571">
        <f>VLOOKUP(E571,'Room Count'!A$2:B$2616,2,FALSE)</f>
        <v>100</v>
      </c>
    </row>
    <row r="572" spans="1:10" ht="17.100000000000001">
      <c r="A572" s="13" t="s">
        <v>40</v>
      </c>
      <c r="B572" s="13" t="s">
        <v>635</v>
      </c>
      <c r="C572" s="26">
        <v>200193</v>
      </c>
      <c r="D572" s="13" t="s">
        <v>635</v>
      </c>
      <c r="E572" s="13">
        <v>512</v>
      </c>
      <c r="F572" s="13" t="s">
        <v>20</v>
      </c>
      <c r="G572" s="9" t="str">
        <f>VLOOKUP(B572,'Property Name List'!A$2:D$834,3,FALSE)</f>
        <v>Fairfield Inn &amp; Suites Raleigh Capital Blvd./I-540</v>
      </c>
      <c r="H572" s="15">
        <v>46119</v>
      </c>
      <c r="I572" t="s">
        <v>14</v>
      </c>
      <c r="J572">
        <f>VLOOKUP(E572,'Room Count'!A$2:B$2616,2,FALSE)</f>
        <v>88</v>
      </c>
    </row>
    <row r="573" spans="1:10" ht="17.100000000000001">
      <c r="A573" s="13" t="s">
        <v>40</v>
      </c>
      <c r="B573" s="13" t="s">
        <v>636</v>
      </c>
      <c r="C573" s="26">
        <v>200191</v>
      </c>
      <c r="D573" s="13" t="s">
        <v>636</v>
      </c>
      <c r="E573" s="13">
        <v>511</v>
      </c>
      <c r="F573" s="13" t="s">
        <v>20</v>
      </c>
      <c r="G573" s="9" t="str">
        <f>VLOOKUP(B573,'Property Name List'!A$2:D$834,3,FALSE)</f>
        <v>SpringHill Suites By Marriott Orlando Altamonte Springs/Maitland</v>
      </c>
      <c r="H573" s="15">
        <v>46119</v>
      </c>
      <c r="I573" t="s">
        <v>14</v>
      </c>
      <c r="J573">
        <f>VLOOKUP(E573,'Room Count'!A$2:B$2616,2,FALSE)</f>
        <v>90</v>
      </c>
    </row>
    <row r="574" spans="1:10" ht="17.100000000000001">
      <c r="A574" s="13" t="s">
        <v>40</v>
      </c>
      <c r="B574" s="13" t="s">
        <v>637</v>
      </c>
      <c r="C574" s="26">
        <v>200189</v>
      </c>
      <c r="D574" s="13" t="s">
        <v>637</v>
      </c>
      <c r="E574" s="13">
        <v>510</v>
      </c>
      <c r="F574" s="13" t="s">
        <v>20</v>
      </c>
      <c r="G574" s="9" t="str">
        <f>VLOOKUP(B574,'Property Name List'!A$2:D$834,3,FALSE)</f>
        <v>Moxy Miami South Beach</v>
      </c>
      <c r="H574" s="15">
        <v>46119</v>
      </c>
      <c r="I574" t="s">
        <v>14</v>
      </c>
      <c r="J574">
        <f>VLOOKUP(E574,'Room Count'!A$2:B$2616,2,FALSE)</f>
        <v>202</v>
      </c>
    </row>
    <row r="575" spans="1:10" ht="17.100000000000001">
      <c r="A575" s="13" t="s">
        <v>40</v>
      </c>
      <c r="B575" s="13" t="s">
        <v>638</v>
      </c>
      <c r="C575" s="26">
        <v>200187</v>
      </c>
      <c r="D575" s="13" t="s">
        <v>638</v>
      </c>
      <c r="E575" s="13">
        <v>509</v>
      </c>
      <c r="F575" s="13" t="s">
        <v>20</v>
      </c>
      <c r="G575" s="9" t="str">
        <f>VLOOKUP(B575,'Property Name List'!A$2:D$834,3,FALSE)</f>
        <v>SpringHill Suites By Marriott New York LaGuardia Airport</v>
      </c>
      <c r="H575" s="15">
        <v>46119</v>
      </c>
      <c r="I575" t="s">
        <v>14</v>
      </c>
      <c r="J575">
        <f>VLOOKUP(E575,'Room Count'!A$2:B$2616,2,FALSE)</f>
        <v>173</v>
      </c>
    </row>
    <row r="576" spans="1:10" ht="17.100000000000001">
      <c r="A576" s="13" t="s">
        <v>40</v>
      </c>
      <c r="B576" s="13" t="s">
        <v>639</v>
      </c>
      <c r="C576" s="26">
        <v>200185</v>
      </c>
      <c r="D576" s="13" t="s">
        <v>639</v>
      </c>
      <c r="E576" s="13">
        <v>508</v>
      </c>
      <c r="F576" s="13" t="s">
        <v>20</v>
      </c>
      <c r="G576" s="9" t="str">
        <f>VLOOKUP(B576,'Property Name List'!A$2:D$834,3,FALSE)</f>
        <v>Fairfield by Marriott Inn &amp; Suites Knoxville Clinton</v>
      </c>
      <c r="H576" s="15">
        <v>46119</v>
      </c>
      <c r="I576" t="s">
        <v>14</v>
      </c>
      <c r="J576">
        <f>VLOOKUP(E576,'Room Count'!A$2:B$2616,2,FALSE)</f>
        <v>80</v>
      </c>
    </row>
    <row r="577" spans="1:10" ht="17.100000000000001">
      <c r="A577" s="13" t="s">
        <v>40</v>
      </c>
      <c r="B577" s="13" t="s">
        <v>640</v>
      </c>
      <c r="C577" s="26">
        <v>200183</v>
      </c>
      <c r="D577" s="13" t="s">
        <v>640</v>
      </c>
      <c r="E577" s="13">
        <v>507</v>
      </c>
      <c r="F577" s="13" t="s">
        <v>20</v>
      </c>
      <c r="G577" s="9" t="str">
        <f>VLOOKUP(B577,'Property Name List'!A$2:D$834,3,FALSE)</f>
        <v>Courtyard By Marriott Savannah Airport</v>
      </c>
      <c r="H577" s="15">
        <v>46119</v>
      </c>
      <c r="I577" t="s">
        <v>14</v>
      </c>
      <c r="J577">
        <f>VLOOKUP(E577,'Room Count'!A$2:B$2616,2,FALSE)</f>
        <v>120</v>
      </c>
    </row>
    <row r="578" spans="1:10" ht="17.100000000000001">
      <c r="A578" s="13" t="s">
        <v>40</v>
      </c>
      <c r="B578" s="13" t="s">
        <v>641</v>
      </c>
      <c r="C578" s="26">
        <v>200181</v>
      </c>
      <c r="D578" s="13" t="s">
        <v>641</v>
      </c>
      <c r="E578" s="13">
        <v>506</v>
      </c>
      <c r="F578" s="13" t="s">
        <v>20</v>
      </c>
      <c r="G578" s="9" t="str">
        <f>VLOOKUP(B578,'Property Name List'!A$2:D$834,3,FALSE)</f>
        <v>Fairfield by Marriott Inn &amp; Suites Virginia Beach Town Center</v>
      </c>
      <c r="H578" s="15">
        <v>46119</v>
      </c>
      <c r="I578" t="s">
        <v>14</v>
      </c>
      <c r="J578">
        <f>VLOOKUP(E578,'Room Count'!A$2:B$2616,2,FALSE)</f>
        <v>120</v>
      </c>
    </row>
    <row r="579" spans="1:10" ht="17.100000000000001">
      <c r="A579" s="13" t="s">
        <v>40</v>
      </c>
      <c r="B579" s="13" t="s">
        <v>642</v>
      </c>
      <c r="C579" s="26">
        <v>200179</v>
      </c>
      <c r="D579" s="13" t="s">
        <v>642</v>
      </c>
      <c r="E579" s="13">
        <v>505</v>
      </c>
      <c r="F579" s="13" t="s">
        <v>20</v>
      </c>
      <c r="G579" s="9" t="str">
        <f>VLOOKUP(B579,'Property Name List'!A$2:D$834,3,FALSE)</f>
        <v>Courtyard By Marriott Rome Riverwalk</v>
      </c>
      <c r="H579" s="15">
        <v>46119</v>
      </c>
      <c r="I579" t="s">
        <v>14</v>
      </c>
      <c r="J579">
        <f>VLOOKUP(E579,'Room Count'!A$2:B$2616,2,FALSE)</f>
        <v>124</v>
      </c>
    </row>
    <row r="580" spans="1:10" ht="17.100000000000001">
      <c r="A580" s="13" t="s">
        <v>40</v>
      </c>
      <c r="B580" s="13" t="s">
        <v>643</v>
      </c>
      <c r="C580" s="26">
        <v>200177</v>
      </c>
      <c r="D580" s="13" t="s">
        <v>643</v>
      </c>
      <c r="E580" s="13">
        <v>504</v>
      </c>
      <c r="F580" s="13" t="s">
        <v>20</v>
      </c>
      <c r="G580" s="9" t="str">
        <f>VLOOKUP(B580,'Property Name List'!A$2:D$834,3,FALSE)</f>
        <v>AC Hotel Raleigh North Hills</v>
      </c>
      <c r="H580" s="15">
        <v>46119</v>
      </c>
      <c r="I580" t="s">
        <v>14</v>
      </c>
      <c r="J580">
        <f>VLOOKUP(E580,'Room Count'!A$2:B$2616,2,FALSE)</f>
        <v>135</v>
      </c>
    </row>
    <row r="581" spans="1:10" ht="17.100000000000001">
      <c r="A581" s="13" t="s">
        <v>40</v>
      </c>
      <c r="B581" s="13" t="s">
        <v>644</v>
      </c>
      <c r="C581" s="26">
        <v>200175</v>
      </c>
      <c r="D581" s="13" t="s">
        <v>644</v>
      </c>
      <c r="E581" s="13">
        <v>503</v>
      </c>
      <c r="F581" s="13" t="s">
        <v>20</v>
      </c>
      <c r="G581" s="9" t="str">
        <f>VLOOKUP(B581,'Property Name List'!A$2:D$834,3,FALSE)</f>
        <v>Courtyard By Marriott Westbury Long Island</v>
      </c>
      <c r="H581" s="15">
        <v>46119</v>
      </c>
      <c r="I581" t="s">
        <v>14</v>
      </c>
      <c r="J581">
        <f>VLOOKUP(E581,'Room Count'!A$2:B$2616,2,FALSE)</f>
        <v>145</v>
      </c>
    </row>
    <row r="582" spans="1:10" ht="17.100000000000001">
      <c r="A582" s="13" t="s">
        <v>40</v>
      </c>
      <c r="B582" s="13" t="s">
        <v>645</v>
      </c>
      <c r="C582" s="26">
        <v>200173</v>
      </c>
      <c r="D582" s="13" t="s">
        <v>645</v>
      </c>
      <c r="E582" s="13">
        <v>502</v>
      </c>
      <c r="F582" s="13" t="s">
        <v>20</v>
      </c>
      <c r="G582" s="9" t="str">
        <f>VLOOKUP(B582,'Property Name List'!A$2:D$834,3,FALSE)</f>
        <v>Fairfield by Marriott Inn &amp; Suites Bonita Springs</v>
      </c>
      <c r="H582" s="15">
        <v>46119</v>
      </c>
      <c r="I582" t="s">
        <v>14</v>
      </c>
      <c r="J582">
        <f>VLOOKUP(E582,'Room Count'!A$2:B$2616,2,FALSE)</f>
        <v>113</v>
      </c>
    </row>
    <row r="583" spans="1:10" ht="17.100000000000001">
      <c r="A583" s="13" t="s">
        <v>40</v>
      </c>
      <c r="B583" s="13" t="s">
        <v>646</v>
      </c>
      <c r="C583" s="26">
        <v>200171</v>
      </c>
      <c r="D583" s="13" t="s">
        <v>646</v>
      </c>
      <c r="E583" s="13">
        <v>501</v>
      </c>
      <c r="F583" s="13" t="s">
        <v>20</v>
      </c>
      <c r="G583" s="9" t="str">
        <f>VLOOKUP(B583,'Property Name List'!A$2:D$834,3,FALSE)</f>
        <v>Fairfield by Marriott Inn &amp; Suites Raleigh Wake Forest</v>
      </c>
      <c r="H583" s="15">
        <v>46119</v>
      </c>
      <c r="I583" t="s">
        <v>14</v>
      </c>
      <c r="J583">
        <f>VLOOKUP(E583,'Room Count'!A$2:B$2616,2,FALSE)</f>
        <v>90</v>
      </c>
    </row>
    <row r="584" spans="1:10" ht="17.100000000000001">
      <c r="A584" s="13" t="s">
        <v>40</v>
      </c>
      <c r="B584" s="13" t="s">
        <v>647</v>
      </c>
      <c r="C584" s="26">
        <v>100699</v>
      </c>
      <c r="D584" s="13" t="s">
        <v>647</v>
      </c>
      <c r="E584" s="13">
        <v>500</v>
      </c>
      <c r="F584" s="13" t="s">
        <v>12</v>
      </c>
      <c r="G584" s="9" t="str">
        <f>VLOOKUP(B584,'Property Name List'!A$2:D$834,3,FALSE)</f>
        <v>AC Hotel Greenville</v>
      </c>
      <c r="H584" s="15">
        <v>46119</v>
      </c>
      <c r="I584" t="s">
        <v>14</v>
      </c>
      <c r="J584">
        <f>VLOOKUP(E584,'Room Count'!A$2:B$2616,2,FALSE)</f>
        <v>196</v>
      </c>
    </row>
    <row r="585" spans="1:10" ht="17.100000000000001">
      <c r="A585" s="13" t="s">
        <v>40</v>
      </c>
      <c r="B585" s="13" t="s">
        <v>648</v>
      </c>
      <c r="C585" s="26">
        <v>100697</v>
      </c>
      <c r="D585" s="13" t="s">
        <v>648</v>
      </c>
      <c r="E585" s="13">
        <v>499</v>
      </c>
      <c r="F585" s="13" t="s">
        <v>12</v>
      </c>
      <c r="G585" s="9" t="str">
        <f>VLOOKUP(B585,'Property Name List'!A$2:D$834,3,FALSE)</f>
        <v>Fairfield Inn &amp; Suites Rockingham</v>
      </c>
      <c r="H585" s="15">
        <v>46119</v>
      </c>
      <c r="I585" t="s">
        <v>14</v>
      </c>
      <c r="J585">
        <f>VLOOKUP(E585,'Room Count'!A$2:B$2616,2,FALSE)</f>
        <v>64</v>
      </c>
    </row>
    <row r="586" spans="1:10" ht="17.100000000000001">
      <c r="A586" s="13" t="s">
        <v>40</v>
      </c>
      <c r="B586" s="13" t="s">
        <v>649</v>
      </c>
      <c r="C586" s="26">
        <v>100695</v>
      </c>
      <c r="D586" s="13" t="s">
        <v>649</v>
      </c>
      <c r="E586" s="13">
        <v>498</v>
      </c>
      <c r="F586" s="13" t="s">
        <v>12</v>
      </c>
      <c r="G586" s="9" t="str">
        <f>VLOOKUP(B586,'Property Name List'!A$2:D$834,3,FALSE)</f>
        <v>Moxy Chattanooga Downtown</v>
      </c>
      <c r="H586" s="15">
        <v>46119</v>
      </c>
      <c r="I586" t="s">
        <v>14</v>
      </c>
      <c r="J586">
        <f>VLOOKUP(E586,'Room Count'!A$2:B$2616,2,FALSE)</f>
        <v>108</v>
      </c>
    </row>
    <row r="587" spans="1:10" ht="17.100000000000001">
      <c r="A587" s="13" t="s">
        <v>41</v>
      </c>
      <c r="B587" s="13" t="s">
        <v>650</v>
      </c>
      <c r="C587" s="26">
        <v>100445</v>
      </c>
      <c r="D587" s="13" t="s">
        <v>650</v>
      </c>
      <c r="E587" s="13">
        <v>348</v>
      </c>
      <c r="F587" s="13" t="s">
        <v>12</v>
      </c>
      <c r="G587" s="9" t="str">
        <f>VLOOKUP(B587,'Property Name List'!A$2:D$834,3,FALSE)</f>
        <v>Fairfield Inn &amp; Suites Lumberton</v>
      </c>
      <c r="H587" s="15">
        <v>46133</v>
      </c>
      <c r="I587" t="s">
        <v>14</v>
      </c>
      <c r="J587">
        <f>VLOOKUP(E587,'Room Count'!A$2:B$2616,2,FALSE)</f>
        <v>103</v>
      </c>
    </row>
    <row r="588" spans="1:10" ht="17.100000000000001">
      <c r="A588" s="13" t="s">
        <v>41</v>
      </c>
      <c r="B588" s="13" t="s">
        <v>651</v>
      </c>
      <c r="C588" s="26">
        <v>100471</v>
      </c>
      <c r="D588" s="13" t="s">
        <v>651</v>
      </c>
      <c r="E588" s="13">
        <v>361</v>
      </c>
      <c r="F588" s="13" t="s">
        <v>12</v>
      </c>
      <c r="G588" s="9" t="str">
        <f>VLOOKUP(B588,'Property Name List'!A$2:D$834,3,FALSE)</f>
        <v>Fairfield Inn &amp; Suites Dublin</v>
      </c>
      <c r="H588" s="15">
        <v>46133</v>
      </c>
      <c r="I588" t="s">
        <v>14</v>
      </c>
      <c r="J588">
        <f>VLOOKUP(E588,'Room Count'!A$2:B$2616,2,FALSE)</f>
        <v>75</v>
      </c>
    </row>
    <row r="589" spans="1:10" ht="17.100000000000001">
      <c r="A589" s="13" t="s">
        <v>41</v>
      </c>
      <c r="B589" s="13" t="s">
        <v>652</v>
      </c>
      <c r="C589" s="26">
        <v>100477</v>
      </c>
      <c r="D589" s="13" t="s">
        <v>652</v>
      </c>
      <c r="E589" s="13">
        <v>364</v>
      </c>
      <c r="F589" s="13" t="s">
        <v>12</v>
      </c>
      <c r="G589" s="9" t="str">
        <f>VLOOKUP(B589,'Property Name List'!A$2:D$834,3,FALSE)</f>
        <v>Courtyard By Marriott New Bern</v>
      </c>
      <c r="H589" s="15">
        <v>46133</v>
      </c>
      <c r="I589" t="s">
        <v>14</v>
      </c>
      <c r="J589">
        <f>VLOOKUP(E589,'Room Count'!A$2:B$2616,2,FALSE)</f>
        <v>98</v>
      </c>
    </row>
    <row r="590" spans="1:10" ht="17.100000000000001" hidden="1">
      <c r="A590" s="13" t="s">
        <v>42</v>
      </c>
      <c r="B590" s="13" t="s">
        <v>653</v>
      </c>
      <c r="C590" s="26">
        <v>100495</v>
      </c>
      <c r="D590" s="13" t="s">
        <v>653</v>
      </c>
      <c r="E590" s="13">
        <v>373</v>
      </c>
      <c r="F590" s="13" t="s">
        <v>12</v>
      </c>
      <c r="G590" s="9" t="str">
        <f>VLOOKUP(B590,'Property Name List'!A$2:D$834,3,FALSE)</f>
        <v>Fairfield Inn &amp; Suites Key West</v>
      </c>
      <c r="H590" s="13" t="s">
        <v>42</v>
      </c>
      <c r="I590" t="s">
        <v>14</v>
      </c>
      <c r="J590">
        <f>VLOOKUP(E590,'Room Count'!A$2:B$2616,2,FALSE)</f>
        <v>106</v>
      </c>
    </row>
    <row r="591" spans="1:10" ht="17.100000000000001">
      <c r="A591" s="13" t="s">
        <v>41</v>
      </c>
      <c r="B591" s="13" t="s">
        <v>654</v>
      </c>
      <c r="C591" s="26">
        <v>100513</v>
      </c>
      <c r="D591" s="13" t="s">
        <v>654</v>
      </c>
      <c r="E591" s="13">
        <v>382</v>
      </c>
      <c r="F591" s="13" t="s">
        <v>12</v>
      </c>
      <c r="G591" s="9" t="str">
        <f>VLOOKUP(B591,'Property Name List'!A$2:D$834,3,FALSE)</f>
        <v>Fairfield Inn &amp; Suites Detroit Livonia</v>
      </c>
      <c r="H591" s="15">
        <v>46133</v>
      </c>
      <c r="I591" t="s">
        <v>14</v>
      </c>
      <c r="J591">
        <f>VLOOKUP(E591,'Room Count'!A$2:B$2616,2,FALSE)</f>
        <v>100</v>
      </c>
    </row>
    <row r="592" spans="1:10" ht="17.100000000000001">
      <c r="A592" s="13" t="s">
        <v>41</v>
      </c>
      <c r="B592" s="13" t="s">
        <v>54</v>
      </c>
      <c r="C592" s="26" t="s">
        <v>655</v>
      </c>
      <c r="D592" s="13" t="s">
        <v>54</v>
      </c>
      <c r="E592" s="13">
        <v>394</v>
      </c>
      <c r="F592" s="13" t="s">
        <v>12</v>
      </c>
      <c r="G592" s="9" t="str">
        <f>VLOOKUP(B592,'Property Name List'!A$2:D$834,3,FALSE)</f>
        <v>Courtyard By Marriott Detroit Southfield</v>
      </c>
      <c r="H592" s="15">
        <v>46133</v>
      </c>
      <c r="I592" t="s">
        <v>14</v>
      </c>
      <c r="J592">
        <f>VLOOKUP(E592,'Room Count'!A$2:B$2616,2,FALSE)</f>
        <v>147</v>
      </c>
    </row>
    <row r="593" spans="1:10" ht="17.100000000000001">
      <c r="A593" s="13" t="s">
        <v>41</v>
      </c>
      <c r="B593" s="13" t="s">
        <v>656</v>
      </c>
      <c r="C593" s="26">
        <v>100571</v>
      </c>
      <c r="D593" s="13" t="s">
        <v>656</v>
      </c>
      <c r="E593" s="13">
        <v>411</v>
      </c>
      <c r="F593" s="13" t="s">
        <v>12</v>
      </c>
      <c r="G593" s="9" t="str">
        <f>VLOOKUP(B593,'Property Name List'!A$2:D$834,3,FALSE)</f>
        <v>Courtyard By Marriott Danbury</v>
      </c>
      <c r="H593" s="15">
        <v>46133</v>
      </c>
      <c r="I593" t="s">
        <v>14</v>
      </c>
      <c r="J593">
        <f>VLOOKUP(E593,'Room Count'!A$2:B$2616,2,FALSE)</f>
        <v>124</v>
      </c>
    </row>
    <row r="594" spans="1:10" ht="17.100000000000001">
      <c r="A594" s="13" t="s">
        <v>41</v>
      </c>
      <c r="B594" s="13" t="s">
        <v>657</v>
      </c>
      <c r="C594" s="26">
        <v>100581</v>
      </c>
      <c r="D594" s="13" t="s">
        <v>657</v>
      </c>
      <c r="E594" s="13">
        <v>416</v>
      </c>
      <c r="F594" s="13" t="s">
        <v>12</v>
      </c>
      <c r="G594" s="9" t="str">
        <f>VLOOKUP(B594,'Property Name List'!A$2:D$834,3,FALSE)</f>
        <v>Courtyard By Marriott Dayton-University of Dayton</v>
      </c>
      <c r="H594" s="15">
        <v>46133</v>
      </c>
      <c r="I594" t="s">
        <v>14</v>
      </c>
      <c r="J594">
        <f>VLOOKUP(E594,'Room Count'!A$2:B$2616,2,FALSE)</f>
        <v>101</v>
      </c>
    </row>
    <row r="595" spans="1:10" ht="17.100000000000001">
      <c r="A595" s="13" t="s">
        <v>41</v>
      </c>
      <c r="B595" s="13" t="s">
        <v>658</v>
      </c>
      <c r="C595" s="26">
        <v>100589</v>
      </c>
      <c r="D595" s="13" t="s">
        <v>658</v>
      </c>
      <c r="E595" s="13">
        <v>420</v>
      </c>
      <c r="F595" s="13" t="s">
        <v>12</v>
      </c>
      <c r="G595" s="9" t="str">
        <f>VLOOKUP(B595,'Property Name List'!A$2:D$834,3,FALSE)</f>
        <v>Fairfield Inn &amp; Suites Detroit Farmington Hills</v>
      </c>
      <c r="H595" s="15">
        <v>46133</v>
      </c>
      <c r="I595" t="s">
        <v>14</v>
      </c>
      <c r="J595">
        <f>VLOOKUP(E595,'Room Count'!A$2:B$2616,2,FALSE)</f>
        <v>88</v>
      </c>
    </row>
    <row r="596" spans="1:10" ht="17.100000000000001">
      <c r="A596" s="13" t="s">
        <v>41</v>
      </c>
      <c r="B596" s="13" t="s">
        <v>659</v>
      </c>
      <c r="C596" s="26">
        <v>100623</v>
      </c>
      <c r="D596" s="13" t="s">
        <v>659</v>
      </c>
      <c r="E596" s="13">
        <v>437</v>
      </c>
      <c r="F596" s="13" t="s">
        <v>12</v>
      </c>
      <c r="G596" s="9" t="str">
        <f>VLOOKUP(B596,'Property Name List'!A$2:D$834,3,FALSE)</f>
        <v>Fairfield Inn &amp; Suites Detroit Chesterfield</v>
      </c>
      <c r="H596" s="15">
        <v>46133</v>
      </c>
      <c r="I596" t="s">
        <v>14</v>
      </c>
      <c r="J596">
        <f>VLOOKUP(E596,'Room Count'!A$2:B$2616,2,FALSE)</f>
        <v>88</v>
      </c>
    </row>
    <row r="597" spans="1:10" ht="17.100000000000001">
      <c r="A597" s="13" t="s">
        <v>41</v>
      </c>
      <c r="B597" s="13" t="s">
        <v>660</v>
      </c>
      <c r="C597" s="26">
        <v>100633</v>
      </c>
      <c r="D597" s="13" t="s">
        <v>660</v>
      </c>
      <c r="E597" s="13">
        <v>442</v>
      </c>
      <c r="F597" s="13" t="s">
        <v>12</v>
      </c>
      <c r="G597" s="9" t="str">
        <f>VLOOKUP(B597,'Property Name List'!A$2:D$834,3,FALSE)</f>
        <v>Fairfield Inn &amp; Suites Dunn I-95</v>
      </c>
      <c r="H597" s="15">
        <v>46133</v>
      </c>
      <c r="I597" t="s">
        <v>14</v>
      </c>
      <c r="J597">
        <f>VLOOKUP(E597,'Room Count'!A$2:B$2616,2,FALSE)</f>
        <v>88</v>
      </c>
    </row>
    <row r="598" spans="1:10" ht="17.100000000000001">
      <c r="A598" s="13" t="s">
        <v>41</v>
      </c>
      <c r="B598" s="13" t="s">
        <v>661</v>
      </c>
      <c r="C598" s="26">
        <v>100655</v>
      </c>
      <c r="D598" s="13" t="s">
        <v>661</v>
      </c>
      <c r="E598" s="13">
        <v>454</v>
      </c>
      <c r="F598" s="13" t="s">
        <v>12</v>
      </c>
      <c r="G598" s="9" t="str">
        <f>VLOOKUP(B598,'Property Name List'!A$2:D$834,3,FALSE)</f>
        <v>Fairfield Inn By Marriott Evansville West</v>
      </c>
      <c r="H598" s="15">
        <v>46133</v>
      </c>
      <c r="I598" t="s">
        <v>14</v>
      </c>
      <c r="J598">
        <f>VLOOKUP(E598,'Room Count'!A$2:B$2616,2,FALSE)</f>
        <v>110</v>
      </c>
    </row>
    <row r="599" spans="1:10" ht="17.100000000000001">
      <c r="A599" s="13" t="s">
        <v>41</v>
      </c>
      <c r="B599" s="13" t="s">
        <v>662</v>
      </c>
      <c r="C599" s="26">
        <v>100663</v>
      </c>
      <c r="D599" s="13" t="s">
        <v>662</v>
      </c>
      <c r="E599" s="13">
        <v>461</v>
      </c>
      <c r="F599" s="13" t="s">
        <v>12</v>
      </c>
      <c r="G599" s="9" t="str">
        <f>VLOOKUP(B599,'Property Name List'!A$2:D$834,3,FALSE)</f>
        <v>Fairfield Inn &amp; Suites Des Moines Downtown</v>
      </c>
      <c r="H599" s="15">
        <v>46133</v>
      </c>
      <c r="I599" t="s">
        <v>14</v>
      </c>
      <c r="J599">
        <f>VLOOKUP(E599,'Room Count'!A$2:B$2616,2,FALSE)</f>
        <v>91</v>
      </c>
    </row>
    <row r="600" spans="1:10" ht="17.100000000000001">
      <c r="A600" s="13" t="s">
        <v>41</v>
      </c>
      <c r="B600" s="13" t="s">
        <v>663</v>
      </c>
      <c r="C600" s="26">
        <v>100667</v>
      </c>
      <c r="D600" s="13" t="s">
        <v>663</v>
      </c>
      <c r="E600" s="13">
        <v>467</v>
      </c>
      <c r="F600" s="13" t="s">
        <v>12</v>
      </c>
      <c r="G600" s="9" t="str">
        <f>VLOOKUP(B600,'Property Name List'!A$2:D$834,3,FALSE)</f>
        <v>Fairfield by Marriott Inn &amp; Suites Oskaloosa</v>
      </c>
      <c r="H600" s="15">
        <v>46133</v>
      </c>
      <c r="I600" t="s">
        <v>14</v>
      </c>
      <c r="J600">
        <f>VLOOKUP(E600,'Room Count'!A$2:B$2616,2,FALSE)</f>
        <v>76</v>
      </c>
    </row>
    <row r="601" spans="1:10" ht="17.100000000000001">
      <c r="A601" s="13" t="s">
        <v>41</v>
      </c>
      <c r="B601" s="13" t="s">
        <v>664</v>
      </c>
      <c r="C601" s="26">
        <v>100669</v>
      </c>
      <c r="D601" s="13" t="s">
        <v>664</v>
      </c>
      <c r="E601" s="13">
        <v>468</v>
      </c>
      <c r="F601" s="13" t="s">
        <v>12</v>
      </c>
      <c r="G601" s="9" t="str">
        <f>VLOOKUP(B601,'Property Name List'!A$2:D$834,3,FALSE)</f>
        <v>Fairfield Inn &amp; Suites Duluth Waterfront</v>
      </c>
      <c r="H601" s="15">
        <v>46133</v>
      </c>
      <c r="I601" t="s">
        <v>14</v>
      </c>
      <c r="J601">
        <f>VLOOKUP(E601,'Room Count'!A$2:B$2616,2,FALSE)</f>
        <v>84</v>
      </c>
    </row>
    <row r="602" spans="1:10" ht="17.100000000000001">
      <c r="A602" s="13" t="s">
        <v>41</v>
      </c>
      <c r="B602" s="13" t="s">
        <v>665</v>
      </c>
      <c r="C602" s="26">
        <v>100675</v>
      </c>
      <c r="D602" s="13" t="s">
        <v>665</v>
      </c>
      <c r="E602" s="13">
        <v>472</v>
      </c>
      <c r="F602" s="13" t="s">
        <v>12</v>
      </c>
      <c r="G602" s="9" t="str">
        <f>VLOOKUP(B602,'Property Name List'!A$2:D$834,3,FALSE)</f>
        <v>Fairfield Inn &amp; Suites Des Moines Altoona</v>
      </c>
      <c r="H602" s="15">
        <v>46133</v>
      </c>
      <c r="I602" t="s">
        <v>14</v>
      </c>
      <c r="J602">
        <f>VLOOKUP(E602,'Room Count'!A$2:B$2616,2,FALSE)</f>
        <v>107</v>
      </c>
    </row>
    <row r="603" spans="1:10" ht="17.100000000000001">
      <c r="A603" s="13" t="s">
        <v>41</v>
      </c>
      <c r="B603" s="13" t="s">
        <v>666</v>
      </c>
      <c r="C603" s="26">
        <v>200165</v>
      </c>
      <c r="D603" s="13" t="s">
        <v>666</v>
      </c>
      <c r="E603" s="13">
        <v>495</v>
      </c>
      <c r="F603" s="13" t="s">
        <v>20</v>
      </c>
      <c r="G603" s="9" t="str">
        <f>VLOOKUP(B603,'Property Name List'!A$2:D$834,3,FALSE)</f>
        <v>SpringHill Suites By Marriott Flagstaff</v>
      </c>
      <c r="H603" s="15">
        <v>46133</v>
      </c>
      <c r="I603" t="s">
        <v>14</v>
      </c>
      <c r="J603">
        <f>VLOOKUP(E603,'Room Count'!A$2:B$2616,2,FALSE)</f>
        <v>113</v>
      </c>
    </row>
    <row r="604" spans="1:10" ht="17.100000000000001">
      <c r="A604" s="13" t="s">
        <v>41</v>
      </c>
      <c r="B604" s="13" t="s">
        <v>667</v>
      </c>
      <c r="C604" s="26">
        <v>200761</v>
      </c>
      <c r="D604" s="13" t="s">
        <v>667</v>
      </c>
      <c r="E604" s="13">
        <v>917</v>
      </c>
      <c r="F604" s="13" t="s">
        <v>20</v>
      </c>
      <c r="G604" s="9" t="str">
        <f>VLOOKUP(B604,'Property Name List'!A$2:D$834,3,FALSE)</f>
        <v>SpringHill Suites By Marriott Kingman Route 66</v>
      </c>
      <c r="H604" s="15">
        <v>46133</v>
      </c>
      <c r="I604" t="s">
        <v>14</v>
      </c>
      <c r="J604">
        <f>VLOOKUP(E604,'Room Count'!A$2:B$2616,2,FALSE)</f>
        <v>73</v>
      </c>
    </row>
    <row r="605" spans="1:10" ht="17.100000000000001">
      <c r="A605" s="13" t="s">
        <v>41</v>
      </c>
      <c r="B605" s="13" t="s">
        <v>668</v>
      </c>
      <c r="C605" s="26">
        <v>200759</v>
      </c>
      <c r="D605" s="13" t="s">
        <v>668</v>
      </c>
      <c r="E605" s="13">
        <v>916</v>
      </c>
      <c r="F605" s="13" t="s">
        <v>20</v>
      </c>
      <c r="G605" s="9" t="str">
        <f>VLOOKUP(B605,'Property Name List'!A$2:D$834,3,FALSE)</f>
        <v>Fairfield Inn &amp; Suites Portland North</v>
      </c>
      <c r="H605" s="15">
        <v>46133</v>
      </c>
      <c r="I605" t="s">
        <v>14</v>
      </c>
      <c r="J605">
        <f>VLOOKUP(E605,'Room Count'!A$2:B$2616,2,FALSE)</f>
        <v>93</v>
      </c>
    </row>
    <row r="606" spans="1:10" ht="17.100000000000001">
      <c r="A606" s="13" t="s">
        <v>41</v>
      </c>
      <c r="B606" s="13" t="s">
        <v>669</v>
      </c>
      <c r="C606" s="26">
        <v>200757</v>
      </c>
      <c r="D606" s="13" t="s">
        <v>669</v>
      </c>
      <c r="E606" s="13">
        <v>915</v>
      </c>
      <c r="F606" s="13" t="s">
        <v>20</v>
      </c>
      <c r="G606" s="9" t="str">
        <f>VLOOKUP(B606,'Property Name List'!A$2:D$834,3,FALSE)</f>
        <v>Courtyard By Marriott Los Angeles LAX/Century Boulevard</v>
      </c>
      <c r="H606" s="15">
        <v>46133</v>
      </c>
      <c r="I606" t="s">
        <v>14</v>
      </c>
      <c r="J606">
        <f>VLOOKUP(E606,'Room Count'!A$2:B$2616,2,FALSE)</f>
        <v>190</v>
      </c>
    </row>
    <row r="607" spans="1:10" ht="17.100000000000001">
      <c r="A607" s="13" t="s">
        <v>41</v>
      </c>
      <c r="B607" s="13" t="s">
        <v>670</v>
      </c>
      <c r="C607" s="26">
        <v>200755</v>
      </c>
      <c r="D607" s="13" t="s">
        <v>670</v>
      </c>
      <c r="E607" s="13">
        <v>914</v>
      </c>
      <c r="F607" s="13" t="s">
        <v>20</v>
      </c>
      <c r="G607" s="9" t="str">
        <f>VLOOKUP(B607,'Property Name List'!A$2:D$834,3,FALSE)</f>
        <v>AC Hotel Beverly Hills</v>
      </c>
      <c r="H607" s="15">
        <v>46133</v>
      </c>
      <c r="I607" t="s">
        <v>14</v>
      </c>
      <c r="J607">
        <f>VLOOKUP(E607,'Room Count'!A$2:B$2616,2,FALSE)</f>
        <v>176</v>
      </c>
    </row>
    <row r="608" spans="1:10" ht="17.100000000000001">
      <c r="A608" s="13" t="s">
        <v>41</v>
      </c>
      <c r="B608" s="13" t="s">
        <v>671</v>
      </c>
      <c r="C608" s="26">
        <v>200753</v>
      </c>
      <c r="D608" s="13" t="s">
        <v>671</v>
      </c>
      <c r="E608" s="13">
        <v>913</v>
      </c>
      <c r="F608" s="13" t="s">
        <v>20</v>
      </c>
      <c r="G608" s="9" t="str">
        <f>VLOOKUP(B608,'Property Name List'!A$2:D$834,3,FALSE)</f>
        <v>Courtyard By Marriott Medford Airport</v>
      </c>
      <c r="H608" s="15">
        <v>46133</v>
      </c>
      <c r="I608" t="s">
        <v>14</v>
      </c>
      <c r="J608">
        <f>VLOOKUP(E608,'Room Count'!A$2:B$2616,2,FALSE)</f>
        <v>100</v>
      </c>
    </row>
    <row r="609" spans="1:10" ht="17.100000000000001">
      <c r="A609" s="13" t="s">
        <v>41</v>
      </c>
      <c r="B609" s="13" t="s">
        <v>672</v>
      </c>
      <c r="C609" s="26">
        <v>200751</v>
      </c>
      <c r="D609" s="13" t="s">
        <v>672</v>
      </c>
      <c r="E609" s="13">
        <v>912</v>
      </c>
      <c r="F609" s="13" t="s">
        <v>20</v>
      </c>
      <c r="G609" s="9" t="str">
        <f>VLOOKUP(B609,'Property Name List'!A$2:D$834,3,FALSE)</f>
        <v>Fairfield Inn By Marriott Anaheim Hills Orange County</v>
      </c>
      <c r="H609" s="15">
        <v>46133</v>
      </c>
      <c r="I609" t="s">
        <v>14</v>
      </c>
      <c r="J609">
        <f>VLOOKUP(E609,'Room Count'!A$2:B$2616,2,FALSE)</f>
        <v>163</v>
      </c>
    </row>
    <row r="610" spans="1:10" ht="17.100000000000001">
      <c r="A610" s="13" t="s">
        <v>41</v>
      </c>
      <c r="B610" s="13" t="s">
        <v>673</v>
      </c>
      <c r="C610" s="26" t="s">
        <v>674</v>
      </c>
      <c r="D610" s="13" t="s">
        <v>673</v>
      </c>
      <c r="E610" s="13">
        <v>911</v>
      </c>
      <c r="F610" s="13" t="s">
        <v>20</v>
      </c>
      <c r="G610" s="9" t="str">
        <f>VLOOKUP(B610,'Property Name List'!A$2:D$834,3,FALSE)</f>
        <v>Courtyard By Marriott Santa Monica</v>
      </c>
      <c r="H610" s="15">
        <v>46133</v>
      </c>
      <c r="I610" t="s">
        <v>14</v>
      </c>
      <c r="J610">
        <f>VLOOKUP(E610,'Room Count'!A$2:B$2616,2,FALSE)</f>
        <v>136</v>
      </c>
    </row>
    <row r="611" spans="1:10" ht="17.100000000000001">
      <c r="A611" s="13" t="s">
        <v>41</v>
      </c>
      <c r="B611" s="13" t="s">
        <v>675</v>
      </c>
      <c r="C611" s="26">
        <v>200747</v>
      </c>
      <c r="D611" s="13" t="s">
        <v>675</v>
      </c>
      <c r="E611" s="13">
        <v>910</v>
      </c>
      <c r="F611" s="13" t="s">
        <v>20</v>
      </c>
      <c r="G611" s="9" t="str">
        <f>VLOOKUP(B611,'Property Name List'!A$2:D$834,3,FALSE)</f>
        <v>Courtyard By Marriott Los Angeles Century City/Beverly Hills</v>
      </c>
      <c r="H611" s="15">
        <v>46133</v>
      </c>
      <c r="I611" t="s">
        <v>14</v>
      </c>
      <c r="J611">
        <f>VLOOKUP(E611,'Room Count'!A$2:B$2616,2,FALSE)</f>
        <v>136</v>
      </c>
    </row>
    <row r="612" spans="1:10" ht="17.100000000000001">
      <c r="A612" s="13" t="s">
        <v>41</v>
      </c>
      <c r="B612" s="13" t="s">
        <v>676</v>
      </c>
      <c r="C612" s="26">
        <v>200745</v>
      </c>
      <c r="D612" s="13" t="s">
        <v>676</v>
      </c>
      <c r="E612" s="13">
        <v>909</v>
      </c>
      <c r="F612" s="13" t="s">
        <v>20</v>
      </c>
      <c r="G612" s="9" t="str">
        <f>VLOOKUP(B612,'Property Name List'!A$2:D$834,3,FALSE)</f>
        <v>Courtyard By Marriott Los Angeles Monterey Park</v>
      </c>
      <c r="H612" s="15">
        <v>46133</v>
      </c>
      <c r="I612" t="s">
        <v>14</v>
      </c>
      <c r="J612">
        <f>VLOOKUP(E612,'Room Count'!A$2:B$2616,2,FALSE)</f>
        <v>289</v>
      </c>
    </row>
    <row r="613" spans="1:10" ht="17.100000000000001">
      <c r="A613" s="13" t="s">
        <v>41</v>
      </c>
      <c r="B613" s="13" t="s">
        <v>677</v>
      </c>
      <c r="C613" s="26">
        <v>200743</v>
      </c>
      <c r="D613" s="13" t="s">
        <v>677</v>
      </c>
      <c r="E613" s="13">
        <v>908</v>
      </c>
      <c r="F613" s="13" t="s">
        <v>20</v>
      </c>
      <c r="G613" s="9" t="str">
        <f>VLOOKUP(B613,'Property Name List'!A$2:D$834,3,FALSE)</f>
        <v>Fairfield Inn &amp; Suites Burlington</v>
      </c>
      <c r="H613" s="15">
        <v>46133</v>
      </c>
      <c r="I613" t="s">
        <v>14</v>
      </c>
      <c r="J613">
        <f>VLOOKUP(E613,'Room Count'!A$2:B$2616,2,FALSE)</f>
        <v>78</v>
      </c>
    </row>
    <row r="614" spans="1:10" ht="17.100000000000001">
      <c r="A614" s="13" t="s">
        <v>41</v>
      </c>
      <c r="B614" s="13" t="s">
        <v>678</v>
      </c>
      <c r="C614" s="26">
        <v>200741</v>
      </c>
      <c r="D614" s="13" t="s">
        <v>678</v>
      </c>
      <c r="E614" s="13">
        <v>907</v>
      </c>
      <c r="F614" s="13" t="s">
        <v>20</v>
      </c>
      <c r="G614" s="9" t="str">
        <f>VLOOKUP(B614,'Property Name List'!A$2:D$834,3,FALSE)</f>
        <v>AC Hotel Los Angeles South Bay</v>
      </c>
      <c r="H614" s="15">
        <v>46133</v>
      </c>
      <c r="I614" t="s">
        <v>14</v>
      </c>
      <c r="J614">
        <f>VLOOKUP(E614,'Room Count'!A$2:B$2616,2,FALSE)</f>
        <v>180</v>
      </c>
    </row>
    <row r="615" spans="1:10" ht="17.100000000000001">
      <c r="A615" s="13" t="s">
        <v>41</v>
      </c>
      <c r="B615" s="13" t="s">
        <v>679</v>
      </c>
      <c r="C615" s="26">
        <v>200739</v>
      </c>
      <c r="D615" s="13" t="s">
        <v>679</v>
      </c>
      <c r="E615" s="13">
        <v>906</v>
      </c>
      <c r="F615" s="13" t="s">
        <v>20</v>
      </c>
      <c r="G615" s="9" t="str">
        <f>VLOOKUP(B615,'Property Name List'!A$2:D$834,3,FALSE)</f>
        <v>SpringHill Suites By Marriott Phoenix Downtown</v>
      </c>
      <c r="H615" s="15">
        <v>46133</v>
      </c>
      <c r="I615" t="s">
        <v>14</v>
      </c>
      <c r="J615">
        <f>VLOOKUP(E615,'Room Count'!A$2:B$2616,2,FALSE)</f>
        <v>121</v>
      </c>
    </row>
    <row r="616" spans="1:10" ht="17.100000000000001">
      <c r="A616" s="13" t="s">
        <v>41</v>
      </c>
      <c r="B616" s="13" t="s">
        <v>680</v>
      </c>
      <c r="C616" s="26">
        <v>200737</v>
      </c>
      <c r="D616" s="13" t="s">
        <v>680</v>
      </c>
      <c r="E616" s="13">
        <v>905</v>
      </c>
      <c r="F616" s="13" t="s">
        <v>20</v>
      </c>
      <c r="G616" s="9" t="str">
        <f>VLOOKUP(B616,'Property Name List'!A$2:D$834,3,FALSE)</f>
        <v>SpringHill Suites By Marriott Dallas DFW Airport East/Las Colinas Irving</v>
      </c>
      <c r="H616" s="15">
        <v>46133</v>
      </c>
      <c r="I616" t="s">
        <v>14</v>
      </c>
      <c r="J616">
        <f>VLOOKUP(E616,'Room Count'!A$2:B$2616,2,FALSE)</f>
        <v>120</v>
      </c>
    </row>
    <row r="617" spans="1:10" ht="17.100000000000001">
      <c r="A617" s="13" t="s">
        <v>41</v>
      </c>
      <c r="B617" s="13" t="s">
        <v>681</v>
      </c>
      <c r="C617" s="26">
        <v>200735</v>
      </c>
      <c r="D617" s="13" t="s">
        <v>681</v>
      </c>
      <c r="E617" s="13">
        <v>904</v>
      </c>
      <c r="F617" s="13" t="s">
        <v>20</v>
      </c>
      <c r="G617" s="9" t="str">
        <f>VLOOKUP(B617,'Property Name List'!A$2:D$834,3,FALSE)</f>
        <v>Fairfield Inn &amp; Suites Madison West/Middleton</v>
      </c>
      <c r="H617" s="15">
        <v>46133</v>
      </c>
      <c r="I617" t="s">
        <v>14</v>
      </c>
      <c r="J617">
        <f>VLOOKUP(E617,'Room Count'!A$2:B$2616,2,FALSE)</f>
        <v>102</v>
      </c>
    </row>
    <row r="618" spans="1:10" ht="17.100000000000001">
      <c r="A618" s="13" t="s">
        <v>41</v>
      </c>
      <c r="B618" s="13" t="s">
        <v>682</v>
      </c>
      <c r="C618" s="26">
        <v>200733</v>
      </c>
      <c r="D618" s="13" t="s">
        <v>682</v>
      </c>
      <c r="E618" s="13">
        <v>903</v>
      </c>
      <c r="F618" s="13" t="s">
        <v>20</v>
      </c>
      <c r="G618" s="9" t="str">
        <f>VLOOKUP(B618,'Property Name List'!A$2:D$834,3,FALSE)</f>
        <v>Fairfield Inn &amp; Suites Houston Intercontinental Airport</v>
      </c>
      <c r="H618" s="15">
        <v>46133</v>
      </c>
      <c r="I618" t="s">
        <v>14</v>
      </c>
      <c r="J618">
        <f>VLOOKUP(E618,'Room Count'!A$2:B$2616,2,FALSE)</f>
        <v>131</v>
      </c>
    </row>
    <row r="619" spans="1:10" ht="17.100000000000001">
      <c r="A619" s="13" t="s">
        <v>41</v>
      </c>
      <c r="B619" s="13" t="s">
        <v>683</v>
      </c>
      <c r="C619" s="26">
        <v>200731</v>
      </c>
      <c r="D619" s="13" t="s">
        <v>683</v>
      </c>
      <c r="E619" s="13">
        <v>902</v>
      </c>
      <c r="F619" s="13" t="s">
        <v>20</v>
      </c>
      <c r="G619" s="9" t="str">
        <f>VLOOKUP(B619,'Property Name List'!A$2:D$834,3,FALSE)</f>
        <v>Courtyard By Marriott Topeka</v>
      </c>
      <c r="H619" s="15">
        <v>46133</v>
      </c>
      <c r="I619" t="s">
        <v>14</v>
      </c>
      <c r="J619">
        <f>VLOOKUP(E619,'Room Count'!A$2:B$2616,2,FALSE)</f>
        <v>90</v>
      </c>
    </row>
    <row r="620" spans="1:10" ht="17.100000000000001">
      <c r="A620" s="13" t="s">
        <v>41</v>
      </c>
      <c r="B620" s="13" t="s">
        <v>684</v>
      </c>
      <c r="C620" s="26">
        <v>200729</v>
      </c>
      <c r="D620" s="13" t="s">
        <v>684</v>
      </c>
      <c r="E620" s="13">
        <v>901</v>
      </c>
      <c r="F620" s="13" t="s">
        <v>20</v>
      </c>
      <c r="G620" s="9" t="str">
        <f>VLOOKUP(B620,'Property Name List'!A$2:D$834,3,FALSE)</f>
        <v>SpringHill Suites By Marriott Baton Rouge Gonzales</v>
      </c>
      <c r="H620" s="15">
        <v>46133</v>
      </c>
      <c r="I620" t="s">
        <v>14</v>
      </c>
      <c r="J620">
        <f>VLOOKUP(E620,'Room Count'!A$2:B$2616,2,FALSE)</f>
        <v>96</v>
      </c>
    </row>
    <row r="621" spans="1:10" ht="17.100000000000001">
      <c r="A621" s="13" t="s">
        <v>41</v>
      </c>
      <c r="B621" s="13" t="s">
        <v>685</v>
      </c>
      <c r="C621" s="26">
        <v>200727</v>
      </c>
      <c r="D621" s="13" t="s">
        <v>685</v>
      </c>
      <c r="E621" s="13">
        <v>900</v>
      </c>
      <c r="F621" s="13" t="s">
        <v>20</v>
      </c>
      <c r="G621" s="9" t="str">
        <f>VLOOKUP(B621,'Property Name List'!A$2:D$834,3,FALSE)</f>
        <v>Fairfield Inn &amp; Suites Austin South</v>
      </c>
      <c r="H621" s="15">
        <v>46133</v>
      </c>
      <c r="I621" t="s">
        <v>14</v>
      </c>
      <c r="J621">
        <f>VLOOKUP(E621,'Room Count'!A$2:B$2616,2,FALSE)</f>
        <v>63</v>
      </c>
    </row>
    <row r="622" spans="1:10" ht="17.100000000000001">
      <c r="A622" s="13" t="s">
        <v>41</v>
      </c>
      <c r="B622" s="13" t="s">
        <v>686</v>
      </c>
      <c r="C622" s="26">
        <v>200725</v>
      </c>
      <c r="D622" s="13" t="s">
        <v>686</v>
      </c>
      <c r="E622" s="13">
        <v>899</v>
      </c>
      <c r="F622" s="13" t="s">
        <v>20</v>
      </c>
      <c r="G622" s="9" t="str">
        <f>VLOOKUP(B622,'Property Name List'!A$2:D$834,3,FALSE)</f>
        <v>Fairfield Inn &amp; Suites Birmingham Pelham</v>
      </c>
      <c r="H622" s="15">
        <v>46133</v>
      </c>
      <c r="I622" t="s">
        <v>14</v>
      </c>
      <c r="J622">
        <f>VLOOKUP(E622,'Room Count'!A$2:B$2616,2,FALSE)</f>
        <v>93</v>
      </c>
    </row>
    <row r="623" spans="1:10" ht="33.950000000000003">
      <c r="A623" s="13" t="s">
        <v>41</v>
      </c>
      <c r="B623" s="13" t="s">
        <v>687</v>
      </c>
      <c r="C623" s="26">
        <v>200723</v>
      </c>
      <c r="D623" s="13" t="s">
        <v>687</v>
      </c>
      <c r="E623" s="13">
        <v>898</v>
      </c>
      <c r="F623" s="13" t="s">
        <v>20</v>
      </c>
      <c r="G623" s="9" t="str">
        <f>VLOOKUP(B623,'Property Name List'!A$2:D$834,3,FALSE)</f>
        <v>SpringHill Suites By Marriott Jackson Ridgeland/The Township at Colony Park</v>
      </c>
      <c r="H623" s="15">
        <v>46133</v>
      </c>
      <c r="I623" t="s">
        <v>14</v>
      </c>
      <c r="J623">
        <f>VLOOKUP(E623,'Room Count'!A$2:B$2616,2,FALSE)</f>
        <v>96</v>
      </c>
    </row>
    <row r="624" spans="1:10" ht="17.100000000000001">
      <c r="A624" s="13" t="s">
        <v>41</v>
      </c>
      <c r="B624" s="13" t="s">
        <v>688</v>
      </c>
      <c r="C624" s="26">
        <v>200721</v>
      </c>
      <c r="D624" s="13" t="s">
        <v>688</v>
      </c>
      <c r="E624" s="13">
        <v>897</v>
      </c>
      <c r="F624" s="13" t="s">
        <v>20</v>
      </c>
      <c r="G624" s="9" t="str">
        <f>VLOOKUP(B624,'Property Name List'!A$2:D$834,3,FALSE)</f>
        <v>Courtyard By Marriott Panama City</v>
      </c>
      <c r="H624" s="15">
        <v>46133</v>
      </c>
      <c r="I624" t="s">
        <v>14</v>
      </c>
      <c r="J624">
        <f>VLOOKUP(E624,'Room Count'!A$2:B$2616,2,FALSE)</f>
        <v>84</v>
      </c>
    </row>
    <row r="625" spans="1:10" ht="17.100000000000001">
      <c r="A625" s="13" t="s">
        <v>41</v>
      </c>
      <c r="B625" s="13" t="s">
        <v>689</v>
      </c>
      <c r="C625" s="26">
        <v>200719</v>
      </c>
      <c r="D625" s="13" t="s">
        <v>689</v>
      </c>
      <c r="E625" s="13">
        <v>896</v>
      </c>
      <c r="F625" s="13" t="s">
        <v>20</v>
      </c>
      <c r="G625" s="9" t="str">
        <f>VLOOKUP(B625,'Property Name List'!A$2:D$834,3,FALSE)</f>
        <v>SpringHill Suites By Marriott St. Paul Arden Hills</v>
      </c>
      <c r="H625" s="15">
        <v>46133</v>
      </c>
      <c r="I625" t="s">
        <v>14</v>
      </c>
      <c r="J625">
        <f>VLOOKUP(E625,'Room Count'!A$2:B$2616,2,FALSE)</f>
        <v>139</v>
      </c>
    </row>
    <row r="626" spans="1:10" ht="17.100000000000001">
      <c r="A626" s="13" t="s">
        <v>41</v>
      </c>
      <c r="B626" s="13" t="s">
        <v>690</v>
      </c>
      <c r="C626" s="26">
        <v>200717</v>
      </c>
      <c r="D626" s="13" t="s">
        <v>690</v>
      </c>
      <c r="E626" s="13">
        <v>895</v>
      </c>
      <c r="F626" s="13" t="s">
        <v>20</v>
      </c>
      <c r="G626" s="9" t="str">
        <f>VLOOKUP(B626,'Property Name List'!A$2:D$834,3,FALSE)</f>
        <v>Courtyard By Marriott Houston I-10 West/Park Row</v>
      </c>
      <c r="H626" s="15">
        <v>46133</v>
      </c>
      <c r="I626" t="s">
        <v>14</v>
      </c>
      <c r="J626">
        <f>VLOOKUP(E626,'Room Count'!A$2:B$2616,2,FALSE)</f>
        <v>132</v>
      </c>
    </row>
    <row r="627" spans="1:10" ht="17.100000000000001">
      <c r="A627" s="13" t="s">
        <v>41</v>
      </c>
      <c r="B627" s="13" t="s">
        <v>691</v>
      </c>
      <c r="C627" s="26">
        <v>200715</v>
      </c>
      <c r="D627" s="13" t="s">
        <v>691</v>
      </c>
      <c r="E627" s="13">
        <v>894</v>
      </c>
      <c r="F627" s="13" t="s">
        <v>20</v>
      </c>
      <c r="G627" s="9" t="str">
        <f>VLOOKUP(B627,'Property Name List'!A$2:D$834,3,FALSE)</f>
        <v>SpringHill Suites By Marriott Houston The Woodlands</v>
      </c>
      <c r="H627" s="15">
        <v>46133</v>
      </c>
      <c r="I627" t="s">
        <v>14</v>
      </c>
      <c r="J627">
        <f>VLOOKUP(E627,'Room Count'!A$2:B$2616,2,FALSE)</f>
        <v>138</v>
      </c>
    </row>
    <row r="628" spans="1:10" ht="17.100000000000001">
      <c r="A628" s="13" t="s">
        <v>41</v>
      </c>
      <c r="B628" s="13" t="s">
        <v>692</v>
      </c>
      <c r="C628" s="26">
        <v>200713</v>
      </c>
      <c r="D628" s="13" t="s">
        <v>692</v>
      </c>
      <c r="E628" s="13">
        <v>893</v>
      </c>
      <c r="F628" s="13" t="s">
        <v>20</v>
      </c>
      <c r="G628" s="9" t="str">
        <f>VLOOKUP(B628,'Property Name List'!A$2:D$834,3,FALSE)</f>
        <v>Courtyard By Marriott Dallas Lewisville</v>
      </c>
      <c r="H628" s="15">
        <v>46133</v>
      </c>
      <c r="I628" t="s">
        <v>14</v>
      </c>
      <c r="J628">
        <f>VLOOKUP(E628,'Room Count'!A$2:B$2616,2,FALSE)</f>
        <v>122</v>
      </c>
    </row>
    <row r="629" spans="1:10" ht="17.100000000000001">
      <c r="A629" s="13" t="s">
        <v>41</v>
      </c>
      <c r="B629" s="13" t="s">
        <v>693</v>
      </c>
      <c r="C629" s="26">
        <v>200711</v>
      </c>
      <c r="D629" s="13" t="s">
        <v>693</v>
      </c>
      <c r="E629" s="13">
        <v>892</v>
      </c>
      <c r="F629" s="13" t="s">
        <v>20</v>
      </c>
      <c r="G629" s="9" t="str">
        <f>VLOOKUP(B629,'Property Name List'!A$2:D$834,3,FALSE)</f>
        <v>Fairfield Inn &amp; Suites Franklin Cool Springs</v>
      </c>
      <c r="H629" s="15">
        <v>46133</v>
      </c>
      <c r="I629" t="s">
        <v>14</v>
      </c>
      <c r="J629">
        <f>VLOOKUP(E629,'Room Count'!A$2:B$2616,2,FALSE)</f>
        <v>171</v>
      </c>
    </row>
    <row r="630" spans="1:10" ht="17.100000000000001">
      <c r="A630" s="13" t="s">
        <v>41</v>
      </c>
      <c r="B630" s="13" t="s">
        <v>694</v>
      </c>
      <c r="C630" s="26">
        <v>200709</v>
      </c>
      <c r="D630" s="13" t="s">
        <v>694</v>
      </c>
      <c r="E630" s="13">
        <v>891</v>
      </c>
      <c r="F630" s="13" t="s">
        <v>20</v>
      </c>
      <c r="G630" s="9" t="str">
        <f>VLOOKUP(B630,'Property Name List'!A$2:D$834,3,FALSE)</f>
        <v>Fairfield Inn &amp; Suites San Antonio NE/Schertz</v>
      </c>
      <c r="H630" s="15">
        <v>46133</v>
      </c>
      <c r="I630" t="s">
        <v>14</v>
      </c>
      <c r="J630">
        <f>VLOOKUP(E630,'Room Count'!A$2:B$2616,2,FALSE)</f>
        <v>117</v>
      </c>
    </row>
    <row r="631" spans="1:10" ht="17.100000000000001">
      <c r="A631" s="13" t="s">
        <v>41</v>
      </c>
      <c r="B631" s="13" t="s">
        <v>695</v>
      </c>
      <c r="C631" s="26">
        <v>200707</v>
      </c>
      <c r="D631" s="13" t="s">
        <v>695</v>
      </c>
      <c r="E631" s="13">
        <v>890</v>
      </c>
      <c r="F631" s="13" t="s">
        <v>20</v>
      </c>
      <c r="G631" s="9" t="str">
        <f>VLOOKUP(B631,'Property Name List'!A$2:D$834,3,FALSE)</f>
        <v>Fairfield Inn &amp; Suites Denton</v>
      </c>
      <c r="H631" s="15">
        <v>46133</v>
      </c>
      <c r="I631" t="s">
        <v>14</v>
      </c>
      <c r="J631">
        <f>VLOOKUP(E631,'Room Count'!A$2:B$2616,2,FALSE)</f>
        <v>75</v>
      </c>
    </row>
    <row r="632" spans="1:10" ht="17.100000000000001">
      <c r="A632" s="13" t="s">
        <v>41</v>
      </c>
      <c r="B632" s="13" t="s">
        <v>696</v>
      </c>
      <c r="C632" s="26">
        <v>200705</v>
      </c>
      <c r="D632" s="13" t="s">
        <v>696</v>
      </c>
      <c r="E632" s="13">
        <v>889</v>
      </c>
      <c r="F632" s="13" t="s">
        <v>20</v>
      </c>
      <c r="G632" s="9" t="str">
        <f>VLOOKUP(B632,'Property Name List'!A$2:D$834,3,FALSE)</f>
        <v>Courtyard By Marriott Tuscaloosa</v>
      </c>
      <c r="H632" s="15">
        <v>46133</v>
      </c>
      <c r="I632" t="s">
        <v>14</v>
      </c>
      <c r="J632">
        <f>VLOOKUP(E632,'Room Count'!A$2:B$2616,2,FALSE)</f>
        <v>78</v>
      </c>
    </row>
    <row r="633" spans="1:10" ht="17.100000000000001">
      <c r="A633" s="13" t="s">
        <v>41</v>
      </c>
      <c r="B633" s="13" t="s">
        <v>697</v>
      </c>
      <c r="C633" s="26">
        <v>200703</v>
      </c>
      <c r="D633" s="13" t="s">
        <v>697</v>
      </c>
      <c r="E633" s="13">
        <v>888</v>
      </c>
      <c r="F633" s="13" t="s">
        <v>20</v>
      </c>
      <c r="G633" s="9" t="str">
        <f>VLOOKUP(B633,'Property Name List'!A$2:D$834,3,FALSE)</f>
        <v>Fairfield Inn &amp; Suites Beloit</v>
      </c>
      <c r="H633" s="15">
        <v>46133</v>
      </c>
      <c r="I633" t="s">
        <v>14</v>
      </c>
      <c r="J633">
        <f>VLOOKUP(E633,'Room Count'!A$2:B$2616,2,FALSE)</f>
        <v>94</v>
      </c>
    </row>
    <row r="634" spans="1:10" ht="17.100000000000001">
      <c r="A634" s="13" t="s">
        <v>41</v>
      </c>
      <c r="B634" s="13" t="s">
        <v>698</v>
      </c>
      <c r="C634" s="26">
        <v>200701</v>
      </c>
      <c r="D634" s="13" t="s">
        <v>698</v>
      </c>
      <c r="E634" s="13">
        <v>887</v>
      </c>
      <c r="F634" s="13" t="s">
        <v>20</v>
      </c>
      <c r="G634" s="9" t="str">
        <f>VLOOKUP(B634,'Property Name List'!A$2:D$834,3,FALSE)</f>
        <v>Fairfield Inn &amp; Suites Waterloo Cedar Falls</v>
      </c>
      <c r="H634" s="15">
        <v>46133</v>
      </c>
      <c r="I634" t="s">
        <v>14</v>
      </c>
      <c r="J634">
        <f>VLOOKUP(E634,'Room Count'!A$2:B$2616,2,FALSE)</f>
        <v>81</v>
      </c>
    </row>
    <row r="635" spans="1:10" ht="17.100000000000001">
      <c r="A635" s="13" t="s">
        <v>41</v>
      </c>
      <c r="B635" s="13" t="s">
        <v>699</v>
      </c>
      <c r="C635" s="26">
        <v>200699</v>
      </c>
      <c r="D635" s="13" t="s">
        <v>699</v>
      </c>
      <c r="E635" s="13">
        <v>886</v>
      </c>
      <c r="F635" s="13" t="s">
        <v>20</v>
      </c>
      <c r="G635" s="9" t="str">
        <f>VLOOKUP(B635,'Property Name List'!A$2:D$834,3,FALSE)</f>
        <v>Courtyard By Marriott Houston Heights/I-10</v>
      </c>
      <c r="H635" s="15">
        <v>46133</v>
      </c>
      <c r="I635" t="s">
        <v>14</v>
      </c>
      <c r="J635">
        <f>VLOOKUP(E635,'Room Count'!A$2:B$2616,2,FALSE)</f>
        <v>147</v>
      </c>
    </row>
    <row r="636" spans="1:10" ht="17.100000000000001">
      <c r="A636" s="13" t="s">
        <v>41</v>
      </c>
      <c r="B636" s="13" t="s">
        <v>700</v>
      </c>
      <c r="C636" s="26">
        <v>200697</v>
      </c>
      <c r="D636" s="13" t="s">
        <v>700</v>
      </c>
      <c r="E636" s="13">
        <v>885</v>
      </c>
      <c r="F636" s="13" t="s">
        <v>20</v>
      </c>
      <c r="G636" s="9" t="str">
        <f>VLOOKUP(B636,'Property Name List'!A$2:D$834,3,FALSE)</f>
        <v>Fairfield Inn &amp; Suites Muskogee</v>
      </c>
      <c r="H636" s="15">
        <v>46133</v>
      </c>
      <c r="I636" t="s">
        <v>14</v>
      </c>
      <c r="J636">
        <f>VLOOKUP(E636,'Room Count'!A$2:B$2616,2,FALSE)</f>
        <v>85</v>
      </c>
    </row>
    <row r="637" spans="1:10" ht="17.100000000000001">
      <c r="A637" s="13" t="s">
        <v>41</v>
      </c>
      <c r="B637" s="13" t="s">
        <v>701</v>
      </c>
      <c r="C637" s="26">
        <v>200695</v>
      </c>
      <c r="D637" s="13" t="s">
        <v>701</v>
      </c>
      <c r="E637" s="13">
        <v>884</v>
      </c>
      <c r="F637" s="13" t="s">
        <v>20</v>
      </c>
      <c r="G637" s="9" t="str">
        <f>VLOOKUP(B637,'Property Name List'!A$2:D$834,3,FALSE)</f>
        <v>Courtyard By Marriott Houston I-10 West/Energy Corridor</v>
      </c>
      <c r="H637" s="15">
        <v>46133</v>
      </c>
      <c r="I637" t="s">
        <v>14</v>
      </c>
      <c r="J637">
        <f>VLOOKUP(E637,'Room Count'!A$2:B$2616,2,FALSE)</f>
        <v>176</v>
      </c>
    </row>
    <row r="638" spans="1:10" ht="33.950000000000003">
      <c r="A638" s="13" t="s">
        <v>41</v>
      </c>
      <c r="B638" s="13" t="s">
        <v>702</v>
      </c>
      <c r="C638" s="26">
        <v>200693</v>
      </c>
      <c r="D638" s="13" t="s">
        <v>702</v>
      </c>
      <c r="E638" s="13">
        <v>883</v>
      </c>
      <c r="F638" s="13" t="s">
        <v>20</v>
      </c>
      <c r="G638" s="9" t="str">
        <f>VLOOKUP(B638,'Property Name List'!A$2:D$834,3,FALSE)</f>
        <v>Courtyard By Marriott Dallas Midlothian at Midlothian Conference Center</v>
      </c>
      <c r="H638" s="15">
        <v>46133</v>
      </c>
      <c r="I638" t="s">
        <v>14</v>
      </c>
      <c r="J638">
        <f>VLOOKUP(E638,'Room Count'!A$2:B$2616,2,FALSE)</f>
        <v>102</v>
      </c>
    </row>
    <row r="639" spans="1:10" ht="17.100000000000001">
      <c r="A639" s="13" t="s">
        <v>41</v>
      </c>
      <c r="B639" s="13" t="s">
        <v>703</v>
      </c>
      <c r="C639" s="26">
        <v>200691</v>
      </c>
      <c r="D639" s="13" t="s">
        <v>703</v>
      </c>
      <c r="E639" s="13">
        <v>882</v>
      </c>
      <c r="F639" s="13" t="s">
        <v>20</v>
      </c>
      <c r="G639" s="9" t="str">
        <f>VLOOKUP(B639,'Property Name List'!A$2:D$834,3,FALSE)</f>
        <v>SpringHill Suites By Marriott Houston Pearland</v>
      </c>
      <c r="H639" s="15">
        <v>46133</v>
      </c>
      <c r="I639" t="s">
        <v>14</v>
      </c>
      <c r="J639">
        <f>VLOOKUP(E639,'Room Count'!A$2:B$2616,2,FALSE)</f>
        <v>91</v>
      </c>
    </row>
    <row r="640" spans="1:10" ht="17.100000000000001">
      <c r="A640" s="13" t="s">
        <v>41</v>
      </c>
      <c r="B640" s="13" t="s">
        <v>704</v>
      </c>
      <c r="C640" s="26">
        <v>200689</v>
      </c>
      <c r="D640" s="13" t="s">
        <v>704</v>
      </c>
      <c r="E640" s="13">
        <v>881</v>
      </c>
      <c r="F640" s="13" t="s">
        <v>20</v>
      </c>
      <c r="G640" s="9" t="str">
        <f>VLOOKUP(B640,'Property Name List'!A$2:D$834,3,FALSE)</f>
        <v>Courtyard By Marriott Cape Girardeau Downtown</v>
      </c>
      <c r="H640" s="15">
        <v>46133</v>
      </c>
      <c r="I640" t="s">
        <v>14</v>
      </c>
      <c r="J640">
        <f>VLOOKUP(E640,'Room Count'!A$2:B$2616,2,FALSE)</f>
        <v>91</v>
      </c>
    </row>
    <row r="641" spans="1:10" ht="17.100000000000001">
      <c r="A641" s="13" t="s">
        <v>41</v>
      </c>
      <c r="B641" s="13" t="s">
        <v>705</v>
      </c>
      <c r="C641" s="26">
        <v>200687</v>
      </c>
      <c r="D641" s="13" t="s">
        <v>705</v>
      </c>
      <c r="E641" s="13">
        <v>880</v>
      </c>
      <c r="F641" s="13" t="s">
        <v>20</v>
      </c>
      <c r="G641" s="9" t="str">
        <f>VLOOKUP(B641,'Property Name List'!A$2:D$834,3,FALSE)</f>
        <v>Fairfield Inn &amp; Suites Kansas City Liberty</v>
      </c>
      <c r="H641" s="15">
        <v>46133</v>
      </c>
      <c r="I641" t="s">
        <v>14</v>
      </c>
      <c r="J641">
        <f>VLOOKUP(E641,'Room Count'!A$2:B$2616,2,FALSE)</f>
        <v>99</v>
      </c>
    </row>
    <row r="642" spans="1:10" ht="17.100000000000001">
      <c r="A642" s="13" t="s">
        <v>41</v>
      </c>
      <c r="B642" s="13" t="s">
        <v>706</v>
      </c>
      <c r="C642" s="26">
        <v>200685</v>
      </c>
      <c r="D642" s="13" t="s">
        <v>706</v>
      </c>
      <c r="E642" s="13">
        <v>879</v>
      </c>
      <c r="F642" s="13" t="s">
        <v>20</v>
      </c>
      <c r="G642" s="9" t="str">
        <f>VLOOKUP(B642,'Property Name List'!A$2:D$834,3,FALSE)</f>
        <v>Fairfield Inn &amp; Suites Houston Pasadena</v>
      </c>
      <c r="H642" s="15">
        <v>46133</v>
      </c>
      <c r="I642" t="s">
        <v>14</v>
      </c>
      <c r="J642">
        <f>VLOOKUP(E642,'Room Count'!A$2:B$2616,2,FALSE)</f>
        <v>70</v>
      </c>
    </row>
    <row r="643" spans="1:10" ht="17.100000000000001">
      <c r="A643" s="13" t="s">
        <v>41</v>
      </c>
      <c r="B643" s="13" t="s">
        <v>707</v>
      </c>
      <c r="C643" s="26">
        <v>200683</v>
      </c>
      <c r="D643" s="13" t="s">
        <v>707</v>
      </c>
      <c r="E643" s="13">
        <v>878</v>
      </c>
      <c r="F643" s="13" t="s">
        <v>20</v>
      </c>
      <c r="G643" s="9" t="str">
        <f>VLOOKUP(B643,'Property Name List'!A$2:D$834,3,FALSE)</f>
        <v>Fairfield Inn &amp; Suites Dallas Cedar Hill</v>
      </c>
      <c r="H643" s="15">
        <v>46133</v>
      </c>
      <c r="I643" t="s">
        <v>14</v>
      </c>
      <c r="J643">
        <f>VLOOKUP(E643,'Room Count'!A$2:B$2616,2,FALSE)</f>
        <v>90</v>
      </c>
    </row>
    <row r="644" spans="1:10" ht="17.100000000000001">
      <c r="A644" s="13" t="s">
        <v>41</v>
      </c>
      <c r="B644" s="13" t="s">
        <v>708</v>
      </c>
      <c r="C644" s="26">
        <v>200681</v>
      </c>
      <c r="D644" s="13" t="s">
        <v>708</v>
      </c>
      <c r="E644" s="13">
        <v>877</v>
      </c>
      <c r="F644" s="13" t="s">
        <v>20</v>
      </c>
      <c r="G644" s="9" t="str">
        <f>VLOOKUP(B644,'Property Name List'!A$2:D$834,3,FALSE)</f>
        <v>Fairfield Inn &amp; Suites Grand Island</v>
      </c>
      <c r="H644" s="15">
        <v>46133</v>
      </c>
      <c r="I644" t="s">
        <v>14</v>
      </c>
      <c r="J644">
        <f>VLOOKUP(E644,'Room Count'!A$2:B$2616,2,FALSE)</f>
        <v>109</v>
      </c>
    </row>
    <row r="645" spans="1:10" ht="17.100000000000001">
      <c r="A645" s="13" t="s">
        <v>41</v>
      </c>
      <c r="B645" s="13" t="s">
        <v>709</v>
      </c>
      <c r="C645" s="26">
        <v>200679</v>
      </c>
      <c r="D645" s="13" t="s">
        <v>709</v>
      </c>
      <c r="E645" s="13">
        <v>876</v>
      </c>
      <c r="F645" s="13" t="s">
        <v>20</v>
      </c>
      <c r="G645" s="9" t="str">
        <f>VLOOKUP(B645,'Property Name List'!A$2:D$834,3,FALSE)</f>
        <v>Fairfield Inn &amp; Suites Chicago St. Charles</v>
      </c>
      <c r="H645" s="15">
        <v>46133</v>
      </c>
      <c r="I645" t="s">
        <v>14</v>
      </c>
      <c r="J645">
        <f>VLOOKUP(E645,'Room Count'!A$2:B$2616,2,FALSE)</f>
        <v>92</v>
      </c>
    </row>
    <row r="646" spans="1:10" ht="17.100000000000001">
      <c r="A646" s="13" t="s">
        <v>41</v>
      </c>
      <c r="B646" s="13" t="s">
        <v>710</v>
      </c>
      <c r="C646" s="26">
        <v>200677</v>
      </c>
      <c r="D646" s="13" t="s">
        <v>710</v>
      </c>
      <c r="E646" s="13">
        <v>875</v>
      </c>
      <c r="F646" s="13" t="s">
        <v>20</v>
      </c>
      <c r="G646" s="9" t="str">
        <f>VLOOKUP(B646,'Property Name List'!A$2:D$834,3,FALSE)</f>
        <v>Courtyard By Marriott Dallas Addison/Midway</v>
      </c>
      <c r="H646" s="15">
        <v>46133</v>
      </c>
      <c r="I646" t="s">
        <v>14</v>
      </c>
      <c r="J646">
        <f>VLOOKUP(E646,'Room Count'!A$2:B$2616,2,FALSE)</f>
        <v>145</v>
      </c>
    </row>
    <row r="647" spans="1:10" ht="17.100000000000001">
      <c r="A647" s="13" t="s">
        <v>41</v>
      </c>
      <c r="B647" s="13" t="s">
        <v>711</v>
      </c>
      <c r="C647" s="26">
        <v>200675</v>
      </c>
      <c r="D647" s="13" t="s">
        <v>711</v>
      </c>
      <c r="E647" s="13">
        <v>874</v>
      </c>
      <c r="F647" s="13" t="s">
        <v>20</v>
      </c>
      <c r="G647" s="9" t="str">
        <f>VLOOKUP(B647,'Property Name List'!A$2:D$834,3,FALSE)</f>
        <v>Fairfield Inn &amp; Suites Dallas DFW Airport South/Irving</v>
      </c>
      <c r="H647" s="15">
        <v>46133</v>
      </c>
      <c r="I647" t="s">
        <v>14</v>
      </c>
      <c r="J647">
        <f>VLOOKUP(E647,'Room Count'!A$2:B$2616,2,FALSE)</f>
        <v>120</v>
      </c>
    </row>
    <row r="648" spans="1:10" ht="17.100000000000001">
      <c r="A648" s="13" t="s">
        <v>41</v>
      </c>
      <c r="B648" s="13" t="s">
        <v>712</v>
      </c>
      <c r="C648" s="26">
        <v>200673</v>
      </c>
      <c r="D648" s="13" t="s">
        <v>712</v>
      </c>
      <c r="E648" s="13">
        <v>873</v>
      </c>
      <c r="F648" s="13" t="s">
        <v>20</v>
      </c>
      <c r="G648" s="9" t="str">
        <f>VLOOKUP(B648,'Property Name List'!A$2:D$834,3,FALSE)</f>
        <v>SpringHill Suites By Marriott Dallas Lewisville</v>
      </c>
      <c r="H648" s="15">
        <v>46133</v>
      </c>
      <c r="I648" t="s">
        <v>14</v>
      </c>
      <c r="J648">
        <f>VLOOKUP(E648,'Room Count'!A$2:B$2616,2,FALSE)</f>
        <v>119</v>
      </c>
    </row>
    <row r="649" spans="1:10" ht="17.100000000000001">
      <c r="A649" s="13" t="s">
        <v>41</v>
      </c>
      <c r="B649" s="13" t="s">
        <v>713</v>
      </c>
      <c r="C649" s="26">
        <v>200671</v>
      </c>
      <c r="D649" s="13" t="s">
        <v>713</v>
      </c>
      <c r="E649" s="13">
        <v>872</v>
      </c>
      <c r="F649" s="13" t="s">
        <v>20</v>
      </c>
      <c r="G649" s="9" t="str">
        <f>VLOOKUP(B649,'Property Name List'!A$2:D$834,3,FALSE)</f>
        <v>Courtyard By Marriott Austin Airport</v>
      </c>
      <c r="H649" s="15">
        <v>46133</v>
      </c>
      <c r="I649" t="s">
        <v>14</v>
      </c>
      <c r="J649">
        <f>VLOOKUP(E649,'Room Count'!A$2:B$2616,2,FALSE)</f>
        <v>151</v>
      </c>
    </row>
    <row r="650" spans="1:10" ht="17.100000000000001">
      <c r="A650" s="13" t="s">
        <v>41</v>
      </c>
      <c r="B650" s="13" t="s">
        <v>714</v>
      </c>
      <c r="C650" s="26">
        <v>200669</v>
      </c>
      <c r="D650" s="13" t="s">
        <v>714</v>
      </c>
      <c r="E650" s="13">
        <v>871</v>
      </c>
      <c r="F650" s="13" t="s">
        <v>20</v>
      </c>
      <c r="G650" s="9" t="str">
        <f>VLOOKUP(B650,'Property Name List'!A$2:D$834,3,FALSE)</f>
        <v>SpringHill Suites By Marriott Oklahoma City Airport West</v>
      </c>
      <c r="H650" s="15">
        <v>46133</v>
      </c>
      <c r="I650" t="s">
        <v>14</v>
      </c>
      <c r="J650">
        <f>VLOOKUP(E650,'Room Count'!A$2:B$2616,2,FALSE)</f>
        <v>100</v>
      </c>
    </row>
    <row r="651" spans="1:10" ht="17.100000000000001">
      <c r="A651" s="13" t="s">
        <v>41</v>
      </c>
      <c r="B651" s="13" t="s">
        <v>715</v>
      </c>
      <c r="C651" s="26">
        <v>200667</v>
      </c>
      <c r="D651" s="13" t="s">
        <v>715</v>
      </c>
      <c r="E651" s="13">
        <v>870</v>
      </c>
      <c r="F651" s="13" t="s">
        <v>20</v>
      </c>
      <c r="G651" s="9" t="str">
        <f>VLOOKUP(B651,'Property Name List'!A$2:D$834,3,FALSE)</f>
        <v>Courtyard By Marriott Dallas Addison/Quorum Drive</v>
      </c>
      <c r="H651" s="15">
        <v>46133</v>
      </c>
      <c r="I651" t="s">
        <v>14</v>
      </c>
      <c r="J651">
        <f>VLOOKUP(E651,'Room Count'!A$2:B$2616,2,FALSE)</f>
        <v>176</v>
      </c>
    </row>
    <row r="652" spans="1:10" ht="17.100000000000001">
      <c r="A652" s="13" t="s">
        <v>41</v>
      </c>
      <c r="B652" s="13" t="s">
        <v>716</v>
      </c>
      <c r="C652" s="26">
        <v>200665</v>
      </c>
      <c r="D652" s="13" t="s">
        <v>716</v>
      </c>
      <c r="E652" s="13">
        <v>869</v>
      </c>
      <c r="F652" s="13" t="s">
        <v>20</v>
      </c>
      <c r="G652" s="9" t="str">
        <f>VLOOKUP(B652,'Property Name List'!A$2:D$834,3,FALSE)</f>
        <v>Fairfield Inn &amp; Suites Pleasanton</v>
      </c>
      <c r="H652" s="15">
        <v>46133</v>
      </c>
      <c r="I652" t="s">
        <v>14</v>
      </c>
      <c r="J652">
        <f>VLOOKUP(E652,'Room Count'!A$2:B$2616,2,FALSE)</f>
        <v>92</v>
      </c>
    </row>
    <row r="653" spans="1:10" ht="17.100000000000001">
      <c r="A653" s="13" t="s">
        <v>41</v>
      </c>
      <c r="B653" s="13" t="s">
        <v>717</v>
      </c>
      <c r="C653" s="26">
        <v>200663</v>
      </c>
      <c r="D653" s="13" t="s">
        <v>717</v>
      </c>
      <c r="E653" s="13">
        <v>868</v>
      </c>
      <c r="F653" s="13" t="s">
        <v>20</v>
      </c>
      <c r="G653" s="9" t="str">
        <f>VLOOKUP(B653,'Property Name List'!A$2:D$834,3,FALSE)</f>
        <v>Fairfield Inn &amp; Suites Wichita Downtown</v>
      </c>
      <c r="H653" s="15">
        <v>46133</v>
      </c>
      <c r="I653" t="s">
        <v>14</v>
      </c>
      <c r="J653">
        <f>VLOOKUP(E653,'Room Count'!A$2:B$2616,2,FALSE)</f>
        <v>130</v>
      </c>
    </row>
    <row r="654" spans="1:10" ht="17.100000000000001">
      <c r="A654" s="13" t="s">
        <v>41</v>
      </c>
      <c r="B654" s="13" t="s">
        <v>718</v>
      </c>
      <c r="C654" s="26">
        <v>200661</v>
      </c>
      <c r="D654" s="13" t="s">
        <v>718</v>
      </c>
      <c r="E654" s="13">
        <v>867</v>
      </c>
      <c r="F654" s="13" t="s">
        <v>20</v>
      </c>
      <c r="G654" s="9" t="str">
        <f>VLOOKUP(B654,'Property Name List'!A$2:D$834,3,FALSE)</f>
        <v>Courtyard By Marriott Fort Worth at Alliance Town Center</v>
      </c>
      <c r="H654" s="15">
        <v>46133</v>
      </c>
      <c r="I654" t="s">
        <v>14</v>
      </c>
      <c r="J654">
        <f>VLOOKUP(E654,'Room Count'!A$2:B$2616,2,FALSE)</f>
        <v>127</v>
      </c>
    </row>
    <row r="655" spans="1:10" ht="17.100000000000001">
      <c r="A655" s="13" t="s">
        <v>41</v>
      </c>
      <c r="B655" s="13" t="s">
        <v>719</v>
      </c>
      <c r="C655" s="26">
        <v>200659</v>
      </c>
      <c r="D655" s="13" t="s">
        <v>719</v>
      </c>
      <c r="E655" s="13">
        <v>866</v>
      </c>
      <c r="F655" s="13" t="s">
        <v>20</v>
      </c>
      <c r="G655" s="9" t="str">
        <f>VLOOKUP(B655,'Property Name List'!A$2:D$834,3,FALSE)</f>
        <v>Fairfield Inn By Marriott Tuscaloosa</v>
      </c>
      <c r="H655" s="15">
        <v>46133</v>
      </c>
      <c r="I655" t="s">
        <v>14</v>
      </c>
      <c r="J655">
        <f>VLOOKUP(E655,'Room Count'!A$2:B$2616,2,FALSE)</f>
        <v>63</v>
      </c>
    </row>
    <row r="656" spans="1:10" ht="17.100000000000001">
      <c r="A656" s="13" t="s">
        <v>41</v>
      </c>
      <c r="B656" s="13" t="s">
        <v>720</v>
      </c>
      <c r="C656" s="26">
        <v>200657</v>
      </c>
      <c r="D656" s="13" t="s">
        <v>720</v>
      </c>
      <c r="E656" s="13">
        <v>865</v>
      </c>
      <c r="F656" s="13" t="s">
        <v>20</v>
      </c>
      <c r="G656" s="9" t="str">
        <f>VLOOKUP(B656,'Property Name List'!A$2:D$834,3,FALSE)</f>
        <v>Courtyard By Marriott Pensacola</v>
      </c>
      <c r="H656" s="15">
        <v>46133</v>
      </c>
      <c r="I656" t="s">
        <v>14</v>
      </c>
      <c r="J656">
        <f>VLOOKUP(E656,'Room Count'!A$2:B$2616,2,FALSE)</f>
        <v>90</v>
      </c>
    </row>
    <row r="657" spans="1:10" ht="17.100000000000001">
      <c r="A657" s="13" t="s">
        <v>41</v>
      </c>
      <c r="B657" s="13" t="s">
        <v>721</v>
      </c>
      <c r="C657" s="26">
        <v>200655</v>
      </c>
      <c r="D657" s="13" t="s">
        <v>721</v>
      </c>
      <c r="E657" s="13">
        <v>864</v>
      </c>
      <c r="F657" s="13" t="s">
        <v>20</v>
      </c>
      <c r="G657" s="9" t="str">
        <f>VLOOKUP(B657,'Property Name List'!A$2:D$834,3,FALSE)</f>
        <v>Fairfield Inn &amp; Suites Snyder</v>
      </c>
      <c r="H657" s="15">
        <v>46133</v>
      </c>
      <c r="I657" t="s">
        <v>14</v>
      </c>
      <c r="J657">
        <f>VLOOKUP(E657,'Room Count'!A$2:B$2616,2,FALSE)</f>
        <v>81</v>
      </c>
    </row>
    <row r="658" spans="1:10" ht="17.100000000000001">
      <c r="A658" s="13" t="s">
        <v>41</v>
      </c>
      <c r="B658" s="13" t="s">
        <v>722</v>
      </c>
      <c r="C658" s="26">
        <v>200653</v>
      </c>
      <c r="D658" s="13" t="s">
        <v>722</v>
      </c>
      <c r="E658" s="13">
        <v>863</v>
      </c>
      <c r="F658" s="13" t="s">
        <v>20</v>
      </c>
      <c r="G658" s="9" t="str">
        <f>VLOOKUP(B658,'Property Name List'!A$2:D$834,3,FALSE)</f>
        <v>Fairfield Inn &amp; Suites Russellville</v>
      </c>
      <c r="H658" s="15">
        <v>46133</v>
      </c>
      <c r="I658" t="s">
        <v>14</v>
      </c>
      <c r="J658">
        <f>VLOOKUP(E658,'Room Count'!A$2:B$2616,2,FALSE)</f>
        <v>73</v>
      </c>
    </row>
    <row r="659" spans="1:10" ht="17.100000000000001">
      <c r="A659" s="13" t="s">
        <v>41</v>
      </c>
      <c r="B659" s="13" t="s">
        <v>723</v>
      </c>
      <c r="C659" s="26">
        <v>200651</v>
      </c>
      <c r="D659" s="13" t="s">
        <v>723</v>
      </c>
      <c r="E659" s="13">
        <v>862</v>
      </c>
      <c r="F659" s="13" t="s">
        <v>20</v>
      </c>
      <c r="G659" s="9" t="str">
        <f>VLOOKUP(B659,'Property Name List'!A$2:D$834,3,FALSE)</f>
        <v>SpringHill Suites By Marriott Austin South</v>
      </c>
      <c r="H659" s="15">
        <v>46133</v>
      </c>
      <c r="I659" t="s">
        <v>14</v>
      </c>
      <c r="J659">
        <f>VLOOKUP(E659,'Room Count'!A$2:B$2616,2,FALSE)</f>
        <v>152</v>
      </c>
    </row>
    <row r="660" spans="1:10" ht="17.100000000000001">
      <c r="A660" s="13" t="s">
        <v>41</v>
      </c>
      <c r="B660" s="13" t="s">
        <v>724</v>
      </c>
      <c r="C660" s="26">
        <v>200649</v>
      </c>
      <c r="D660" s="13" t="s">
        <v>724</v>
      </c>
      <c r="E660" s="13">
        <v>861</v>
      </c>
      <c r="F660" s="13" t="s">
        <v>20</v>
      </c>
      <c r="G660" s="9" t="str">
        <f>VLOOKUP(B660,'Property Name List'!A$2:D$834,3,FALSE)</f>
        <v>Fairfield Inn &amp; Suites Chicago Lombard</v>
      </c>
      <c r="H660" s="15">
        <v>46133</v>
      </c>
      <c r="I660" t="s">
        <v>14</v>
      </c>
      <c r="J660">
        <f>VLOOKUP(E660,'Room Count'!A$2:B$2616,2,FALSE)</f>
        <v>111</v>
      </c>
    </row>
    <row r="661" spans="1:10" ht="17.100000000000001">
      <c r="A661" s="13" t="s">
        <v>41</v>
      </c>
      <c r="B661" s="13" t="s">
        <v>725</v>
      </c>
      <c r="C661" s="26">
        <v>200647</v>
      </c>
      <c r="D661" s="13" t="s">
        <v>725</v>
      </c>
      <c r="E661" s="13">
        <v>860</v>
      </c>
      <c r="F661" s="13" t="s">
        <v>20</v>
      </c>
      <c r="G661" s="9" t="str">
        <f>VLOOKUP(B661,'Property Name List'!A$2:D$834,3,FALSE)</f>
        <v>Fairfield Inn &amp; Suites Dallas West/I-30</v>
      </c>
      <c r="H661" s="15">
        <v>46133</v>
      </c>
      <c r="I661" t="s">
        <v>14</v>
      </c>
      <c r="J661">
        <f>VLOOKUP(E661,'Room Count'!A$2:B$2616,2,FALSE)</f>
        <v>82</v>
      </c>
    </row>
    <row r="662" spans="1:10" ht="17.100000000000001">
      <c r="A662" s="13" t="s">
        <v>41</v>
      </c>
      <c r="B662" s="13" t="s">
        <v>726</v>
      </c>
      <c r="C662" s="26">
        <v>200645</v>
      </c>
      <c r="D662" s="13" t="s">
        <v>726</v>
      </c>
      <c r="E662" s="13">
        <v>859</v>
      </c>
      <c r="F662" s="13" t="s">
        <v>20</v>
      </c>
      <c r="G662" s="9" t="str">
        <f>VLOOKUP(B662,'Property Name List'!A$2:D$834,3,FALSE)</f>
        <v>Fairfield by Marriott Inn &amp; Suites Pensacola Pine Forest</v>
      </c>
      <c r="H662" s="15">
        <v>46133</v>
      </c>
      <c r="I662" t="s">
        <v>14</v>
      </c>
      <c r="J662">
        <f>VLOOKUP(E662,'Room Count'!A$2:B$2616,2,FALSE)</f>
        <v>87</v>
      </c>
    </row>
    <row r="663" spans="1:10" ht="17.100000000000001">
      <c r="A663" s="13" t="s">
        <v>41</v>
      </c>
      <c r="B663" s="13" t="s">
        <v>727</v>
      </c>
      <c r="C663" s="26">
        <v>200643</v>
      </c>
      <c r="D663" s="13" t="s">
        <v>727</v>
      </c>
      <c r="E663" s="13">
        <v>858</v>
      </c>
      <c r="F663" s="13" t="s">
        <v>20</v>
      </c>
      <c r="G663" s="9" t="str">
        <f>VLOOKUP(B663,'Property Name List'!A$2:D$834,3,FALSE)</f>
        <v>Courtyard by Marriott Pensacola I-10 West</v>
      </c>
      <c r="H663" s="15">
        <v>46133</v>
      </c>
      <c r="I663" t="s">
        <v>14</v>
      </c>
      <c r="J663">
        <f>VLOOKUP(E663,'Room Count'!A$2:B$2616,2,FALSE)</f>
        <v>124</v>
      </c>
    </row>
    <row r="664" spans="1:10" ht="17.100000000000001">
      <c r="A664" s="13" t="s">
        <v>41</v>
      </c>
      <c r="B664" s="13" t="s">
        <v>728</v>
      </c>
      <c r="C664" s="26">
        <v>200641</v>
      </c>
      <c r="D664" s="13" t="s">
        <v>728</v>
      </c>
      <c r="E664" s="13">
        <v>857</v>
      </c>
      <c r="F664" s="13" t="s">
        <v>20</v>
      </c>
      <c r="G664" s="9" t="str">
        <f>VLOOKUP(B664,'Property Name List'!A$2:D$834,3,FALSE)</f>
        <v>Fairfield by Marriott Inn &amp; Suites Corpus Christi Central</v>
      </c>
      <c r="H664" s="15">
        <v>46133</v>
      </c>
      <c r="I664" t="s">
        <v>14</v>
      </c>
      <c r="J664">
        <f>VLOOKUP(E664,'Room Count'!A$2:B$2616,2,FALSE)</f>
        <v>76</v>
      </c>
    </row>
    <row r="665" spans="1:10" ht="17.100000000000001">
      <c r="A665" s="13" t="s">
        <v>41</v>
      </c>
      <c r="B665" s="13" t="s">
        <v>729</v>
      </c>
      <c r="C665" s="26">
        <v>200639</v>
      </c>
      <c r="D665" s="13" t="s">
        <v>729</v>
      </c>
      <c r="E665" s="13">
        <v>856</v>
      </c>
      <c r="F665" s="13" t="s">
        <v>20</v>
      </c>
      <c r="G665" s="9" t="str">
        <f>VLOOKUP(B665,'Property Name List'!A$2:D$834,3,FALSE)</f>
        <v>Courtyard By Marriott Houston Kingwood</v>
      </c>
      <c r="H665" s="15">
        <v>46133</v>
      </c>
      <c r="I665" t="s">
        <v>14</v>
      </c>
      <c r="J665">
        <f>VLOOKUP(E665,'Room Count'!A$2:B$2616,2,FALSE)</f>
        <v>115</v>
      </c>
    </row>
    <row r="666" spans="1:10" ht="17.100000000000001">
      <c r="A666" s="13" t="s">
        <v>41</v>
      </c>
      <c r="B666" s="13" t="s">
        <v>730</v>
      </c>
      <c r="C666" s="26">
        <v>200637</v>
      </c>
      <c r="D666" s="13" t="s">
        <v>730</v>
      </c>
      <c r="E666" s="13">
        <v>855</v>
      </c>
      <c r="F666" s="13" t="s">
        <v>20</v>
      </c>
      <c r="G666" s="9" t="str">
        <f>VLOOKUP(B666,'Property Name List'!A$2:D$834,3,FALSE)</f>
        <v>SpringHill Suites By Marriott Houston Katy Mills</v>
      </c>
      <c r="H666" s="15">
        <v>46133</v>
      </c>
      <c r="I666" t="s">
        <v>14</v>
      </c>
      <c r="J666">
        <f>VLOOKUP(E666,'Room Count'!A$2:B$2616,2,FALSE)</f>
        <v>69</v>
      </c>
    </row>
    <row r="667" spans="1:10" ht="17.100000000000001">
      <c r="A667" s="13" t="s">
        <v>41</v>
      </c>
      <c r="B667" s="13" t="s">
        <v>731</v>
      </c>
      <c r="C667" s="26">
        <v>200635</v>
      </c>
      <c r="D667" s="13" t="s">
        <v>731</v>
      </c>
      <c r="E667" s="13">
        <v>854</v>
      </c>
      <c r="F667" s="13" t="s">
        <v>20</v>
      </c>
      <c r="G667" s="9" t="str">
        <f>VLOOKUP(B667,'Property Name List'!A$2:D$834,3,FALSE)</f>
        <v>Fairfield Inn &amp; Suites Houston Westchase</v>
      </c>
      <c r="H667" s="15">
        <v>46133</v>
      </c>
      <c r="I667" t="s">
        <v>14</v>
      </c>
      <c r="J667">
        <f>VLOOKUP(E667,'Room Count'!A$2:B$2616,2,FALSE)</f>
        <v>80</v>
      </c>
    </row>
    <row r="668" spans="1:10" ht="17.100000000000001">
      <c r="A668" s="13" t="s">
        <v>41</v>
      </c>
      <c r="B668" s="13" t="s">
        <v>732</v>
      </c>
      <c r="C668" s="26">
        <v>200633</v>
      </c>
      <c r="D668" s="13" t="s">
        <v>732</v>
      </c>
      <c r="E668" s="13">
        <v>853</v>
      </c>
      <c r="F668" s="13" t="s">
        <v>20</v>
      </c>
      <c r="G668" s="9" t="str">
        <f>VLOOKUP(B668,'Property Name List'!A$2:D$834,3,FALSE)</f>
        <v>AC Hotel Madison Downtown</v>
      </c>
      <c r="H668" s="15">
        <v>46133</v>
      </c>
      <c r="I668" t="s">
        <v>14</v>
      </c>
      <c r="J668">
        <f>VLOOKUP(E668,'Room Count'!A$2:B$2616,2,FALSE)</f>
        <v>165</v>
      </c>
    </row>
    <row r="669" spans="1:10" ht="17.100000000000001">
      <c r="A669" s="13" t="s">
        <v>41</v>
      </c>
      <c r="B669" s="13" t="s">
        <v>733</v>
      </c>
      <c r="C669" s="26">
        <v>200631</v>
      </c>
      <c r="D669" s="13" t="s">
        <v>733</v>
      </c>
      <c r="E669" s="13">
        <v>852</v>
      </c>
      <c r="F669" s="13" t="s">
        <v>20</v>
      </c>
      <c r="G669" s="9" t="str">
        <f>VLOOKUP(B669,'Property Name List'!A$2:D$834,3,FALSE)</f>
        <v>Fairfield Inn &amp; Suites Nashville Smyrna</v>
      </c>
      <c r="H669" s="15">
        <v>46133</v>
      </c>
      <c r="I669" t="s">
        <v>14</v>
      </c>
      <c r="J669">
        <f>VLOOKUP(E669,'Room Count'!A$2:B$2616,2,FALSE)</f>
        <v>62</v>
      </c>
    </row>
    <row r="670" spans="1:10" ht="17.100000000000001">
      <c r="A670" s="13" t="s">
        <v>41</v>
      </c>
      <c r="B670" s="13" t="s">
        <v>734</v>
      </c>
      <c r="C670" s="26">
        <v>200629</v>
      </c>
      <c r="D670" s="13" t="s">
        <v>734</v>
      </c>
      <c r="E670" s="13">
        <v>851</v>
      </c>
      <c r="F670" s="13" t="s">
        <v>20</v>
      </c>
      <c r="G670" s="9" t="str">
        <f>VLOOKUP(B670,'Property Name List'!A$2:D$834,3,FALSE)</f>
        <v>SpringHill Suites By Marriott Houston Northwest</v>
      </c>
      <c r="H670" s="15">
        <v>46133</v>
      </c>
      <c r="I670" t="s">
        <v>14</v>
      </c>
      <c r="J670">
        <f>VLOOKUP(E670,'Room Count'!A$2:B$2616,2,FALSE)</f>
        <v>139</v>
      </c>
    </row>
    <row r="671" spans="1:10" ht="17.100000000000001">
      <c r="A671" s="13" t="s">
        <v>41</v>
      </c>
      <c r="B671" s="13" t="s">
        <v>735</v>
      </c>
      <c r="C671" s="26">
        <v>200627</v>
      </c>
      <c r="D671" s="13" t="s">
        <v>735</v>
      </c>
      <c r="E671" s="13">
        <v>850</v>
      </c>
      <c r="F671" s="13" t="s">
        <v>20</v>
      </c>
      <c r="G671" s="9" t="str">
        <f>VLOOKUP(B671,'Property Name List'!A$2:D$834,3,FALSE)</f>
        <v>Fairfield Inn &amp; Suites Laredo</v>
      </c>
      <c r="H671" s="15">
        <v>46133</v>
      </c>
      <c r="I671" t="s">
        <v>14</v>
      </c>
      <c r="J671">
        <f>VLOOKUP(E671,'Room Count'!A$2:B$2616,2,FALSE)</f>
        <v>114</v>
      </c>
    </row>
    <row r="672" spans="1:10" ht="17.100000000000001">
      <c r="A672" s="13" t="s">
        <v>41</v>
      </c>
      <c r="B672" s="13" t="s">
        <v>736</v>
      </c>
      <c r="C672" s="26">
        <v>200625</v>
      </c>
      <c r="D672" s="13" t="s">
        <v>736</v>
      </c>
      <c r="E672" s="13">
        <v>849</v>
      </c>
      <c r="F672" s="13" t="s">
        <v>20</v>
      </c>
      <c r="G672" s="9" t="str">
        <f>VLOOKUP(B672,'Property Name List'!A$2:D$834,3,FALSE)</f>
        <v>SpringHill Suites By Marriott Houston Baytown</v>
      </c>
      <c r="H672" s="15">
        <v>46133</v>
      </c>
      <c r="I672" t="s">
        <v>14</v>
      </c>
      <c r="J672">
        <f>VLOOKUP(E672,'Room Count'!A$2:B$2616,2,FALSE)</f>
        <v>101</v>
      </c>
    </row>
    <row r="673" spans="1:10" ht="17.100000000000001">
      <c r="A673" s="13" t="s">
        <v>41</v>
      </c>
      <c r="B673" s="13" t="s">
        <v>737</v>
      </c>
      <c r="C673" s="26">
        <v>200623</v>
      </c>
      <c r="D673" s="13" t="s">
        <v>737</v>
      </c>
      <c r="E673" s="13">
        <v>848</v>
      </c>
      <c r="F673" s="13" t="s">
        <v>20</v>
      </c>
      <c r="G673" s="9" t="str">
        <f>VLOOKUP(B673,'Property Name List'!A$2:D$834,3,FALSE)</f>
        <v>Courtyard By Marriott Salina</v>
      </c>
      <c r="H673" s="15">
        <v>46133</v>
      </c>
      <c r="I673" t="s">
        <v>14</v>
      </c>
      <c r="J673">
        <f>VLOOKUP(E673,'Room Count'!A$2:B$2616,2,FALSE)</f>
        <v>80</v>
      </c>
    </row>
    <row r="674" spans="1:10" ht="17.100000000000001">
      <c r="A674" s="13" t="s">
        <v>41</v>
      </c>
      <c r="B674" s="13" t="s">
        <v>738</v>
      </c>
      <c r="C674" s="26">
        <v>200621</v>
      </c>
      <c r="D674" s="13" t="s">
        <v>738</v>
      </c>
      <c r="E674" s="13">
        <v>847</v>
      </c>
      <c r="F674" s="13" t="s">
        <v>20</v>
      </c>
      <c r="G674" s="9" t="str">
        <f>VLOOKUP(B674,'Property Name List'!A$2:D$834,3,FALSE)</f>
        <v>Fairfield Inn &amp; Suites Birmingham Fultondale/I-65</v>
      </c>
      <c r="H674" s="15">
        <v>46133</v>
      </c>
      <c r="I674" t="s">
        <v>14</v>
      </c>
      <c r="J674">
        <f>VLOOKUP(E674,'Room Count'!A$2:B$2616,2,FALSE)</f>
        <v>75</v>
      </c>
    </row>
    <row r="675" spans="1:10" ht="17.100000000000001">
      <c r="A675" s="13" t="s">
        <v>41</v>
      </c>
      <c r="B675" s="13" t="s">
        <v>739</v>
      </c>
      <c r="C675" s="26">
        <v>200619</v>
      </c>
      <c r="D675" s="13" t="s">
        <v>739</v>
      </c>
      <c r="E675" s="13">
        <v>846</v>
      </c>
      <c r="F675" s="13" t="s">
        <v>20</v>
      </c>
      <c r="G675" s="9" t="str">
        <f>VLOOKUP(B675,'Property Name List'!A$2:D$834,3,FALSE)</f>
        <v>Fairfield Inn &amp; Suites Meridian</v>
      </c>
      <c r="H675" s="15">
        <v>46133</v>
      </c>
      <c r="I675" t="s">
        <v>14</v>
      </c>
      <c r="J675">
        <f>VLOOKUP(E675,'Room Count'!A$2:B$2616,2,FALSE)</f>
        <v>87</v>
      </c>
    </row>
    <row r="676" spans="1:10" ht="17.100000000000001">
      <c r="A676" s="13" t="s">
        <v>41</v>
      </c>
      <c r="B676" s="13" t="s">
        <v>740</v>
      </c>
      <c r="C676" s="26">
        <v>200617</v>
      </c>
      <c r="D676" s="13" t="s">
        <v>740</v>
      </c>
      <c r="E676" s="13">
        <v>845</v>
      </c>
      <c r="F676" s="13" t="s">
        <v>20</v>
      </c>
      <c r="G676" s="9" t="str">
        <f>VLOOKUP(B676,'Property Name List'!A$2:D$834,3,FALSE)</f>
        <v>Courtyard By Marriott Dallas Downtown/Reunion District</v>
      </c>
      <c r="H676" s="15">
        <v>46133</v>
      </c>
      <c r="I676" t="s">
        <v>14</v>
      </c>
      <c r="J676">
        <f>VLOOKUP(E676,'Room Count'!A$2:B$2616,2,FALSE)</f>
        <v>167</v>
      </c>
    </row>
    <row r="677" spans="1:10" ht="17.100000000000001">
      <c r="A677" s="13" t="s">
        <v>41</v>
      </c>
      <c r="B677" s="13" t="s">
        <v>741</v>
      </c>
      <c r="C677" s="26">
        <v>200615</v>
      </c>
      <c r="D677" s="13" t="s">
        <v>741</v>
      </c>
      <c r="E677" s="13">
        <v>844</v>
      </c>
      <c r="F677" s="13" t="s">
        <v>20</v>
      </c>
      <c r="G677" s="9" t="str">
        <f>VLOOKUP(B677,'Property Name List'!A$2:D$834,3,FALSE)</f>
        <v>Fairfield Inn &amp; Suites Somerset</v>
      </c>
      <c r="H677" s="15">
        <v>46133</v>
      </c>
      <c r="I677" t="s">
        <v>14</v>
      </c>
      <c r="J677">
        <f>VLOOKUP(E677,'Room Count'!A$2:B$2616,2,FALSE)</f>
        <v>100</v>
      </c>
    </row>
    <row r="678" spans="1:10" ht="17.100000000000001">
      <c r="A678" s="13" t="s">
        <v>41</v>
      </c>
      <c r="B678" s="13" t="s">
        <v>742</v>
      </c>
      <c r="C678" s="26">
        <v>200613</v>
      </c>
      <c r="D678" s="13" t="s">
        <v>742</v>
      </c>
      <c r="E678" s="13">
        <v>843</v>
      </c>
      <c r="F678" s="13" t="s">
        <v>20</v>
      </c>
      <c r="G678" s="9" t="str">
        <f>VLOOKUP(B678,'Property Name List'!A$2:D$834,3,FALSE)</f>
        <v>Courtyard By Marriott Cartersville</v>
      </c>
      <c r="H678" s="15">
        <v>46133</v>
      </c>
      <c r="I678" t="s">
        <v>14</v>
      </c>
      <c r="J678">
        <f>VLOOKUP(E678,'Room Count'!A$2:B$2616,2,FALSE)</f>
        <v>118</v>
      </c>
    </row>
    <row r="679" spans="1:10" ht="17.100000000000001">
      <c r="A679" s="13" t="s">
        <v>41</v>
      </c>
      <c r="B679" s="13" t="s">
        <v>743</v>
      </c>
      <c r="C679" s="26">
        <v>200611</v>
      </c>
      <c r="D679" s="13" t="s">
        <v>743</v>
      </c>
      <c r="E679" s="13">
        <v>842</v>
      </c>
      <c r="F679" s="13" t="s">
        <v>20</v>
      </c>
      <c r="G679" s="9" t="str">
        <f>VLOOKUP(B679,'Property Name List'!A$2:D$834,3,FALSE)</f>
        <v>Fairfield Inn &amp; Suites Boston Marlborough/Apex Center</v>
      </c>
      <c r="H679" s="15">
        <v>46133</v>
      </c>
      <c r="I679" t="s">
        <v>14</v>
      </c>
      <c r="J679">
        <f>VLOOKUP(E679,'Room Count'!A$2:B$2616,2,FALSE)</f>
        <v>108</v>
      </c>
    </row>
    <row r="680" spans="1:10" ht="17.100000000000001">
      <c r="A680" s="13" t="s">
        <v>41</v>
      </c>
      <c r="B680" s="13" t="s">
        <v>744</v>
      </c>
      <c r="C680" s="26">
        <v>200609</v>
      </c>
      <c r="D680" s="13" t="s">
        <v>744</v>
      </c>
      <c r="E680" s="13">
        <v>841</v>
      </c>
      <c r="F680" s="13" t="s">
        <v>20</v>
      </c>
      <c r="G680" s="9" t="str">
        <f>VLOOKUP(B680,'Property Name List'!A$2:D$834,3,FALSE)</f>
        <v>Fairfield Inn &amp; Suites Washington</v>
      </c>
      <c r="H680" s="15">
        <v>46133</v>
      </c>
      <c r="I680" t="s">
        <v>14</v>
      </c>
      <c r="J680">
        <f>VLOOKUP(E680,'Room Count'!A$2:B$2616,2,FALSE)</f>
        <v>86</v>
      </c>
    </row>
    <row r="681" spans="1:10" ht="17.100000000000001">
      <c r="A681" s="13" t="s">
        <v>41</v>
      </c>
      <c r="B681" s="13" t="s">
        <v>745</v>
      </c>
      <c r="C681" s="26">
        <v>200607</v>
      </c>
      <c r="D681" s="13" t="s">
        <v>745</v>
      </c>
      <c r="E681" s="13">
        <v>840</v>
      </c>
      <c r="F681" s="13" t="s">
        <v>20</v>
      </c>
      <c r="G681" s="9" t="str">
        <f>VLOOKUP(B681,'Property Name List'!A$2:D$834,3,FALSE)</f>
        <v>Fairfield Inn &amp; Suites Hickory</v>
      </c>
      <c r="H681" s="15">
        <v>46133</v>
      </c>
      <c r="I681" t="s">
        <v>14</v>
      </c>
      <c r="J681">
        <f>VLOOKUP(E681,'Room Count'!A$2:B$2616,2,FALSE)</f>
        <v>107</v>
      </c>
    </row>
    <row r="682" spans="1:10" ht="17.100000000000001">
      <c r="A682" s="13" t="s">
        <v>41</v>
      </c>
      <c r="B682" s="13" t="s">
        <v>746</v>
      </c>
      <c r="C682" s="26">
        <v>200605</v>
      </c>
      <c r="D682" s="13" t="s">
        <v>746</v>
      </c>
      <c r="E682" s="13">
        <v>839</v>
      </c>
      <c r="F682" s="13" t="s">
        <v>20</v>
      </c>
      <c r="G682" s="9" t="str">
        <f>VLOOKUP(B682,'Property Name List'!A$2:D$834,3,FALSE)</f>
        <v>Fairfield Inn &amp; Suites New Bedford</v>
      </c>
      <c r="H682" s="15">
        <v>46133</v>
      </c>
      <c r="I682" t="s">
        <v>14</v>
      </c>
      <c r="J682">
        <f>VLOOKUP(E682,'Room Count'!A$2:B$2616,2,FALSE)</f>
        <v>106</v>
      </c>
    </row>
    <row r="683" spans="1:10" ht="17.100000000000001">
      <c r="A683" s="13" t="s">
        <v>41</v>
      </c>
      <c r="B683" s="13" t="s">
        <v>747</v>
      </c>
      <c r="C683" s="26">
        <v>200603</v>
      </c>
      <c r="D683" s="13" t="s">
        <v>747</v>
      </c>
      <c r="E683" s="13">
        <v>838</v>
      </c>
      <c r="F683" s="13" t="s">
        <v>20</v>
      </c>
      <c r="G683" s="9" t="str">
        <f>VLOOKUP(B683,'Property Name List'!A$2:D$834,3,FALSE)</f>
        <v>Courtyard By Marriott Edgewater NYC Area</v>
      </c>
      <c r="H683" s="15">
        <v>46133</v>
      </c>
      <c r="I683" t="s">
        <v>14</v>
      </c>
      <c r="J683">
        <f>VLOOKUP(E683,'Room Count'!A$2:B$2616,2,FALSE)</f>
        <v>156</v>
      </c>
    </row>
    <row r="684" spans="1:10" ht="17.100000000000001">
      <c r="A684" s="13" t="s">
        <v>41</v>
      </c>
      <c r="B684" s="13" t="s">
        <v>748</v>
      </c>
      <c r="C684" s="26">
        <v>200601</v>
      </c>
      <c r="D684" s="13" t="s">
        <v>748</v>
      </c>
      <c r="E684" s="13">
        <v>837</v>
      </c>
      <c r="F684" s="13" t="s">
        <v>20</v>
      </c>
      <c r="G684" s="9" t="str">
        <f>VLOOKUP(B684,'Property Name List'!A$2:D$834,3,FALSE)</f>
        <v>Fairfield by Marriott Inn &amp; Suites Columbia Harbison</v>
      </c>
      <c r="H684" s="15">
        <v>46133</v>
      </c>
      <c r="I684" t="s">
        <v>14</v>
      </c>
      <c r="J684">
        <f>VLOOKUP(E684,'Room Count'!A$2:B$2616,2,FALSE)</f>
        <v>84</v>
      </c>
    </row>
    <row r="685" spans="1:10" ht="17.100000000000001">
      <c r="A685" s="13" t="s">
        <v>41</v>
      </c>
      <c r="B685" s="13" t="s">
        <v>749</v>
      </c>
      <c r="C685" s="26">
        <v>200599</v>
      </c>
      <c r="D685" s="13" t="s">
        <v>749</v>
      </c>
      <c r="E685" s="13">
        <v>836</v>
      </c>
      <c r="F685" s="13" t="s">
        <v>20</v>
      </c>
      <c r="G685" s="9" t="str">
        <f>VLOOKUP(B685,'Property Name List'!A$2:D$834,3,FALSE)</f>
        <v>Fairfield Inn &amp; Suites Mebane</v>
      </c>
      <c r="H685" s="15">
        <v>46133</v>
      </c>
      <c r="I685" t="s">
        <v>14</v>
      </c>
      <c r="J685">
        <f>VLOOKUP(E685,'Room Count'!A$2:B$2616,2,FALSE)</f>
        <v>85</v>
      </c>
    </row>
    <row r="686" spans="1:10" ht="17.100000000000001">
      <c r="A686" s="13" t="s">
        <v>41</v>
      </c>
      <c r="B686" s="13" t="s">
        <v>750</v>
      </c>
      <c r="C686" s="26">
        <v>200597</v>
      </c>
      <c r="D686" s="13" t="s">
        <v>750</v>
      </c>
      <c r="E686" s="13">
        <v>835</v>
      </c>
      <c r="F686" s="13" t="s">
        <v>20</v>
      </c>
      <c r="G686" s="9" t="str">
        <f>VLOOKUP(B686,'Property Name List'!A$2:D$834,3,FALSE)</f>
        <v>Fairfield Inn &amp; Suites Philadelphia Valley Forge/Great Valley</v>
      </c>
      <c r="H686" s="15">
        <v>46133</v>
      </c>
      <c r="I686" t="s">
        <v>14</v>
      </c>
      <c r="J686">
        <f>VLOOKUP(E686,'Room Count'!A$2:B$2616,2,FALSE)</f>
        <v>124</v>
      </c>
    </row>
    <row r="687" spans="1:10" ht="17.100000000000001">
      <c r="A687" s="13" t="s">
        <v>41</v>
      </c>
      <c r="B687" s="13" t="s">
        <v>751</v>
      </c>
      <c r="C687" s="26">
        <v>200595</v>
      </c>
      <c r="D687" s="13" t="s">
        <v>751</v>
      </c>
      <c r="E687" s="13">
        <v>834</v>
      </c>
      <c r="F687" s="13" t="s">
        <v>20</v>
      </c>
      <c r="G687" s="9" t="str">
        <f>VLOOKUP(B687,'Property Name List'!A$2:D$834,3,FALSE)</f>
        <v>SpringHill Suites By Marriott Durham Chapel Hill</v>
      </c>
      <c r="H687" s="15">
        <v>46133</v>
      </c>
      <c r="I687" t="s">
        <v>14</v>
      </c>
      <c r="J687">
        <f>VLOOKUP(E687,'Room Count'!A$2:B$2616,2,FALSE)</f>
        <v>130</v>
      </c>
    </row>
    <row r="688" spans="1:10" ht="17.100000000000001">
      <c r="A688" s="13" t="s">
        <v>41</v>
      </c>
      <c r="B688" s="13" t="s">
        <v>752</v>
      </c>
      <c r="C688" s="26">
        <v>200593</v>
      </c>
      <c r="D688" s="13" t="s">
        <v>752</v>
      </c>
      <c r="E688" s="13">
        <v>833</v>
      </c>
      <c r="F688" s="13" t="s">
        <v>20</v>
      </c>
      <c r="G688" s="9" t="str">
        <f>VLOOKUP(B688,'Property Name List'!A$2:D$834,3,FALSE)</f>
        <v>Courtyard By Marriott Kokomo</v>
      </c>
      <c r="H688" s="15">
        <v>46133</v>
      </c>
      <c r="I688" t="s">
        <v>14</v>
      </c>
      <c r="J688">
        <f>VLOOKUP(E688,'Room Count'!A$2:B$2616,2,FALSE)</f>
        <v>90</v>
      </c>
    </row>
    <row r="689" spans="1:10" hidden="1">
      <c r="A689" s="13" t="s">
        <v>42</v>
      </c>
      <c r="B689" s="13" t="s">
        <v>753</v>
      </c>
      <c r="C689" s="26">
        <v>200591</v>
      </c>
      <c r="D689" s="13" t="s">
        <v>753</v>
      </c>
      <c r="E689" s="13">
        <v>832</v>
      </c>
      <c r="F689" s="13" t="s">
        <v>20</v>
      </c>
      <c r="G689" s="9" t="e">
        <f>VLOOKUP(B689,'Property Name List'!A$2:D$834,3,FALSE)</f>
        <v>#N/A</v>
      </c>
      <c r="H689" s="13" t="s">
        <v>42</v>
      </c>
      <c r="I689" t="s">
        <v>14</v>
      </c>
      <c r="J689" t="e">
        <f>VLOOKUP(E689,'Room Count'!A$2:B$2616,2,FALSE)</f>
        <v>#N/A</v>
      </c>
    </row>
    <row r="690" spans="1:10" ht="17.100000000000001">
      <c r="A690" s="13" t="s">
        <v>41</v>
      </c>
      <c r="B690" s="13" t="s">
        <v>754</v>
      </c>
      <c r="C690" s="26">
        <v>200589</v>
      </c>
      <c r="D690" s="13" t="s">
        <v>754</v>
      </c>
      <c r="E690" s="13">
        <v>831</v>
      </c>
      <c r="F690" s="13" t="s">
        <v>20</v>
      </c>
      <c r="G690" s="9" t="str">
        <f>VLOOKUP(B690,'Property Name List'!A$2:D$834,3,FALSE)</f>
        <v>Fairfield Inn &amp; Suites Knoxville East</v>
      </c>
      <c r="H690" s="15">
        <v>46133</v>
      </c>
      <c r="I690" t="s">
        <v>14</v>
      </c>
      <c r="J690">
        <f>VLOOKUP(E690,'Room Count'!A$2:B$2616,2,FALSE)</f>
        <v>105</v>
      </c>
    </row>
    <row r="691" spans="1:10" ht="17.100000000000001">
      <c r="A691" s="13" t="s">
        <v>41</v>
      </c>
      <c r="B691" s="13" t="s">
        <v>755</v>
      </c>
      <c r="C691" s="26">
        <v>200587</v>
      </c>
      <c r="D691" s="13" t="s">
        <v>755</v>
      </c>
      <c r="E691" s="13">
        <v>830</v>
      </c>
      <c r="F691" s="13" t="s">
        <v>20</v>
      </c>
      <c r="G691" s="9" t="str">
        <f>VLOOKUP(B691,'Property Name List'!A$2:D$834,3,FALSE)</f>
        <v>Courtyard By Marriott Wilkes-Barre Arena</v>
      </c>
      <c r="H691" s="15">
        <v>46133</v>
      </c>
      <c r="I691" t="s">
        <v>14</v>
      </c>
      <c r="J691">
        <f>VLOOKUP(E691,'Room Count'!A$2:B$2616,2,FALSE)</f>
        <v>106</v>
      </c>
    </row>
    <row r="692" spans="1:10" ht="17.100000000000001">
      <c r="A692" s="13" t="s">
        <v>41</v>
      </c>
      <c r="B692" s="13" t="s">
        <v>756</v>
      </c>
      <c r="C692" s="26">
        <v>200585</v>
      </c>
      <c r="D692" s="13" t="s">
        <v>756</v>
      </c>
      <c r="E692" s="13">
        <v>829</v>
      </c>
      <c r="F692" s="13" t="s">
        <v>20</v>
      </c>
      <c r="G692" s="9" t="str">
        <f>VLOOKUP(B692,'Property Name List'!A$2:D$834,3,FALSE)</f>
        <v>Courtyard By Marriott Raleigh Cary/Parkside Town Commons</v>
      </c>
      <c r="H692" s="15">
        <v>46133</v>
      </c>
      <c r="I692" t="s">
        <v>14</v>
      </c>
      <c r="J692">
        <f>VLOOKUP(E692,'Room Count'!A$2:B$2616,2,FALSE)</f>
        <v>105</v>
      </c>
    </row>
    <row r="693" spans="1:10" ht="17.100000000000001">
      <c r="A693" s="13" t="s">
        <v>41</v>
      </c>
      <c r="B693" s="13" t="s">
        <v>757</v>
      </c>
      <c r="C693" s="26">
        <v>200583</v>
      </c>
      <c r="D693" s="13" t="s">
        <v>757</v>
      </c>
      <c r="E693" s="13">
        <v>828</v>
      </c>
      <c r="F693" s="13" t="s">
        <v>20</v>
      </c>
      <c r="G693" s="9" t="str">
        <f>VLOOKUP(B693,'Property Name List'!A$2:D$834,3,FALSE)</f>
        <v>Courtyard By Marriott Battle Creek</v>
      </c>
      <c r="H693" s="15">
        <v>46133</v>
      </c>
      <c r="I693" t="s">
        <v>14</v>
      </c>
      <c r="J693">
        <f>VLOOKUP(E693,'Room Count'!A$2:B$2616,2,FALSE)</f>
        <v>102</v>
      </c>
    </row>
    <row r="694" spans="1:10" ht="17.100000000000001">
      <c r="A694" s="13" t="s">
        <v>41</v>
      </c>
      <c r="B694" s="13" t="s">
        <v>758</v>
      </c>
      <c r="C694" s="26">
        <v>200581</v>
      </c>
      <c r="D694" s="13" t="s">
        <v>758</v>
      </c>
      <c r="E694" s="13">
        <v>827</v>
      </c>
      <c r="F694" s="13" t="s">
        <v>20</v>
      </c>
      <c r="G694" s="9" t="str">
        <f>VLOOKUP(B694,'Property Name List'!A$2:D$834,3,FALSE)</f>
        <v>Fairfield Inn &amp; Suites Parsippany</v>
      </c>
      <c r="H694" s="15">
        <v>46133</v>
      </c>
      <c r="I694" t="s">
        <v>14</v>
      </c>
      <c r="J694">
        <f>VLOOKUP(E694,'Room Count'!A$2:B$2616,2,FALSE)</f>
        <v>109</v>
      </c>
    </row>
    <row r="695" spans="1:10" ht="17.100000000000001">
      <c r="A695" s="13" t="s">
        <v>41</v>
      </c>
      <c r="B695" s="13" t="s">
        <v>759</v>
      </c>
      <c r="C695" s="26">
        <v>200579</v>
      </c>
      <c r="D695" s="13" t="s">
        <v>759</v>
      </c>
      <c r="E695" s="13">
        <v>826</v>
      </c>
      <c r="F695" s="13" t="s">
        <v>20</v>
      </c>
      <c r="G695" s="9" t="str">
        <f>VLOOKUP(B695,'Property Name List'!A$2:D$834,3,FALSE)</f>
        <v>Fairfield by Marriott Inn &amp; Suites Helen</v>
      </c>
      <c r="H695" s="15">
        <v>46133</v>
      </c>
      <c r="I695" t="s">
        <v>14</v>
      </c>
      <c r="J695">
        <f>VLOOKUP(E695,'Room Count'!A$2:B$2616,2,FALSE)</f>
        <v>77</v>
      </c>
    </row>
    <row r="696" spans="1:10" ht="17.100000000000001">
      <c r="A696" s="13" t="s">
        <v>41</v>
      </c>
      <c r="B696" s="13" t="s">
        <v>760</v>
      </c>
      <c r="C696" s="26">
        <v>200577</v>
      </c>
      <c r="D696" s="13" t="s">
        <v>760</v>
      </c>
      <c r="E696" s="13">
        <v>825</v>
      </c>
      <c r="F696" s="13" t="s">
        <v>20</v>
      </c>
      <c r="G696" s="9" t="str">
        <f>VLOOKUP(B696,'Property Name List'!A$2:D$834,3,FALSE)</f>
        <v>Courtyard By Marriott Greenville Downtown</v>
      </c>
      <c r="H696" s="15">
        <v>46133</v>
      </c>
      <c r="I696" t="s">
        <v>14</v>
      </c>
      <c r="J696">
        <f>VLOOKUP(E696,'Room Count'!A$2:B$2616,2,FALSE)</f>
        <v>135</v>
      </c>
    </row>
    <row r="697" spans="1:10" ht="17.100000000000001">
      <c r="A697" s="13" t="s">
        <v>41</v>
      </c>
      <c r="B697" s="13" t="s">
        <v>761</v>
      </c>
      <c r="C697" s="26">
        <v>200575</v>
      </c>
      <c r="D697" s="13" t="s">
        <v>761</v>
      </c>
      <c r="E697" s="13">
        <v>824</v>
      </c>
      <c r="F697" s="13" t="s">
        <v>20</v>
      </c>
      <c r="G697" s="9" t="str">
        <f>VLOOKUP(B697,'Property Name List'!A$2:D$834,3,FALSE)</f>
        <v>SpringHill Suites By Marriott Newnan</v>
      </c>
      <c r="H697" s="15">
        <v>46133</v>
      </c>
      <c r="I697" t="s">
        <v>14</v>
      </c>
      <c r="J697">
        <f>VLOOKUP(E697,'Room Count'!A$2:B$2616,2,FALSE)</f>
        <v>82</v>
      </c>
    </row>
    <row r="698" spans="1:10" ht="17.100000000000001">
      <c r="A698" s="13" t="s">
        <v>41</v>
      </c>
      <c r="B698" s="13" t="s">
        <v>762</v>
      </c>
      <c r="C698" s="26">
        <v>200573</v>
      </c>
      <c r="D698" s="13" t="s">
        <v>762</v>
      </c>
      <c r="E698" s="13">
        <v>823</v>
      </c>
      <c r="F698" s="13" t="s">
        <v>20</v>
      </c>
      <c r="G698" s="9" t="str">
        <f>VLOOKUP(B698,'Property Name List'!A$2:D$834,3,FALSE)</f>
        <v>Fairfield Inn &amp; Suites Plattsburgh</v>
      </c>
      <c r="H698" s="15">
        <v>46133</v>
      </c>
      <c r="I698" t="s">
        <v>14</v>
      </c>
      <c r="J698">
        <f>VLOOKUP(E698,'Room Count'!A$2:B$2616,2,FALSE)</f>
        <v>91</v>
      </c>
    </row>
    <row r="699" spans="1:10" ht="17.100000000000001">
      <c r="A699" s="13" t="s">
        <v>41</v>
      </c>
      <c r="B699" s="13" t="s">
        <v>763</v>
      </c>
      <c r="C699" s="26">
        <v>200571</v>
      </c>
      <c r="D699" s="13" t="s">
        <v>763</v>
      </c>
      <c r="E699" s="13">
        <v>822</v>
      </c>
      <c r="F699" s="13" t="s">
        <v>20</v>
      </c>
      <c r="G699" s="9" t="str">
        <f>VLOOKUP(B699,'Property Name List'!A$2:D$834,3,FALSE)</f>
        <v>Fairfield Inn &amp; Suites Boston Cambridge</v>
      </c>
      <c r="H699" s="15">
        <v>46133</v>
      </c>
      <c r="I699" t="s">
        <v>14</v>
      </c>
      <c r="J699">
        <f>VLOOKUP(E699,'Room Count'!A$2:B$2616,2,FALSE)</f>
        <v>123</v>
      </c>
    </row>
    <row r="700" spans="1:10" ht="17.100000000000001">
      <c r="A700" s="13" t="s">
        <v>41</v>
      </c>
      <c r="B700" s="13" t="s">
        <v>764</v>
      </c>
      <c r="C700" s="26">
        <v>200569</v>
      </c>
      <c r="D700" s="13" t="s">
        <v>764</v>
      </c>
      <c r="E700" s="13">
        <v>821</v>
      </c>
      <c r="F700" s="13" t="s">
        <v>20</v>
      </c>
      <c r="G700" s="9" t="str">
        <f>VLOOKUP(B700,'Property Name List'!A$2:D$834,3,FALSE)</f>
        <v>Fairfield Inn By Marriott Deptford</v>
      </c>
      <c r="H700" s="15">
        <v>46133</v>
      </c>
      <c r="I700" t="s">
        <v>14</v>
      </c>
      <c r="J700">
        <f>VLOOKUP(E700,'Room Count'!A$2:B$2616,2,FALSE)</f>
        <v>102</v>
      </c>
    </row>
    <row r="701" spans="1:10" ht="17.100000000000001">
      <c r="A701" s="13" t="s">
        <v>41</v>
      </c>
      <c r="B701" s="13" t="s">
        <v>765</v>
      </c>
      <c r="C701" s="26">
        <v>200567</v>
      </c>
      <c r="D701" s="13" t="s">
        <v>765</v>
      </c>
      <c r="E701" s="13">
        <v>820</v>
      </c>
      <c r="F701" s="13" t="s">
        <v>20</v>
      </c>
      <c r="G701" s="9" t="str">
        <f>VLOOKUP(B701,'Property Name List'!A$2:D$834,3,FALSE)</f>
        <v>Courtyard By Marriott Miami Downtown/Brickell Area</v>
      </c>
      <c r="H701" s="15">
        <v>46133</v>
      </c>
      <c r="I701" t="s">
        <v>14</v>
      </c>
      <c r="J701">
        <f>VLOOKUP(E701,'Room Count'!A$2:B$2616,2,FALSE)</f>
        <v>233</v>
      </c>
    </row>
    <row r="702" spans="1:10" ht="17.100000000000001">
      <c r="A702" s="13" t="s">
        <v>41</v>
      </c>
      <c r="B702" s="13" t="s">
        <v>766</v>
      </c>
      <c r="C702" s="26">
        <v>200565</v>
      </c>
      <c r="D702" s="13" t="s">
        <v>766</v>
      </c>
      <c r="E702" s="13">
        <v>819</v>
      </c>
      <c r="F702" s="13" t="s">
        <v>20</v>
      </c>
      <c r="G702" s="9" t="str">
        <f>VLOOKUP(B702,'Property Name List'!A$2:D$834,3,FALSE)</f>
        <v>Fairfield Inn &amp; Suites New York Brooklyn</v>
      </c>
      <c r="H702" s="15">
        <v>46133</v>
      </c>
      <c r="I702" t="s">
        <v>14</v>
      </c>
      <c r="J702">
        <f>VLOOKUP(E702,'Room Count'!A$2:B$2616,2,FALSE)</f>
        <v>133</v>
      </c>
    </row>
    <row r="703" spans="1:10" ht="17.100000000000001">
      <c r="A703" s="13" t="s">
        <v>41</v>
      </c>
      <c r="B703" s="13" t="s">
        <v>767</v>
      </c>
      <c r="C703" s="26">
        <v>200563</v>
      </c>
      <c r="D703" s="13" t="s">
        <v>767</v>
      </c>
      <c r="E703" s="13">
        <v>818</v>
      </c>
      <c r="F703" s="13" t="s">
        <v>20</v>
      </c>
      <c r="G703" s="9" t="str">
        <f>VLOOKUP(B703,'Property Name List'!A$2:D$834,3,FALSE)</f>
        <v>SpringHill Suites By Marriott Detroit Dearborn</v>
      </c>
      <c r="H703" s="15">
        <v>46133</v>
      </c>
      <c r="I703" t="s">
        <v>14</v>
      </c>
      <c r="J703">
        <f>VLOOKUP(E703,'Room Count'!A$2:B$2616,2,FALSE)</f>
        <v>120</v>
      </c>
    </row>
    <row r="704" spans="1:10" ht="17.100000000000001">
      <c r="A704" s="13" t="s">
        <v>41</v>
      </c>
      <c r="B704" s="13" t="s">
        <v>768</v>
      </c>
      <c r="C704" s="26">
        <v>200561</v>
      </c>
      <c r="D704" s="13" t="s">
        <v>768</v>
      </c>
      <c r="E704" s="13">
        <v>817</v>
      </c>
      <c r="F704" s="13" t="s">
        <v>20</v>
      </c>
      <c r="G704" s="9" t="str">
        <f>VLOOKUP(B704,'Property Name List'!A$2:D$834,3,FALSE)</f>
        <v>Fairfield Inn &amp; Suites Richmond Midlothian</v>
      </c>
      <c r="H704" s="15">
        <v>46133</v>
      </c>
      <c r="I704" t="s">
        <v>14</v>
      </c>
      <c r="J704">
        <f>VLOOKUP(E704,'Room Count'!A$2:B$2616,2,FALSE)</f>
        <v>91</v>
      </c>
    </row>
    <row r="705" spans="1:10" ht="17.100000000000001">
      <c r="A705" s="13" t="s">
        <v>41</v>
      </c>
      <c r="B705" s="13" t="s">
        <v>769</v>
      </c>
      <c r="C705" s="26">
        <v>200559</v>
      </c>
      <c r="D705" s="13" t="s">
        <v>769</v>
      </c>
      <c r="E705" s="13">
        <v>816</v>
      </c>
      <c r="F705" s="13" t="s">
        <v>20</v>
      </c>
      <c r="G705" s="9" t="str">
        <f>VLOOKUP(B705,'Property Name List'!A$2:D$834,3,FALSE)</f>
        <v>Fairfield Inn &amp; Suites Wilkes-Barre Scranton</v>
      </c>
      <c r="H705" s="15">
        <v>46133</v>
      </c>
      <c r="I705" t="s">
        <v>14</v>
      </c>
      <c r="J705">
        <f>VLOOKUP(E705,'Room Count'!A$2:B$2616,2,FALSE)</f>
        <v>110</v>
      </c>
    </row>
    <row r="706" spans="1:10" ht="17.100000000000001">
      <c r="A706" s="13" t="s">
        <v>41</v>
      </c>
      <c r="B706" s="13" t="s">
        <v>770</v>
      </c>
      <c r="C706" s="26">
        <v>200557</v>
      </c>
      <c r="D706" s="13" t="s">
        <v>770</v>
      </c>
      <c r="E706" s="13">
        <v>815</v>
      </c>
      <c r="F706" s="13" t="s">
        <v>20</v>
      </c>
      <c r="G706" s="9" t="str">
        <f>VLOOKUP(B706,'Property Name List'!A$2:D$834,3,FALSE)</f>
        <v>Fairfield by Marriott Inn &amp; Suites Whitsett Greensboro East</v>
      </c>
      <c r="H706" s="15">
        <v>46133</v>
      </c>
      <c r="I706" t="s">
        <v>14</v>
      </c>
      <c r="J706">
        <f>VLOOKUP(E706,'Room Count'!A$2:B$2616,2,FALSE)</f>
        <v>102</v>
      </c>
    </row>
    <row r="707" spans="1:10" ht="17.100000000000001">
      <c r="A707" s="13" t="s">
        <v>41</v>
      </c>
      <c r="B707" s="13" t="s">
        <v>771</v>
      </c>
      <c r="C707" s="26">
        <v>200555</v>
      </c>
      <c r="D707" s="13" t="s">
        <v>771</v>
      </c>
      <c r="E707" s="13">
        <v>814</v>
      </c>
      <c r="F707" s="13" t="s">
        <v>20</v>
      </c>
      <c r="G707" s="9" t="str">
        <f>VLOOKUP(B707,'Property Name List'!A$2:D$834,3,FALSE)</f>
        <v>Courtyard By Marriott Carrollton</v>
      </c>
      <c r="H707" s="15">
        <v>46133</v>
      </c>
      <c r="I707" t="s">
        <v>14</v>
      </c>
      <c r="J707">
        <f>VLOOKUP(E707,'Room Count'!A$2:B$2616,2,FALSE)</f>
        <v>109</v>
      </c>
    </row>
    <row r="708" spans="1:10" ht="17.100000000000001">
      <c r="A708" s="13" t="s">
        <v>41</v>
      </c>
      <c r="B708" s="13" t="s">
        <v>772</v>
      </c>
      <c r="C708" s="26">
        <v>200551</v>
      </c>
      <c r="D708" s="13" t="s">
        <v>772</v>
      </c>
      <c r="E708" s="13">
        <v>812</v>
      </c>
      <c r="F708" s="13" t="s">
        <v>20</v>
      </c>
      <c r="G708" s="9" t="str">
        <f>VLOOKUP(B708,'Property Name List'!A$2:D$834,3,FALSE)</f>
        <v>Courtyard By Marriott Orlando Downtown</v>
      </c>
      <c r="H708" s="15">
        <v>46133</v>
      </c>
      <c r="I708" t="s">
        <v>14</v>
      </c>
      <c r="J708">
        <f>VLOOKUP(E708,'Room Count'!A$2:B$2616,2,FALSE)</f>
        <v>200</v>
      </c>
    </row>
    <row r="709" spans="1:10" ht="17.100000000000001">
      <c r="A709" s="13" t="s">
        <v>41</v>
      </c>
      <c r="B709" s="13" t="s">
        <v>773</v>
      </c>
      <c r="C709" s="26">
        <v>200549</v>
      </c>
      <c r="D709" s="13" t="s">
        <v>773</v>
      </c>
      <c r="E709" s="13">
        <v>811</v>
      </c>
      <c r="F709" s="13" t="s">
        <v>20</v>
      </c>
      <c r="G709" s="9" t="str">
        <f>VLOOKUP(B709,'Property Name List'!A$2:D$834,3,FALSE)</f>
        <v>Courtyard by Marriott Gainesville GA</v>
      </c>
      <c r="H709" s="15">
        <v>46133</v>
      </c>
      <c r="I709" t="s">
        <v>14</v>
      </c>
      <c r="J709">
        <f>VLOOKUP(E709,'Room Count'!A$2:B$2616,2,FALSE)</f>
        <v>130</v>
      </c>
    </row>
    <row r="710" spans="1:10" ht="17.100000000000001">
      <c r="A710" s="13" t="s">
        <v>41</v>
      </c>
      <c r="B710" s="13" t="s">
        <v>774</v>
      </c>
      <c r="C710" s="26">
        <v>200547</v>
      </c>
      <c r="D710" s="13" t="s">
        <v>774</v>
      </c>
      <c r="E710" s="13">
        <v>810</v>
      </c>
      <c r="F710" s="13" t="s">
        <v>20</v>
      </c>
      <c r="G710" s="9" t="str">
        <f>VLOOKUP(B710,'Property Name List'!A$2:D$834,3,FALSE)</f>
        <v>Courtyard By Marriott Tampa North/I-75 Fletcher</v>
      </c>
      <c r="H710" s="15">
        <v>46133</v>
      </c>
      <c r="I710" t="s">
        <v>14</v>
      </c>
      <c r="J710">
        <f>VLOOKUP(E710,'Room Count'!A$2:B$2616,2,FALSE)</f>
        <v>81</v>
      </c>
    </row>
    <row r="711" spans="1:10" ht="17.100000000000001">
      <c r="A711" s="13" t="s">
        <v>41</v>
      </c>
      <c r="B711" s="13" t="s">
        <v>775</v>
      </c>
      <c r="C711" s="26">
        <v>200545</v>
      </c>
      <c r="D711" s="13" t="s">
        <v>775</v>
      </c>
      <c r="E711" s="13">
        <v>809</v>
      </c>
      <c r="F711" s="13" t="s">
        <v>20</v>
      </c>
      <c r="G711" s="9" t="str">
        <f>VLOOKUP(B711,'Property Name List'!A$2:D$834,3,FALSE)</f>
        <v>SpringHill Suites By Marriott Newark Liberty International Airport</v>
      </c>
      <c r="H711" s="15">
        <v>46133</v>
      </c>
      <c r="I711" t="s">
        <v>14</v>
      </c>
      <c r="J711">
        <f>VLOOKUP(E711,'Room Count'!A$2:B$2616,2,FALSE)</f>
        <v>200</v>
      </c>
    </row>
    <row r="712" spans="1:10" ht="17.100000000000001">
      <c r="A712" s="13" t="s">
        <v>41</v>
      </c>
      <c r="B712" s="13" t="s">
        <v>776</v>
      </c>
      <c r="C712" s="26">
        <v>200543</v>
      </c>
      <c r="D712" s="13" t="s">
        <v>776</v>
      </c>
      <c r="E712" s="13">
        <v>808</v>
      </c>
      <c r="F712" s="13" t="s">
        <v>20</v>
      </c>
      <c r="G712" s="9" t="str">
        <f>VLOOKUP(B712,'Property Name List'!A$2:D$834,3,FALSE)</f>
        <v>Courtyard By Marriott Morgantown</v>
      </c>
      <c r="H712" s="15">
        <v>46133</v>
      </c>
      <c r="I712" t="s">
        <v>14</v>
      </c>
      <c r="J712">
        <f>VLOOKUP(E712,'Room Count'!A$2:B$2616,2,FALSE)</f>
        <v>107</v>
      </c>
    </row>
    <row r="713" spans="1:10" ht="17.100000000000001">
      <c r="A713" s="13" t="s">
        <v>41</v>
      </c>
      <c r="B713" s="13" t="s">
        <v>777</v>
      </c>
      <c r="C713" s="26">
        <v>200541</v>
      </c>
      <c r="D713" s="13" t="s">
        <v>777</v>
      </c>
      <c r="E713" s="13">
        <v>807</v>
      </c>
      <c r="F713" s="13" t="s">
        <v>20</v>
      </c>
      <c r="G713" s="9" t="str">
        <f>VLOOKUP(B713,'Property Name List'!A$2:D$834,3,FALSE)</f>
        <v>Fairfield Inn &amp; Suites Douglas</v>
      </c>
      <c r="H713" s="15">
        <v>46133</v>
      </c>
      <c r="I713" t="s">
        <v>14</v>
      </c>
      <c r="J713">
        <f>VLOOKUP(E713,'Room Count'!A$2:B$2616,2,FALSE)</f>
        <v>71</v>
      </c>
    </row>
    <row r="714" spans="1:10" ht="17.100000000000001">
      <c r="A714" s="13" t="s">
        <v>41</v>
      </c>
      <c r="B714" s="13" t="s">
        <v>778</v>
      </c>
      <c r="C714" s="26">
        <v>200539</v>
      </c>
      <c r="D714" s="13" t="s">
        <v>778</v>
      </c>
      <c r="E714" s="13">
        <v>806</v>
      </c>
      <c r="F714" s="13" t="s">
        <v>20</v>
      </c>
      <c r="G714" s="9" t="str">
        <f>VLOOKUP(B714,'Property Name List'!A$2:D$834,3,FALSE)</f>
        <v>Courtyard By Marriott Louisville Downtown</v>
      </c>
      <c r="H714" s="15">
        <v>46133</v>
      </c>
      <c r="I714" t="s">
        <v>14</v>
      </c>
      <c r="J714">
        <f>VLOOKUP(E714,'Room Count'!A$2:B$2616,2,FALSE)</f>
        <v>140</v>
      </c>
    </row>
    <row r="715" spans="1:10" ht="17.100000000000001">
      <c r="A715" s="13" t="s">
        <v>41</v>
      </c>
      <c r="B715" s="13" t="s">
        <v>779</v>
      </c>
      <c r="C715" s="26">
        <v>200537</v>
      </c>
      <c r="D715" s="13" t="s">
        <v>779</v>
      </c>
      <c r="E715" s="13">
        <v>805</v>
      </c>
      <c r="F715" s="13" t="s">
        <v>20</v>
      </c>
      <c r="G715" s="9" t="str">
        <f>VLOOKUP(B715,'Property Name List'!A$2:D$834,3,FALSE)</f>
        <v>Fairfield Inn &amp; Suites Virginia Beach Oceanfront</v>
      </c>
      <c r="H715" s="15">
        <v>46133</v>
      </c>
      <c r="I715" t="s">
        <v>14</v>
      </c>
      <c r="J715">
        <f>VLOOKUP(E715,'Room Count'!A$2:B$2616,2,FALSE)</f>
        <v>114</v>
      </c>
    </row>
    <row r="716" spans="1:10" ht="17.100000000000001">
      <c r="A716" s="13" t="s">
        <v>41</v>
      </c>
      <c r="B716" s="13" t="s">
        <v>780</v>
      </c>
      <c r="C716" s="26">
        <v>200535</v>
      </c>
      <c r="D716" s="13" t="s">
        <v>780</v>
      </c>
      <c r="E716" s="13">
        <v>804</v>
      </c>
      <c r="F716" s="13" t="s">
        <v>20</v>
      </c>
      <c r="G716" s="9" t="str">
        <f>VLOOKUP(B716,'Property Name List'!A$2:D$834,3,FALSE)</f>
        <v>Fairfield Inn &amp; Suites Keene Downtown</v>
      </c>
      <c r="H716" s="15">
        <v>46133</v>
      </c>
      <c r="I716" t="s">
        <v>14</v>
      </c>
      <c r="J716">
        <f>VLOOKUP(E716,'Room Count'!A$2:B$2616,2,FALSE)</f>
        <v>40</v>
      </c>
    </row>
    <row r="717" spans="1:10" ht="17.100000000000001">
      <c r="A717" s="13" t="s">
        <v>41</v>
      </c>
      <c r="B717" s="13" t="s">
        <v>781</v>
      </c>
      <c r="C717" s="26">
        <v>200533</v>
      </c>
      <c r="D717" s="13" t="s">
        <v>781</v>
      </c>
      <c r="E717" s="13">
        <v>803</v>
      </c>
      <c r="F717" s="13" t="s">
        <v>20</v>
      </c>
      <c r="G717" s="9" t="str">
        <f>VLOOKUP(B717,'Property Name List'!A$2:D$834,3,FALSE)</f>
        <v>Courtyard By Marriott Winter Haven</v>
      </c>
      <c r="H717" s="15">
        <v>46133</v>
      </c>
      <c r="I717" t="s">
        <v>14</v>
      </c>
      <c r="J717">
        <f>VLOOKUP(E717,'Room Count'!A$2:B$2616,2,FALSE)</f>
        <v>111</v>
      </c>
    </row>
    <row r="718" spans="1:10" ht="17.100000000000001">
      <c r="A718" s="13" t="s">
        <v>41</v>
      </c>
      <c r="B718" s="13" t="s">
        <v>782</v>
      </c>
      <c r="C718" s="26">
        <v>200531</v>
      </c>
      <c r="D718" s="13" t="s">
        <v>782</v>
      </c>
      <c r="E718" s="13">
        <v>802</v>
      </c>
      <c r="F718" s="13" t="s">
        <v>20</v>
      </c>
      <c r="G718" s="9" t="str">
        <f>VLOOKUP(B718,'Property Name List'!A$2:D$834,3,FALSE)</f>
        <v>Fairfield Inn &amp; Suites Commerce</v>
      </c>
      <c r="H718" s="15">
        <v>46133</v>
      </c>
      <c r="I718" t="s">
        <v>14</v>
      </c>
      <c r="J718">
        <f>VLOOKUP(E718,'Room Count'!A$2:B$2616,2,FALSE)</f>
        <v>80</v>
      </c>
    </row>
    <row r="719" spans="1:10" ht="17.100000000000001">
      <c r="A719" s="13" t="s">
        <v>41</v>
      </c>
      <c r="B719" s="13" t="s">
        <v>783</v>
      </c>
      <c r="C719" s="26">
        <v>200529</v>
      </c>
      <c r="D719" s="13" t="s">
        <v>783</v>
      </c>
      <c r="E719" s="13">
        <v>801</v>
      </c>
      <c r="F719" s="13" t="s">
        <v>20</v>
      </c>
      <c r="G719" s="9" t="str">
        <f>VLOOKUP(B719,'Property Name List'!A$2:D$834,3,FALSE)</f>
        <v>Fairfield by Marriott Inn &amp; Suites Knoxville Airport Alcoa</v>
      </c>
      <c r="H719" s="15">
        <v>46133</v>
      </c>
      <c r="I719" t="s">
        <v>14</v>
      </c>
      <c r="J719">
        <f>VLOOKUP(E719,'Room Count'!A$2:B$2616,2,FALSE)</f>
        <v>87</v>
      </c>
    </row>
    <row r="720" spans="1:10" ht="17.100000000000001">
      <c r="A720" s="13" t="s">
        <v>41</v>
      </c>
      <c r="B720" s="13" t="s">
        <v>784</v>
      </c>
      <c r="C720" s="26">
        <v>200527</v>
      </c>
      <c r="D720" s="13" t="s">
        <v>784</v>
      </c>
      <c r="E720" s="13">
        <v>800</v>
      </c>
      <c r="F720" s="13" t="s">
        <v>20</v>
      </c>
      <c r="G720" s="9" t="str">
        <f>VLOOKUP(B720,'Property Name List'!A$2:D$834,3,FALSE)</f>
        <v>Fairfield Inn &amp; Suites Geneva Finger Lakes</v>
      </c>
      <c r="H720" s="15">
        <v>46133</v>
      </c>
      <c r="I720" t="s">
        <v>14</v>
      </c>
      <c r="J720">
        <f>VLOOKUP(E720,'Room Count'!A$2:B$2616,2,FALSE)</f>
        <v>84</v>
      </c>
    </row>
    <row r="721" spans="1:10" ht="17.100000000000001">
      <c r="A721" s="13" t="s">
        <v>41</v>
      </c>
      <c r="B721" s="13" t="s">
        <v>785</v>
      </c>
      <c r="C721" s="26">
        <v>200525</v>
      </c>
      <c r="D721" s="13" t="s">
        <v>785</v>
      </c>
      <c r="E721" s="13">
        <v>799</v>
      </c>
      <c r="F721" s="13" t="s">
        <v>20</v>
      </c>
      <c r="G721" s="9" t="str">
        <f>VLOOKUP(B721,'Property Name List'!A$2:D$834,3,FALSE)</f>
        <v>Courtyard By Marriott Detroit Farmington Hills</v>
      </c>
      <c r="H721" s="15">
        <v>46133</v>
      </c>
      <c r="I721" t="s">
        <v>14</v>
      </c>
      <c r="J721">
        <f>VLOOKUP(E721,'Room Count'!A$2:B$2616,2,FALSE)</f>
        <v>106</v>
      </c>
    </row>
    <row r="722" spans="1:10" ht="17.100000000000001">
      <c r="A722" s="13" t="s">
        <v>41</v>
      </c>
      <c r="B722" s="13" t="s">
        <v>786</v>
      </c>
      <c r="C722" s="26">
        <v>200523</v>
      </c>
      <c r="D722" s="13" t="s">
        <v>786</v>
      </c>
      <c r="E722" s="13">
        <v>798</v>
      </c>
      <c r="F722" s="13" t="s">
        <v>20</v>
      </c>
      <c r="G722" s="9" t="str">
        <f>VLOOKUP(B722,'Property Name List'!A$2:D$834,3,FALSE)</f>
        <v>SpringHill Suites By Marriott Dayton Beavercreek</v>
      </c>
      <c r="H722" s="15">
        <v>46133</v>
      </c>
      <c r="I722" t="s">
        <v>14</v>
      </c>
      <c r="J722">
        <f>VLOOKUP(E722,'Room Count'!A$2:B$2616,2,FALSE)</f>
        <v>118</v>
      </c>
    </row>
    <row r="723" spans="1:10" ht="17.100000000000001">
      <c r="A723" s="13" t="s">
        <v>41</v>
      </c>
      <c r="B723" s="13" t="s">
        <v>787</v>
      </c>
      <c r="C723" s="26">
        <v>200521</v>
      </c>
      <c r="D723" s="13" t="s">
        <v>787</v>
      </c>
      <c r="E723" s="13">
        <v>797</v>
      </c>
      <c r="F723" s="13" t="s">
        <v>20</v>
      </c>
      <c r="G723" s="9" t="str">
        <f>VLOOKUP(B723,'Property Name List'!A$2:D$834,3,FALSE)</f>
        <v>SpringHill Suites By Marriott West Mifflin</v>
      </c>
      <c r="H723" s="15">
        <v>46133</v>
      </c>
      <c r="I723" t="s">
        <v>14</v>
      </c>
      <c r="J723">
        <f>VLOOKUP(E723,'Room Count'!A$2:B$2616,2,FALSE)</f>
        <v>94</v>
      </c>
    </row>
    <row r="724" spans="1:10" ht="17.100000000000001">
      <c r="A724" s="13" t="s">
        <v>41</v>
      </c>
      <c r="B724" s="13" t="s">
        <v>788</v>
      </c>
      <c r="C724" s="26">
        <v>200519</v>
      </c>
      <c r="D724" s="13" t="s">
        <v>788</v>
      </c>
      <c r="E724" s="13">
        <v>796</v>
      </c>
      <c r="F724" s="13" t="s">
        <v>20</v>
      </c>
      <c r="G724" s="9" t="str">
        <f>VLOOKUP(B724,'Property Name List'!A$2:D$834,3,FALSE)</f>
        <v>Fairfield Inn &amp; Suites Watertown Thousand Islands</v>
      </c>
      <c r="H724" s="15">
        <v>46133</v>
      </c>
      <c r="I724" t="s">
        <v>14</v>
      </c>
      <c r="J724">
        <f>VLOOKUP(E724,'Room Count'!A$2:B$2616,2,FALSE)</f>
        <v>103</v>
      </c>
    </row>
    <row r="725" spans="1:10" ht="17.100000000000001">
      <c r="A725" s="13" t="s">
        <v>41</v>
      </c>
      <c r="B725" s="13" t="s">
        <v>789</v>
      </c>
      <c r="C725" s="26">
        <v>200517</v>
      </c>
      <c r="D725" s="13" t="s">
        <v>789</v>
      </c>
      <c r="E725" s="13">
        <v>795</v>
      </c>
      <c r="F725" s="13" t="s">
        <v>20</v>
      </c>
      <c r="G725" s="9" t="str">
        <f>VLOOKUP(B725,'Property Name List'!A$2:D$834,3,FALSE)</f>
        <v>Courtyard By Marriott Blacksburg</v>
      </c>
      <c r="H725" s="15">
        <v>46133</v>
      </c>
      <c r="I725" t="s">
        <v>14</v>
      </c>
      <c r="J725">
        <f>VLOOKUP(E725,'Room Count'!A$2:B$2616,2,FALSE)</f>
        <v>96</v>
      </c>
    </row>
    <row r="726" spans="1:10" ht="17.100000000000001">
      <c r="A726" s="13" t="s">
        <v>41</v>
      </c>
      <c r="B726" s="13" t="s">
        <v>790</v>
      </c>
      <c r="C726" s="26">
        <v>200515</v>
      </c>
      <c r="D726" s="13" t="s">
        <v>790</v>
      </c>
      <c r="E726" s="13">
        <v>794</v>
      </c>
      <c r="F726" s="13" t="s">
        <v>20</v>
      </c>
      <c r="G726" s="9" t="str">
        <f>VLOOKUP(B726,'Property Name List'!A$2:D$834,3,FALSE)</f>
        <v>Fairfield Inn &amp; Suites Clermont</v>
      </c>
      <c r="H726" s="15">
        <v>46133</v>
      </c>
      <c r="I726" t="s">
        <v>14</v>
      </c>
      <c r="J726">
        <f>VLOOKUP(E726,'Room Count'!A$2:B$2616,2,FALSE)</f>
        <v>85</v>
      </c>
    </row>
    <row r="727" spans="1:10" ht="17.100000000000001">
      <c r="A727" s="13" t="s">
        <v>41</v>
      </c>
      <c r="B727" s="13" t="s">
        <v>791</v>
      </c>
      <c r="C727" s="26">
        <v>200513</v>
      </c>
      <c r="D727" s="13" t="s">
        <v>791</v>
      </c>
      <c r="E727" s="13">
        <v>793</v>
      </c>
      <c r="F727" s="13" t="s">
        <v>20</v>
      </c>
      <c r="G727" s="9" t="str">
        <f>VLOOKUP(B727,'Property Name List'!A$2:D$834,3,FALSE)</f>
        <v>SpringHill Suites By Marriott Philadelphia Airport/Ridley Park</v>
      </c>
      <c r="H727" s="15">
        <v>46133</v>
      </c>
      <c r="I727" t="s">
        <v>14</v>
      </c>
      <c r="J727">
        <f>VLOOKUP(E727,'Room Count'!A$2:B$2616,2,FALSE)</f>
        <v>130</v>
      </c>
    </row>
    <row r="728" spans="1:10" ht="17.100000000000001">
      <c r="A728" s="13" t="s">
        <v>41</v>
      </c>
      <c r="B728" s="13" t="s">
        <v>792</v>
      </c>
      <c r="C728" s="26">
        <v>200511</v>
      </c>
      <c r="D728" s="13" t="s">
        <v>792</v>
      </c>
      <c r="E728" s="13">
        <v>792</v>
      </c>
      <c r="F728" s="13" t="s">
        <v>20</v>
      </c>
      <c r="G728" s="9" t="str">
        <f>VLOOKUP(B728,'Property Name List'!A$2:D$834,3,FALSE)</f>
        <v>AC Hotel Naples 5th Avenue</v>
      </c>
      <c r="H728" s="15">
        <v>46133</v>
      </c>
      <c r="I728" t="s">
        <v>14</v>
      </c>
      <c r="J728">
        <f>VLOOKUP(E728,'Room Count'!A$2:B$2616,2,FALSE)</f>
        <v>150</v>
      </c>
    </row>
    <row r="729" spans="1:10" ht="17.100000000000001">
      <c r="A729" s="13" t="s">
        <v>41</v>
      </c>
      <c r="B729" s="13" t="s">
        <v>793</v>
      </c>
      <c r="C729" s="26">
        <v>200509</v>
      </c>
      <c r="D729" s="13" t="s">
        <v>793</v>
      </c>
      <c r="E729" s="13">
        <v>791</v>
      </c>
      <c r="F729" s="13" t="s">
        <v>20</v>
      </c>
      <c r="G729" s="9" t="str">
        <f>VLOOKUP(B729,'Property Name List'!A$2:D$834,3,FALSE)</f>
        <v>Fairfield by Marriott Inn &amp; Suites Brooksville Suncoast Parkway</v>
      </c>
      <c r="H729" s="15">
        <v>46133</v>
      </c>
      <c r="I729" t="s">
        <v>14</v>
      </c>
      <c r="J729">
        <f>VLOOKUP(E729,'Room Count'!A$2:B$2616,2,FALSE)</f>
        <v>72</v>
      </c>
    </row>
    <row r="730" spans="1:10" ht="17.100000000000001">
      <c r="A730" s="13" t="s">
        <v>41</v>
      </c>
      <c r="B730" s="13" t="s">
        <v>794</v>
      </c>
      <c r="C730" s="26">
        <v>200507</v>
      </c>
      <c r="D730" s="13" t="s">
        <v>794</v>
      </c>
      <c r="E730" s="13">
        <v>790</v>
      </c>
      <c r="F730" s="13" t="s">
        <v>20</v>
      </c>
      <c r="G730" s="9" t="str">
        <f>VLOOKUP(B730,'Property Name List'!A$2:D$834,3,FALSE)</f>
        <v>Courtyard By Marriott Warner Robins</v>
      </c>
      <c r="H730" s="15">
        <v>46133</v>
      </c>
      <c r="I730" t="s">
        <v>14</v>
      </c>
      <c r="J730">
        <f>VLOOKUP(E730,'Room Count'!A$2:B$2616,2,FALSE)</f>
        <v>106</v>
      </c>
    </row>
    <row r="731" spans="1:10" ht="17.100000000000001">
      <c r="A731" s="13" t="s">
        <v>41</v>
      </c>
      <c r="B731" s="13" t="s">
        <v>795</v>
      </c>
      <c r="C731" s="26">
        <v>200505</v>
      </c>
      <c r="D731" s="13" t="s">
        <v>795</v>
      </c>
      <c r="E731" s="13">
        <v>789</v>
      </c>
      <c r="F731" s="13" t="s">
        <v>20</v>
      </c>
      <c r="G731" s="9" t="str">
        <f>VLOOKUP(B731,'Property Name List'!A$2:D$834,3,FALSE)</f>
        <v>SpringHill Suites By Marriott Chambersburg</v>
      </c>
      <c r="H731" s="15">
        <v>46133</v>
      </c>
      <c r="I731" t="s">
        <v>14</v>
      </c>
      <c r="J731">
        <f>VLOOKUP(E731,'Room Count'!A$2:B$2616,2,FALSE)</f>
        <v>88</v>
      </c>
    </row>
    <row r="732" spans="1:10" ht="17.100000000000001">
      <c r="A732" s="13" t="s">
        <v>41</v>
      </c>
      <c r="B732" s="13" t="s">
        <v>796</v>
      </c>
      <c r="C732" s="26">
        <v>200503</v>
      </c>
      <c r="D732" s="13" t="s">
        <v>796</v>
      </c>
      <c r="E732" s="13">
        <v>788</v>
      </c>
      <c r="F732" s="13" t="s">
        <v>20</v>
      </c>
      <c r="G732" s="9" t="str">
        <f>VLOOKUP(B732,'Property Name List'!A$2:D$834,3,FALSE)</f>
        <v>SpringHill Suites by Marriott Freeport Brunswick</v>
      </c>
      <c r="H732" s="15">
        <v>46133</v>
      </c>
      <c r="I732" t="s">
        <v>14</v>
      </c>
      <c r="J732">
        <f>VLOOKUP(E732,'Room Count'!A$2:B$2616,2,FALSE)</f>
        <v>77</v>
      </c>
    </row>
    <row r="733" spans="1:10" ht="17.100000000000001">
      <c r="A733" s="13" t="s">
        <v>41</v>
      </c>
      <c r="B733" s="13" t="s">
        <v>797</v>
      </c>
      <c r="C733" s="26">
        <v>200501</v>
      </c>
      <c r="D733" s="13" t="s">
        <v>797</v>
      </c>
      <c r="E733" s="13">
        <v>787</v>
      </c>
      <c r="F733" s="13" t="s">
        <v>20</v>
      </c>
      <c r="G733" s="9" t="str">
        <f>VLOOKUP(B733,'Property Name List'!A$2:D$834,3,FALSE)</f>
        <v>Courtyard By Marriott Charlotte Matthews</v>
      </c>
      <c r="H733" s="15">
        <v>46133</v>
      </c>
      <c r="I733" t="s">
        <v>14</v>
      </c>
      <c r="J733">
        <f>VLOOKUP(E733,'Room Count'!A$2:B$2616,2,FALSE)</f>
        <v>121</v>
      </c>
    </row>
    <row r="734" spans="1:10" ht="17.100000000000001">
      <c r="A734" s="13" t="s">
        <v>41</v>
      </c>
      <c r="B734" s="13" t="s">
        <v>798</v>
      </c>
      <c r="C734" s="26">
        <v>200499</v>
      </c>
      <c r="D734" s="13" t="s">
        <v>798</v>
      </c>
      <c r="E734" s="13">
        <v>786</v>
      </c>
      <c r="F734" s="13" t="s">
        <v>20</v>
      </c>
      <c r="G734" s="9" t="str">
        <f>VLOOKUP(B734,'Property Name List'!A$2:D$834,3,FALSE)</f>
        <v>SpringHill Suites By Marriott Camp Hill</v>
      </c>
      <c r="H734" s="15">
        <v>46133</v>
      </c>
      <c r="I734" t="s">
        <v>14</v>
      </c>
      <c r="J734">
        <f>VLOOKUP(E734,'Room Count'!A$2:B$2616,2,FALSE)</f>
        <v>124</v>
      </c>
    </row>
    <row r="735" spans="1:10" ht="17.100000000000001">
      <c r="A735" s="13" t="s">
        <v>41</v>
      </c>
      <c r="B735" s="13" t="s">
        <v>799</v>
      </c>
      <c r="C735" s="26">
        <v>200497</v>
      </c>
      <c r="D735" s="13" t="s">
        <v>799</v>
      </c>
      <c r="E735" s="13">
        <v>785</v>
      </c>
      <c r="F735" s="13" t="s">
        <v>20</v>
      </c>
      <c r="G735" s="9" t="str">
        <f>VLOOKUP(B735,'Property Name List'!A$2:D$834,3,FALSE)</f>
        <v>Fairfield Inn By Marriott Charlotte Northlake</v>
      </c>
      <c r="H735" s="15">
        <v>46133</v>
      </c>
      <c r="I735" t="s">
        <v>14</v>
      </c>
      <c r="J735">
        <f>VLOOKUP(E735,'Room Count'!A$2:B$2616,2,FALSE)</f>
        <v>93</v>
      </c>
    </row>
    <row r="736" spans="1:10" ht="17.100000000000001">
      <c r="A736" s="13" t="s">
        <v>41</v>
      </c>
      <c r="B736" s="13" t="s">
        <v>800</v>
      </c>
      <c r="C736" s="26">
        <v>200495</v>
      </c>
      <c r="D736" s="13" t="s">
        <v>800</v>
      </c>
      <c r="E736" s="13">
        <v>784</v>
      </c>
      <c r="F736" s="13" t="s">
        <v>20</v>
      </c>
      <c r="G736" s="9" t="str">
        <f>VLOOKUP(B736,'Property Name List'!A$2:D$834,3,FALSE)</f>
        <v>Fairfield Inn &amp; Suites Richmond Airport</v>
      </c>
      <c r="H736" s="15">
        <v>46133</v>
      </c>
      <c r="I736" t="s">
        <v>14</v>
      </c>
      <c r="J736">
        <f>VLOOKUP(E736,'Room Count'!A$2:B$2616,2,FALSE)</f>
        <v>94</v>
      </c>
    </row>
    <row r="737" spans="1:10" ht="17.100000000000001">
      <c r="A737" s="13" t="s">
        <v>41</v>
      </c>
      <c r="B737" s="13" t="s">
        <v>801</v>
      </c>
      <c r="C737" s="26">
        <v>200493</v>
      </c>
      <c r="D737" s="13" t="s">
        <v>801</v>
      </c>
      <c r="E737" s="13">
        <v>783</v>
      </c>
      <c r="F737" s="13" t="s">
        <v>20</v>
      </c>
      <c r="G737" s="9" t="str">
        <f>VLOOKUP(B737,'Property Name List'!A$2:D$834,3,FALSE)</f>
        <v>Fairfield Inn &amp; Suites Anderson Clemson</v>
      </c>
      <c r="H737" s="15">
        <v>46133</v>
      </c>
      <c r="I737" t="s">
        <v>14</v>
      </c>
      <c r="J737">
        <f>VLOOKUP(E737,'Room Count'!A$2:B$2616,2,FALSE)</f>
        <v>78</v>
      </c>
    </row>
    <row r="738" spans="1:10" ht="17.100000000000001">
      <c r="A738" s="13" t="s">
        <v>41</v>
      </c>
      <c r="B738" s="13" t="s">
        <v>802</v>
      </c>
      <c r="C738" s="26">
        <v>200491</v>
      </c>
      <c r="D738" s="13" t="s">
        <v>802</v>
      </c>
      <c r="E738" s="13">
        <v>782</v>
      </c>
      <c r="F738" s="13" t="s">
        <v>20</v>
      </c>
      <c r="G738" s="9" t="str">
        <f>VLOOKUP(B738,'Property Name List'!A$2:D$834,3,FALSE)</f>
        <v>SpringHill Suites By Marriott Tampa Suncoast Parkway</v>
      </c>
      <c r="H738" s="15">
        <v>46133</v>
      </c>
      <c r="I738" t="s">
        <v>14</v>
      </c>
      <c r="J738">
        <f>VLOOKUP(E738,'Room Count'!A$2:B$2616,2,FALSE)</f>
        <v>107</v>
      </c>
    </row>
    <row r="739" spans="1:10" ht="17.100000000000001">
      <c r="A739" s="13" t="s">
        <v>41</v>
      </c>
      <c r="B739" s="13" t="s">
        <v>803</v>
      </c>
      <c r="C739" s="26">
        <v>200489</v>
      </c>
      <c r="D739" s="13" t="s">
        <v>803</v>
      </c>
      <c r="E739" s="13">
        <v>781</v>
      </c>
      <c r="F739" s="13" t="s">
        <v>20</v>
      </c>
      <c r="G739" s="9" t="str">
        <f>VLOOKUP(B739,'Property Name List'!A$2:D$834,3,FALSE)</f>
        <v>Fairfield Inn &amp; Suites Abingdon</v>
      </c>
      <c r="H739" s="15">
        <v>46133</v>
      </c>
      <c r="I739" t="s">
        <v>14</v>
      </c>
      <c r="J739">
        <f>VLOOKUP(E739,'Room Count'!A$2:B$2616,2,FALSE)</f>
        <v>80</v>
      </c>
    </row>
    <row r="740" spans="1:10" ht="17.100000000000001">
      <c r="A740" s="13" t="s">
        <v>41</v>
      </c>
      <c r="B740" s="13" t="s">
        <v>804</v>
      </c>
      <c r="C740" s="26">
        <v>200487</v>
      </c>
      <c r="D740" s="13" t="s">
        <v>804</v>
      </c>
      <c r="E740" s="13">
        <v>780</v>
      </c>
      <c r="F740" s="13" t="s">
        <v>20</v>
      </c>
      <c r="G740" s="9" t="str">
        <f>VLOOKUP(B740,'Property Name List'!A$2:D$834,3,FALSE)</f>
        <v>SpringHill Suites by Marriott Roanoke North</v>
      </c>
      <c r="H740" s="15">
        <v>46133</v>
      </c>
      <c r="I740" t="s">
        <v>14</v>
      </c>
      <c r="J740">
        <f>VLOOKUP(E740,'Room Count'!A$2:B$2616,2,FALSE)</f>
        <v>86</v>
      </c>
    </row>
    <row r="741" spans="1:10" ht="17.100000000000001">
      <c r="A741" s="13" t="s">
        <v>41</v>
      </c>
      <c r="B741" s="13" t="s">
        <v>805</v>
      </c>
      <c r="C741" s="26">
        <v>200485</v>
      </c>
      <c r="D741" s="13" t="s">
        <v>805</v>
      </c>
      <c r="E741" s="13">
        <v>779</v>
      </c>
      <c r="F741" s="13" t="s">
        <v>20</v>
      </c>
      <c r="G741" s="9" t="str">
        <f>VLOOKUP(B741,'Property Name List'!A$2:D$834,3,FALSE)</f>
        <v>Courtyard By Marriott Richmond Chester</v>
      </c>
      <c r="H741" s="15">
        <v>46133</v>
      </c>
      <c r="I741" t="s">
        <v>14</v>
      </c>
      <c r="J741">
        <f>VLOOKUP(E741,'Room Count'!A$2:B$2616,2,FALSE)</f>
        <v>135</v>
      </c>
    </row>
    <row r="742" spans="1:10" ht="17.100000000000001">
      <c r="A742" s="13" t="s">
        <v>41</v>
      </c>
      <c r="B742" s="13" t="s">
        <v>806</v>
      </c>
      <c r="C742" s="26">
        <v>200483</v>
      </c>
      <c r="D742" s="13" t="s">
        <v>806</v>
      </c>
      <c r="E742" s="13">
        <v>778</v>
      </c>
      <c r="F742" s="13" t="s">
        <v>20</v>
      </c>
      <c r="G742" s="9" t="str">
        <f>VLOOKUP(B742,'Property Name List'!A$2:D$834,3,FALSE)</f>
        <v>Fairfield Inn &amp; Suites Santee</v>
      </c>
      <c r="H742" s="15">
        <v>46133</v>
      </c>
      <c r="I742" t="s">
        <v>14</v>
      </c>
      <c r="J742">
        <f>VLOOKUP(E742,'Room Count'!A$2:B$2616,2,FALSE)</f>
        <v>91</v>
      </c>
    </row>
    <row r="743" spans="1:10" ht="17.100000000000001">
      <c r="A743" s="13" t="s">
        <v>41</v>
      </c>
      <c r="B743" s="13" t="s">
        <v>807</v>
      </c>
      <c r="C743" s="26">
        <v>200481</v>
      </c>
      <c r="D743" s="13" t="s">
        <v>807</v>
      </c>
      <c r="E743" s="13">
        <v>777</v>
      </c>
      <c r="F743" s="13" t="s">
        <v>20</v>
      </c>
      <c r="G743" s="9" t="str">
        <f>VLOOKUP(B743,'Property Name List'!A$2:D$834,3,FALSE)</f>
        <v>Fairfield Inn &amp; Suites Calhoun</v>
      </c>
      <c r="H743" s="15">
        <v>46133</v>
      </c>
      <c r="I743" t="s">
        <v>14</v>
      </c>
      <c r="J743">
        <f>VLOOKUP(E743,'Room Count'!A$2:B$2616,2,FALSE)</f>
        <v>73</v>
      </c>
    </row>
    <row r="744" spans="1:10" ht="17.100000000000001">
      <c r="A744" s="13" t="s">
        <v>41</v>
      </c>
      <c r="B744" s="13" t="s">
        <v>808</v>
      </c>
      <c r="C744" s="26">
        <v>200479</v>
      </c>
      <c r="D744" s="13" t="s">
        <v>808</v>
      </c>
      <c r="E744" s="13">
        <v>776</v>
      </c>
      <c r="F744" s="13" t="s">
        <v>20</v>
      </c>
      <c r="G744" s="9" t="str">
        <f>VLOOKUP(B744,'Property Name List'!A$2:D$834,3,FALSE)</f>
        <v>Fairfield Inn By Marriott Toronto Oakville</v>
      </c>
      <c r="H744" s="15">
        <v>46133</v>
      </c>
      <c r="I744" t="s">
        <v>14</v>
      </c>
      <c r="J744">
        <f>VLOOKUP(E744,'Room Count'!A$2:B$2616,2,FALSE)</f>
        <v>65</v>
      </c>
    </row>
    <row r="745" spans="1:10" ht="17.100000000000001">
      <c r="A745" s="13" t="s">
        <v>41</v>
      </c>
      <c r="B745" s="13" t="s">
        <v>809</v>
      </c>
      <c r="C745" s="26">
        <v>200477</v>
      </c>
      <c r="D745" s="13" t="s">
        <v>809</v>
      </c>
      <c r="E745" s="13">
        <v>775</v>
      </c>
      <c r="F745" s="13" t="s">
        <v>20</v>
      </c>
      <c r="G745" s="9" t="str">
        <f>VLOOKUP(B745,'Property Name List'!A$2:D$834,3,FALSE)</f>
        <v>Courtyard By Marriott Tysons McLean</v>
      </c>
      <c r="H745" s="15">
        <v>46133</v>
      </c>
      <c r="I745" t="s">
        <v>14</v>
      </c>
      <c r="J745">
        <f>VLOOKUP(E745,'Room Count'!A$2:B$2616,2,FALSE)</f>
        <v>229</v>
      </c>
    </row>
    <row r="746" spans="1:10" ht="17.100000000000001">
      <c r="A746" s="13" t="s">
        <v>41</v>
      </c>
      <c r="B746" s="13" t="s">
        <v>810</v>
      </c>
      <c r="C746" s="26">
        <v>200475</v>
      </c>
      <c r="D746" s="13" t="s">
        <v>810</v>
      </c>
      <c r="E746" s="13">
        <v>774</v>
      </c>
      <c r="F746" s="13" t="s">
        <v>20</v>
      </c>
      <c r="G746" s="9" t="str">
        <f>VLOOKUP(B746,'Property Name List'!A$2:D$834,3,FALSE)</f>
        <v>Courtyard By Marriott Niagara Falls, USA</v>
      </c>
      <c r="H746" s="15">
        <v>46133</v>
      </c>
      <c r="I746" t="s">
        <v>14</v>
      </c>
      <c r="J746">
        <f>VLOOKUP(E746,'Room Count'!A$2:B$2616,2,FALSE)</f>
        <v>82</v>
      </c>
    </row>
    <row r="747" spans="1:10" ht="17.100000000000001">
      <c r="A747" s="13" t="s">
        <v>41</v>
      </c>
      <c r="B747" s="13" t="s">
        <v>811</v>
      </c>
      <c r="C747" s="26" t="s">
        <v>812</v>
      </c>
      <c r="D747" s="13" t="s">
        <v>811</v>
      </c>
      <c r="E747" s="13">
        <v>773</v>
      </c>
      <c r="F747" s="13" t="s">
        <v>20</v>
      </c>
      <c r="G747" s="9" t="str">
        <f>VLOOKUP(B747,'Property Name List'!A$2:D$834,3,FALSE)</f>
        <v>Springhill Suites by Marriott Easton PA</v>
      </c>
      <c r="H747" s="15">
        <v>46133</v>
      </c>
      <c r="I747" t="s">
        <v>14</v>
      </c>
      <c r="J747">
        <f>VLOOKUP(E747,'Room Count'!A$2:B$2616,2,FALSE)</f>
        <v>113</v>
      </c>
    </row>
    <row r="748" spans="1:10" ht="17.100000000000001">
      <c r="A748" s="13" t="s">
        <v>41</v>
      </c>
      <c r="B748" s="13" t="s">
        <v>813</v>
      </c>
      <c r="C748" s="26">
        <v>200471</v>
      </c>
      <c r="D748" s="13" t="s">
        <v>813</v>
      </c>
      <c r="E748" s="13">
        <v>772</v>
      </c>
      <c r="F748" s="13" t="s">
        <v>20</v>
      </c>
      <c r="G748" s="9" t="str">
        <f>VLOOKUP(B748,'Property Name List'!A$2:D$834,3,FALSE)</f>
        <v>Courtyard By Marriott Columbia Northeast/Fort Jackson Area</v>
      </c>
      <c r="H748" s="15">
        <v>46133</v>
      </c>
      <c r="I748" t="s">
        <v>14</v>
      </c>
      <c r="J748">
        <f>VLOOKUP(E748,'Room Count'!A$2:B$2616,2,FALSE)</f>
        <v>90</v>
      </c>
    </row>
    <row r="749" spans="1:10" ht="17.100000000000001">
      <c r="A749" s="13" t="s">
        <v>41</v>
      </c>
      <c r="B749" s="13" t="s">
        <v>814</v>
      </c>
      <c r="C749" s="26">
        <v>200469</v>
      </c>
      <c r="D749" s="13" t="s">
        <v>814</v>
      </c>
      <c r="E749" s="13">
        <v>771</v>
      </c>
      <c r="F749" s="13" t="s">
        <v>20</v>
      </c>
      <c r="G749" s="9" t="str">
        <f>VLOOKUP(B749,'Property Name List'!A$2:D$834,3,FALSE)</f>
        <v>Fairfield Inn &amp; Suites High Point Archdale</v>
      </c>
      <c r="H749" s="15">
        <v>46133</v>
      </c>
      <c r="I749" t="s">
        <v>14</v>
      </c>
      <c r="J749">
        <f>VLOOKUP(E749,'Room Count'!A$2:B$2616,2,FALSE)</f>
        <v>74</v>
      </c>
    </row>
    <row r="750" spans="1:10" ht="17.100000000000001">
      <c r="A750" s="13" t="s">
        <v>41</v>
      </c>
      <c r="B750" s="13" t="s">
        <v>815</v>
      </c>
      <c r="C750" s="26">
        <v>200467</v>
      </c>
      <c r="D750" s="13" t="s">
        <v>815</v>
      </c>
      <c r="E750" s="13">
        <v>770</v>
      </c>
      <c r="F750" s="13" t="s">
        <v>20</v>
      </c>
      <c r="G750" s="9" t="str">
        <f>VLOOKUP(B750,'Property Name List'!A$2:D$834,3,FALSE)</f>
        <v>Fairfield Inn &amp; Suites Orlando East/UCF Area</v>
      </c>
      <c r="H750" s="15">
        <v>46133</v>
      </c>
      <c r="I750" t="s">
        <v>14</v>
      </c>
      <c r="J750">
        <f>VLOOKUP(E750,'Room Count'!A$2:B$2616,2,FALSE)</f>
        <v>112</v>
      </c>
    </row>
    <row r="751" spans="1:10" ht="17.100000000000001">
      <c r="A751" s="13" t="s">
        <v>41</v>
      </c>
      <c r="B751" s="13" t="s">
        <v>816</v>
      </c>
      <c r="C751" s="26">
        <v>200465</v>
      </c>
      <c r="D751" s="13" t="s">
        <v>816</v>
      </c>
      <c r="E751" s="13">
        <v>769</v>
      </c>
      <c r="F751" s="13" t="s">
        <v>20</v>
      </c>
      <c r="G751" s="9" t="str">
        <f>VLOOKUP(B751,'Property Name List'!A$2:D$834,3,FALSE)</f>
        <v>Fairfield Inn &amp; Suites Athens</v>
      </c>
      <c r="H751" s="15">
        <v>46133</v>
      </c>
      <c r="I751" t="s">
        <v>14</v>
      </c>
      <c r="J751">
        <f>VLOOKUP(E751,'Room Count'!A$2:B$2616,2,FALSE)</f>
        <v>87</v>
      </c>
    </row>
    <row r="752" spans="1:10" ht="33.950000000000003">
      <c r="A752" s="13" t="s">
        <v>41</v>
      </c>
      <c r="B752" s="13" t="s">
        <v>817</v>
      </c>
      <c r="C752" s="26">
        <v>200463</v>
      </c>
      <c r="D752" s="13" t="s">
        <v>817</v>
      </c>
      <c r="E752" s="13">
        <v>768</v>
      </c>
      <c r="F752" s="13" t="s">
        <v>20</v>
      </c>
      <c r="G752" s="9" t="str">
        <f>VLOOKUP(B752,'Property Name List'!A$2:D$834,3,FALSE)</f>
        <v>SpringHill Suites By Marriott New York Midtown Manhattan/Park Avenue</v>
      </c>
      <c r="H752" s="15">
        <v>46133</v>
      </c>
      <c r="I752" t="s">
        <v>14</v>
      </c>
      <c r="J752">
        <f>VLOOKUP(E752,'Room Count'!A$2:B$2616,2,FALSE)</f>
        <v>129</v>
      </c>
    </row>
    <row r="753" spans="1:10" ht="17.100000000000001">
      <c r="A753" s="13" t="s">
        <v>41</v>
      </c>
      <c r="B753" s="13" t="s">
        <v>818</v>
      </c>
      <c r="C753" s="26">
        <v>200461</v>
      </c>
      <c r="D753" s="13" t="s">
        <v>818</v>
      </c>
      <c r="E753" s="13">
        <v>767</v>
      </c>
      <c r="F753" s="13" t="s">
        <v>20</v>
      </c>
      <c r="G753" s="9" t="str">
        <f>VLOOKUP(B753,'Property Name List'!A$2:D$834,3,FALSE)</f>
        <v>Fairfield Inn &amp; Suites Toronto Brampton</v>
      </c>
      <c r="H753" s="15">
        <v>46133</v>
      </c>
      <c r="I753" t="s">
        <v>14</v>
      </c>
      <c r="J753">
        <f>VLOOKUP(E753,'Room Count'!A$2:B$2616,2,FALSE)</f>
        <v>107</v>
      </c>
    </row>
    <row r="754" spans="1:10" ht="17.100000000000001">
      <c r="A754" s="13" t="s">
        <v>41</v>
      </c>
      <c r="B754" s="13" t="s">
        <v>819</v>
      </c>
      <c r="C754" s="26">
        <v>200459</v>
      </c>
      <c r="D754" s="13" t="s">
        <v>819</v>
      </c>
      <c r="E754" s="13">
        <v>766</v>
      </c>
      <c r="F754" s="13" t="s">
        <v>20</v>
      </c>
      <c r="G754" s="9" t="str">
        <f>VLOOKUP(B754,'Property Name List'!A$2:D$834,3,FALSE)</f>
        <v>Fairfield Inn &amp; Suites Princeton</v>
      </c>
      <c r="H754" s="15">
        <v>46133</v>
      </c>
      <c r="I754" t="s">
        <v>14</v>
      </c>
      <c r="J754">
        <f>VLOOKUP(E754,'Room Count'!A$2:B$2616,2,FALSE)</f>
        <v>83</v>
      </c>
    </row>
    <row r="755" spans="1:10" ht="17.100000000000001">
      <c r="A755" s="13" t="s">
        <v>41</v>
      </c>
      <c r="B755" s="13" t="s">
        <v>820</v>
      </c>
      <c r="C755" s="26">
        <v>200457</v>
      </c>
      <c r="D755" s="13" t="s">
        <v>820</v>
      </c>
      <c r="E755" s="13">
        <v>765</v>
      </c>
      <c r="F755" s="13" t="s">
        <v>20</v>
      </c>
      <c r="G755" s="9" t="str">
        <f>VLOOKUP(B755,'Property Name List'!A$2:D$834,3,FALSE)</f>
        <v>Fairfield by Marriott Inn &amp; Suites Hartford North/Enfield</v>
      </c>
      <c r="H755" s="15">
        <v>46133</v>
      </c>
      <c r="I755" t="s">
        <v>14</v>
      </c>
      <c r="J755">
        <f>VLOOKUP(E755,'Room Count'!A$2:B$2616,2,FALSE)</f>
        <v>172</v>
      </c>
    </row>
    <row r="756" spans="1:10" ht="17.100000000000001">
      <c r="A756" s="13" t="s">
        <v>41</v>
      </c>
      <c r="B756" s="13" t="s">
        <v>821</v>
      </c>
      <c r="C756" s="26">
        <v>200455</v>
      </c>
      <c r="D756" s="13" t="s">
        <v>821</v>
      </c>
      <c r="E756" s="13">
        <v>764</v>
      </c>
      <c r="F756" s="13" t="s">
        <v>20</v>
      </c>
      <c r="G756" s="9" t="str">
        <f>VLOOKUP(B756,'Property Name List'!A$2:D$834,3,FALSE)</f>
        <v>SpringHill Suites By Marriott Harrisburg Hershey</v>
      </c>
      <c r="H756" s="15">
        <v>46133</v>
      </c>
      <c r="I756" t="s">
        <v>14</v>
      </c>
      <c r="J756">
        <f>VLOOKUP(E756,'Room Count'!A$2:B$2616,2,FALSE)</f>
        <v>118</v>
      </c>
    </row>
    <row r="757" spans="1:10" ht="17.100000000000001">
      <c r="A757" s="13" t="s">
        <v>41</v>
      </c>
      <c r="B757" s="13" t="s">
        <v>822</v>
      </c>
      <c r="C757" s="26">
        <v>200453</v>
      </c>
      <c r="D757" s="13" t="s">
        <v>822</v>
      </c>
      <c r="E757" s="13">
        <v>763</v>
      </c>
      <c r="F757" s="13" t="s">
        <v>20</v>
      </c>
      <c r="G757" s="9" t="str">
        <f>VLOOKUP(B757,'Property Name List'!A$2:D$834,3,FALSE)</f>
        <v>SpringHill Suites By Marriott Charleston Airport &amp; Convention Center</v>
      </c>
      <c r="H757" s="15">
        <v>46133</v>
      </c>
      <c r="I757" t="s">
        <v>14</v>
      </c>
      <c r="J757">
        <f>VLOOKUP(E757,'Room Count'!A$2:B$2616,2,FALSE)</f>
        <v>115</v>
      </c>
    </row>
    <row r="758" spans="1:10" ht="17.100000000000001">
      <c r="A758" s="13" t="s">
        <v>41</v>
      </c>
      <c r="B758" s="13" t="s">
        <v>823</v>
      </c>
      <c r="C758" s="26">
        <v>200451</v>
      </c>
      <c r="D758" s="13" t="s">
        <v>823</v>
      </c>
      <c r="E758" s="13">
        <v>762</v>
      </c>
      <c r="F758" s="13" t="s">
        <v>20</v>
      </c>
      <c r="G758" s="9" t="str">
        <f>VLOOKUP(B758,'Property Name List'!A$2:D$834,3,FALSE)</f>
        <v>SpringHill Suites By Marriott Devens Common Center</v>
      </c>
      <c r="H758" s="15">
        <v>46133</v>
      </c>
      <c r="I758" t="s">
        <v>14</v>
      </c>
      <c r="J758">
        <f>VLOOKUP(E758,'Room Count'!A$2:B$2616,2,FALSE)</f>
        <v>120</v>
      </c>
    </row>
    <row r="759" spans="1:10" ht="17.100000000000001">
      <c r="A759" s="13" t="s">
        <v>41</v>
      </c>
      <c r="B759" s="13" t="s">
        <v>824</v>
      </c>
      <c r="C759" s="26">
        <v>200449</v>
      </c>
      <c r="D759" s="13" t="s">
        <v>824</v>
      </c>
      <c r="E759" s="13">
        <v>761</v>
      </c>
      <c r="F759" s="13" t="s">
        <v>20</v>
      </c>
      <c r="G759" s="9" t="str">
        <f>VLOOKUP(B759,'Property Name List'!A$2:D$834,3,FALSE)</f>
        <v>Fairfield Inn &amp; Suites Winston-Salem Downtown</v>
      </c>
      <c r="H759" s="15">
        <v>46133</v>
      </c>
      <c r="I759" t="s">
        <v>14</v>
      </c>
      <c r="J759">
        <f>VLOOKUP(E759,'Room Count'!A$2:B$2616,2,FALSE)</f>
        <v>110</v>
      </c>
    </row>
    <row r="760" spans="1:10" ht="17.100000000000001">
      <c r="A760" s="13" t="s">
        <v>41</v>
      </c>
      <c r="B760" s="13" t="s">
        <v>825</v>
      </c>
      <c r="C760" s="26">
        <v>200445</v>
      </c>
      <c r="D760" s="13" t="s">
        <v>825</v>
      </c>
      <c r="E760" s="13">
        <v>759</v>
      </c>
      <c r="F760" s="13" t="s">
        <v>20</v>
      </c>
      <c r="G760" s="9" t="str">
        <f>VLOOKUP(B760,'Property Name List'!A$2:D$834,3,FALSE)</f>
        <v>Fairfield Inn &amp; Suites Columbus, IN</v>
      </c>
      <c r="H760" s="15">
        <v>46133</v>
      </c>
      <c r="I760" t="s">
        <v>14</v>
      </c>
      <c r="J760">
        <f>VLOOKUP(E760,'Room Count'!A$2:B$2616,2,FALSE)</f>
        <v>96</v>
      </c>
    </row>
    <row r="761" spans="1:10" ht="17.100000000000001">
      <c r="A761" s="13" t="s">
        <v>41</v>
      </c>
      <c r="B761" s="13" t="s">
        <v>826</v>
      </c>
      <c r="C761" s="26">
        <v>200443</v>
      </c>
      <c r="D761" s="13" t="s">
        <v>826</v>
      </c>
      <c r="E761" s="13">
        <v>758</v>
      </c>
      <c r="F761" s="13" t="s">
        <v>20</v>
      </c>
      <c r="G761" s="9" t="str">
        <f>VLOOKUP(B761,'Property Name List'!A$2:D$834,3,FALSE)</f>
        <v>SpringHill Suites By Marriott Grand Rapids West</v>
      </c>
      <c r="H761" s="15">
        <v>46133</v>
      </c>
      <c r="I761" t="s">
        <v>14</v>
      </c>
      <c r="J761">
        <f>VLOOKUP(E761,'Room Count'!A$2:B$2616,2,FALSE)</f>
        <v>100</v>
      </c>
    </row>
    <row r="762" spans="1:10" ht="17.100000000000001">
      <c r="A762" s="13" t="s">
        <v>41</v>
      </c>
      <c r="B762" s="13" t="s">
        <v>827</v>
      </c>
      <c r="C762" s="26">
        <v>200441</v>
      </c>
      <c r="D762" s="13" t="s">
        <v>827</v>
      </c>
      <c r="E762" s="13">
        <v>757</v>
      </c>
      <c r="F762" s="13" t="s">
        <v>20</v>
      </c>
      <c r="G762" s="9" t="str">
        <f>VLOOKUP(B762,'Property Name List'!A$2:D$834,3,FALSE)</f>
        <v>SpringHill Suites By Marriott Somerset Franklin Township</v>
      </c>
      <c r="H762" s="15">
        <v>46133</v>
      </c>
      <c r="I762" t="s">
        <v>14</v>
      </c>
      <c r="J762">
        <f>VLOOKUP(E762,'Room Count'!A$2:B$2616,2,FALSE)</f>
        <v>100</v>
      </c>
    </row>
    <row r="763" spans="1:10" ht="17.100000000000001">
      <c r="A763" s="13" t="s">
        <v>41</v>
      </c>
      <c r="B763" s="13" t="s">
        <v>828</v>
      </c>
      <c r="C763" s="26">
        <v>200439</v>
      </c>
      <c r="D763" s="13" t="s">
        <v>828</v>
      </c>
      <c r="E763" s="13">
        <v>756</v>
      </c>
      <c r="F763" s="13" t="s">
        <v>20</v>
      </c>
      <c r="G763" s="9" t="str">
        <f>VLOOKUP(B763,'Property Name List'!A$2:D$834,3,FALSE)</f>
        <v>Fairfield by Marriott Inn &amp; Suites Providence Airport Warwick</v>
      </c>
      <c r="H763" s="15">
        <v>46133</v>
      </c>
      <c r="I763" t="s">
        <v>14</v>
      </c>
      <c r="J763">
        <f>VLOOKUP(E763,'Room Count'!A$2:B$2616,2,FALSE)</f>
        <v>202</v>
      </c>
    </row>
    <row r="764" spans="1:10" ht="17.100000000000001">
      <c r="A764" s="13" t="s">
        <v>41</v>
      </c>
      <c r="B764" s="13" t="s">
        <v>829</v>
      </c>
      <c r="C764" s="26">
        <v>200437</v>
      </c>
      <c r="D764" s="13" t="s">
        <v>829</v>
      </c>
      <c r="E764" s="13">
        <v>755</v>
      </c>
      <c r="F764" s="13" t="s">
        <v>20</v>
      </c>
      <c r="G764" s="9" t="str">
        <f>VLOOKUP(B764,'Property Name List'!A$2:D$834,3,FALSE)</f>
        <v>Fairfield Inn &amp; Suites Monaca</v>
      </c>
      <c r="H764" s="15">
        <v>46133</v>
      </c>
      <c r="I764" t="s">
        <v>14</v>
      </c>
      <c r="J764">
        <f>VLOOKUP(E764,'Room Count'!A$2:B$2616,2,FALSE)</f>
        <v>82</v>
      </c>
    </row>
    <row r="765" spans="1:10" ht="17.100000000000001">
      <c r="A765" s="13" t="s">
        <v>41</v>
      </c>
      <c r="B765" s="13" t="s">
        <v>830</v>
      </c>
      <c r="C765" s="26">
        <v>200435</v>
      </c>
      <c r="D765" s="13" t="s">
        <v>830</v>
      </c>
      <c r="E765" s="13">
        <v>754</v>
      </c>
      <c r="F765" s="13" t="s">
        <v>20</v>
      </c>
      <c r="G765" s="9" t="str">
        <f>VLOOKUP(B765,'Property Name List'!A$2:D$834,3,FALSE)</f>
        <v>Fairfield Inn By Marriott Medford Long Island</v>
      </c>
      <c r="H765" s="15">
        <v>46133</v>
      </c>
      <c r="I765" t="s">
        <v>14</v>
      </c>
      <c r="J765">
        <f>VLOOKUP(E765,'Room Count'!A$2:B$2616,2,FALSE)</f>
        <v>72</v>
      </c>
    </row>
    <row r="766" spans="1:10" ht="17.100000000000001">
      <c r="A766" s="13" t="s">
        <v>41</v>
      </c>
      <c r="B766" s="13" t="s">
        <v>831</v>
      </c>
      <c r="C766" s="26">
        <v>200433</v>
      </c>
      <c r="D766" s="13" t="s">
        <v>831</v>
      </c>
      <c r="E766" s="13">
        <v>753</v>
      </c>
      <c r="F766" s="13" t="s">
        <v>20</v>
      </c>
      <c r="G766" s="9" t="str">
        <f>VLOOKUP(B766,'Property Name List'!A$2:D$834,3,FALSE)</f>
        <v>Courtyard By Marriott Indianapolis Fishers</v>
      </c>
      <c r="H766" s="15">
        <v>46133</v>
      </c>
      <c r="I766" t="s">
        <v>14</v>
      </c>
      <c r="J766">
        <f>VLOOKUP(E766,'Room Count'!A$2:B$2616,2,FALSE)</f>
        <v>145</v>
      </c>
    </row>
    <row r="767" spans="1:10" ht="17.100000000000001">
      <c r="A767" s="13" t="s">
        <v>41</v>
      </c>
      <c r="B767" s="13" t="s">
        <v>832</v>
      </c>
      <c r="C767" s="26">
        <v>200431</v>
      </c>
      <c r="D767" s="13" t="s">
        <v>832</v>
      </c>
      <c r="E767" s="13">
        <v>752</v>
      </c>
      <c r="F767" s="13" t="s">
        <v>20</v>
      </c>
      <c r="G767" s="9" t="str">
        <f>VLOOKUP(B767,'Property Name List'!A$2:D$834,3,FALSE)</f>
        <v>Fairfield by Marriott Inn &amp; Suites Southport</v>
      </c>
      <c r="H767" s="15">
        <v>46133</v>
      </c>
      <c r="I767" t="s">
        <v>14</v>
      </c>
      <c r="J767">
        <f>VLOOKUP(E767,'Room Count'!A$2:B$2616,2,FALSE)</f>
        <v>80</v>
      </c>
    </row>
    <row r="768" spans="1:10" ht="17.100000000000001">
      <c r="A768" s="13" t="s">
        <v>41</v>
      </c>
      <c r="B768" s="13" t="s">
        <v>833</v>
      </c>
      <c r="C768" s="26">
        <v>200429</v>
      </c>
      <c r="D768" s="13" t="s">
        <v>833</v>
      </c>
      <c r="E768" s="13">
        <v>751</v>
      </c>
      <c r="F768" s="13" t="s">
        <v>20</v>
      </c>
      <c r="G768" s="9" t="str">
        <f>VLOOKUP(B768,'Property Name List'!A$2:D$834,3,FALSE)</f>
        <v>Fairfield by Marriott Inn &amp; Suites Bethlehem PA</v>
      </c>
      <c r="H768" s="15">
        <v>46133</v>
      </c>
      <c r="I768" t="s">
        <v>14</v>
      </c>
      <c r="J768">
        <f>VLOOKUP(E768,'Room Count'!A$2:B$2616,2,FALSE)</f>
        <v>110</v>
      </c>
    </row>
    <row r="769" spans="1:10" ht="17.100000000000001">
      <c r="A769" s="13" t="s">
        <v>41</v>
      </c>
      <c r="B769" s="13" t="s">
        <v>834</v>
      </c>
      <c r="C769" s="26">
        <v>200427</v>
      </c>
      <c r="D769" s="13" t="s">
        <v>834</v>
      </c>
      <c r="E769" s="13">
        <v>750</v>
      </c>
      <c r="F769" s="13" t="s">
        <v>20</v>
      </c>
      <c r="G769" s="9" t="str">
        <f>VLOOKUP(B769,'Property Name List'!A$2:D$834,3,FALSE)</f>
        <v>Fairfield Inn By Marriott Corning Riverside</v>
      </c>
      <c r="H769" s="15">
        <v>46133</v>
      </c>
      <c r="I769" t="s">
        <v>14</v>
      </c>
      <c r="J769">
        <f>VLOOKUP(E769,'Room Count'!A$2:B$2616,2,FALSE)</f>
        <v>63</v>
      </c>
    </row>
    <row r="770" spans="1:10" ht="17.100000000000001">
      <c r="A770" s="13" t="s">
        <v>41</v>
      </c>
      <c r="B770" s="13" t="s">
        <v>835</v>
      </c>
      <c r="C770" s="26">
        <v>200425</v>
      </c>
      <c r="D770" s="13" t="s">
        <v>835</v>
      </c>
      <c r="E770" s="13">
        <v>749</v>
      </c>
      <c r="F770" s="13" t="s">
        <v>20</v>
      </c>
      <c r="G770" s="9" t="str">
        <f>VLOOKUP(B770,'Property Name List'!A$2:D$834,3,FALSE)</f>
        <v>Courtyard By Marriott Binghamton</v>
      </c>
      <c r="H770" s="15">
        <v>46133</v>
      </c>
      <c r="I770" t="s">
        <v>14</v>
      </c>
      <c r="J770">
        <f>VLOOKUP(E770,'Room Count'!A$2:B$2616,2,FALSE)</f>
        <v>78</v>
      </c>
    </row>
    <row r="771" spans="1:10" ht="17.100000000000001">
      <c r="A771" s="13" t="s">
        <v>41</v>
      </c>
      <c r="B771" s="13" t="s">
        <v>836</v>
      </c>
      <c r="C771" s="26">
        <v>200423</v>
      </c>
      <c r="D771" s="13" t="s">
        <v>836</v>
      </c>
      <c r="E771" s="13">
        <v>748</v>
      </c>
      <c r="F771" s="13" t="s">
        <v>20</v>
      </c>
      <c r="G771" s="9" t="str">
        <f>VLOOKUP(B771,'Property Name List'!A$2:D$834,3,FALSE)</f>
        <v>AC Hotel Bridgewater</v>
      </c>
      <c r="H771" s="15">
        <v>46133</v>
      </c>
      <c r="I771" t="s">
        <v>14</v>
      </c>
      <c r="J771">
        <f>VLOOKUP(E771,'Room Count'!A$2:B$2616,2,FALSE)</f>
        <v>150</v>
      </c>
    </row>
    <row r="772" spans="1:10" ht="17.100000000000001">
      <c r="A772" s="13" t="s">
        <v>41</v>
      </c>
      <c r="B772" s="13" t="s">
        <v>837</v>
      </c>
      <c r="C772" s="26">
        <v>200421</v>
      </c>
      <c r="D772" s="13" t="s">
        <v>837</v>
      </c>
      <c r="E772" s="13">
        <v>747</v>
      </c>
      <c r="F772" s="13" t="s">
        <v>20</v>
      </c>
      <c r="G772" s="9" t="str">
        <f>VLOOKUP(B772,'Property Name List'!A$2:D$834,3,FALSE)</f>
        <v>Fairfield Inn &amp; Suites Atlanta Suwanee</v>
      </c>
      <c r="H772" s="15">
        <v>46133</v>
      </c>
      <c r="I772" t="s">
        <v>14</v>
      </c>
      <c r="J772">
        <f>VLOOKUP(E772,'Room Count'!A$2:B$2616,2,FALSE)</f>
        <v>79</v>
      </c>
    </row>
    <row r="773" spans="1:10" ht="17.100000000000001">
      <c r="A773" s="13" t="s">
        <v>41</v>
      </c>
      <c r="B773" s="13" t="s">
        <v>838</v>
      </c>
      <c r="C773" s="26">
        <v>200419</v>
      </c>
      <c r="D773" s="13" t="s">
        <v>838</v>
      </c>
      <c r="E773" s="13">
        <v>746</v>
      </c>
      <c r="F773" s="13" t="s">
        <v>20</v>
      </c>
      <c r="G773" s="9" t="str">
        <f>VLOOKUP(B773,'Property Name List'!A$2:D$834,3,FALSE)</f>
        <v>Fairfield Inn &amp; Suites Midland</v>
      </c>
      <c r="H773" s="15">
        <v>46133</v>
      </c>
      <c r="I773" t="s">
        <v>14</v>
      </c>
      <c r="J773">
        <f>VLOOKUP(E773,'Room Count'!A$2:B$2616,2,FALSE)</f>
        <v>77</v>
      </c>
    </row>
    <row r="774" spans="1:10" ht="17.100000000000001">
      <c r="A774" s="13" t="s">
        <v>41</v>
      </c>
      <c r="B774" s="13" t="s">
        <v>839</v>
      </c>
      <c r="C774" s="26">
        <v>200417</v>
      </c>
      <c r="D774" s="13" t="s">
        <v>839</v>
      </c>
      <c r="E774" s="13">
        <v>745</v>
      </c>
      <c r="F774" s="13" t="s">
        <v>20</v>
      </c>
      <c r="G774" s="9" t="str">
        <f>VLOOKUP(B774,'Property Name List'!A$2:D$834,3,FALSE)</f>
        <v>Courtyard By Marriott Elkhart</v>
      </c>
      <c r="H774" s="15">
        <v>46133</v>
      </c>
      <c r="I774" t="s">
        <v>14</v>
      </c>
      <c r="J774">
        <f>VLOOKUP(E774,'Room Count'!A$2:B$2616,2,FALSE)</f>
        <v>99</v>
      </c>
    </row>
    <row r="775" spans="1:10" ht="17.100000000000001">
      <c r="A775" s="13" t="s">
        <v>41</v>
      </c>
      <c r="B775" s="13" t="s">
        <v>840</v>
      </c>
      <c r="C775" s="26">
        <v>200415</v>
      </c>
      <c r="D775" s="13" t="s">
        <v>840</v>
      </c>
      <c r="E775" s="13">
        <v>744</v>
      </c>
      <c r="F775" s="13" t="s">
        <v>20</v>
      </c>
      <c r="G775" s="9" t="str">
        <f>VLOOKUP(B775,'Property Name List'!A$2:D$834,3,FALSE)</f>
        <v>Courtyard By Marriott Winston-Salem University</v>
      </c>
      <c r="H775" s="15">
        <v>46133</v>
      </c>
      <c r="I775" t="s">
        <v>14</v>
      </c>
      <c r="J775">
        <f>VLOOKUP(E775,'Room Count'!A$2:B$2616,2,FALSE)</f>
        <v>124</v>
      </c>
    </row>
    <row r="776" spans="1:10" ht="17.100000000000001">
      <c r="A776" s="13" t="s">
        <v>41</v>
      </c>
      <c r="B776" s="13" t="s">
        <v>841</v>
      </c>
      <c r="C776" s="26">
        <v>200413</v>
      </c>
      <c r="D776" s="13" t="s">
        <v>841</v>
      </c>
      <c r="E776" s="13">
        <v>743</v>
      </c>
      <c r="F776" s="13" t="s">
        <v>20</v>
      </c>
      <c r="G776" s="9" t="str">
        <f>VLOOKUP(B776,'Property Name List'!A$2:D$834,3,FALSE)</f>
        <v>Courtyard By Marriott Charleston Waterfront</v>
      </c>
      <c r="H776" s="15">
        <v>46133</v>
      </c>
      <c r="I776" t="s">
        <v>14</v>
      </c>
      <c r="J776">
        <f>VLOOKUP(E776,'Room Count'!A$2:B$2616,2,FALSE)</f>
        <v>179</v>
      </c>
    </row>
    <row r="777" spans="1:10" ht="17.100000000000001">
      <c r="A777" s="13" t="s">
        <v>41</v>
      </c>
      <c r="B777" s="13" t="s">
        <v>842</v>
      </c>
      <c r="C777" s="26">
        <v>200411</v>
      </c>
      <c r="D777" s="13" t="s">
        <v>842</v>
      </c>
      <c r="E777" s="13">
        <v>742</v>
      </c>
      <c r="F777" s="13" t="s">
        <v>20</v>
      </c>
      <c r="G777" s="9" t="str">
        <f>VLOOKUP(B777,'Property Name List'!A$2:D$834,3,FALSE)</f>
        <v>Fairfield Inn &amp; Suites Kingsport</v>
      </c>
      <c r="H777" s="15">
        <v>46133</v>
      </c>
      <c r="I777" t="s">
        <v>14</v>
      </c>
      <c r="J777">
        <f>VLOOKUP(E777,'Room Count'!A$2:B$2616,2,FALSE)</f>
        <v>80</v>
      </c>
    </row>
    <row r="778" spans="1:10" ht="17.100000000000001">
      <c r="A778" s="13" t="s">
        <v>41</v>
      </c>
      <c r="B778" s="13" t="s">
        <v>843</v>
      </c>
      <c r="C778" s="26">
        <v>200409</v>
      </c>
      <c r="D778" s="13" t="s">
        <v>843</v>
      </c>
      <c r="E778" s="13">
        <v>741</v>
      </c>
      <c r="F778" s="13" t="s">
        <v>20</v>
      </c>
      <c r="G778" s="9" t="str">
        <f>VLOOKUP(B778,'Property Name List'!A$2:D$834,3,FALSE)</f>
        <v>Fairfield Inn &amp; Suites Springfield Northampton/Amherst</v>
      </c>
      <c r="H778" s="15">
        <v>46133</v>
      </c>
      <c r="I778" t="s">
        <v>14</v>
      </c>
      <c r="J778">
        <f>VLOOKUP(E778,'Room Count'!A$2:B$2616,2,FALSE)</f>
        <v>106</v>
      </c>
    </row>
    <row r="779" spans="1:10" ht="17.100000000000001">
      <c r="A779" s="13" t="s">
        <v>41</v>
      </c>
      <c r="B779" s="13" t="s">
        <v>844</v>
      </c>
      <c r="C779" s="26">
        <v>200407</v>
      </c>
      <c r="D779" s="13" t="s">
        <v>844</v>
      </c>
      <c r="E779" s="13">
        <v>740</v>
      </c>
      <c r="F779" s="13" t="s">
        <v>20</v>
      </c>
      <c r="G779" s="9" t="str">
        <f>VLOOKUP(B779,'Property Name List'!A$2:D$834,3,FALSE)</f>
        <v>Courtyard By Marriott Albion</v>
      </c>
      <c r="H779" s="15">
        <v>46133</v>
      </c>
      <c r="I779" t="s">
        <v>14</v>
      </c>
      <c r="J779">
        <f>VLOOKUP(E779,'Room Count'!A$2:B$2616,2,FALSE)</f>
        <v>75</v>
      </c>
    </row>
    <row r="780" spans="1:10" ht="17.100000000000001">
      <c r="A780" s="13" t="s">
        <v>41</v>
      </c>
      <c r="B780" s="13" t="s">
        <v>845</v>
      </c>
      <c r="C780" s="26">
        <v>200405</v>
      </c>
      <c r="D780" s="13" t="s">
        <v>845</v>
      </c>
      <c r="E780" s="13">
        <v>739</v>
      </c>
      <c r="F780" s="13" t="s">
        <v>20</v>
      </c>
      <c r="G780" s="9" t="str">
        <f>VLOOKUP(B780,'Property Name List'!A$2:D$834,3,FALSE)</f>
        <v>Fairfield Inn &amp; Suites Atlanta Acworth</v>
      </c>
      <c r="H780" s="15">
        <v>46133</v>
      </c>
      <c r="I780" t="s">
        <v>14</v>
      </c>
      <c r="J780">
        <f>VLOOKUP(E780,'Room Count'!A$2:B$2616,2,FALSE)</f>
        <v>76</v>
      </c>
    </row>
    <row r="781" spans="1:10" ht="17.100000000000001">
      <c r="A781" s="13" t="s">
        <v>41</v>
      </c>
      <c r="B781" s="13" t="s">
        <v>846</v>
      </c>
      <c r="C781" s="26">
        <v>200403</v>
      </c>
      <c r="D781" s="13" t="s">
        <v>846</v>
      </c>
      <c r="E781" s="13">
        <v>738</v>
      </c>
      <c r="F781" s="13" t="s">
        <v>20</v>
      </c>
      <c r="G781" s="9" t="str">
        <f>VLOOKUP(B781,'Property Name List'!A$2:D$834,3,FALSE)</f>
        <v>Fairfield Inn &amp; Suites Detroit Troy</v>
      </c>
      <c r="H781" s="15">
        <v>46133</v>
      </c>
      <c r="I781" t="s">
        <v>14</v>
      </c>
      <c r="J781">
        <f>VLOOKUP(E781,'Room Count'!A$2:B$2616,2,FALSE)</f>
        <v>90</v>
      </c>
    </row>
    <row r="782" spans="1:10" ht="17.100000000000001">
      <c r="A782" s="13" t="s">
        <v>41</v>
      </c>
      <c r="B782" s="13" t="s">
        <v>847</v>
      </c>
      <c r="C782" s="26">
        <v>200401</v>
      </c>
      <c r="D782" s="13" t="s">
        <v>847</v>
      </c>
      <c r="E782" s="13">
        <v>737</v>
      </c>
      <c r="F782" s="13" t="s">
        <v>20</v>
      </c>
      <c r="G782" s="9" t="str">
        <f>VLOOKUP(B782,'Property Name List'!A$2:D$834,3,FALSE)</f>
        <v>Fairfield Inn &amp; Suites Atlanta Vinings/Galleria</v>
      </c>
      <c r="H782" s="15">
        <v>46133</v>
      </c>
      <c r="I782" t="s">
        <v>14</v>
      </c>
      <c r="J782">
        <f>VLOOKUP(E782,'Room Count'!A$2:B$2616,2,FALSE)</f>
        <v>142</v>
      </c>
    </row>
    <row r="783" spans="1:10" ht="17.100000000000001">
      <c r="A783" s="13" t="s">
        <v>41</v>
      </c>
      <c r="B783" s="13" t="s">
        <v>848</v>
      </c>
      <c r="C783" s="26">
        <v>200399</v>
      </c>
      <c r="D783" s="13" t="s">
        <v>848</v>
      </c>
      <c r="E783" s="13">
        <v>736</v>
      </c>
      <c r="F783" s="13" t="s">
        <v>20</v>
      </c>
      <c r="G783" s="9" t="str">
        <f>VLOOKUP(B783,'Property Name List'!A$2:D$834,3,FALSE)</f>
        <v>SpringHill Suites By Marriott Fort Lauderdale Miramar</v>
      </c>
      <c r="H783" s="15">
        <v>46133</v>
      </c>
      <c r="I783" t="s">
        <v>14</v>
      </c>
      <c r="J783">
        <f>VLOOKUP(E783,'Room Count'!A$2:B$2616,2,FALSE)</f>
        <v>124</v>
      </c>
    </row>
    <row r="784" spans="1:10" ht="17.100000000000001">
      <c r="A784" s="13" t="s">
        <v>41</v>
      </c>
      <c r="B784" s="13" t="s">
        <v>849</v>
      </c>
      <c r="C784" s="26">
        <v>200397</v>
      </c>
      <c r="D784" s="13" t="s">
        <v>849</v>
      </c>
      <c r="E784" s="13">
        <v>735</v>
      </c>
      <c r="F784" s="13" t="s">
        <v>20</v>
      </c>
      <c r="G784" s="9" t="str">
        <f>VLOOKUP(B784,'Property Name List'!A$2:D$834,3,FALSE)</f>
        <v>AC Hotel Washington DC Convention Center</v>
      </c>
      <c r="H784" s="15">
        <v>46133</v>
      </c>
      <c r="I784" t="s">
        <v>14</v>
      </c>
      <c r="J784">
        <f>VLOOKUP(E784,'Room Count'!A$2:B$2616,2,FALSE)</f>
        <v>234</v>
      </c>
    </row>
    <row r="785" spans="1:10" ht="17.100000000000001">
      <c r="A785" s="13" t="s">
        <v>41</v>
      </c>
      <c r="B785" s="13" t="s">
        <v>850</v>
      </c>
      <c r="C785" s="26">
        <v>200395</v>
      </c>
      <c r="D785" s="13" t="s">
        <v>850</v>
      </c>
      <c r="E785" s="13">
        <v>734</v>
      </c>
      <c r="F785" s="13" t="s">
        <v>20</v>
      </c>
      <c r="G785" s="9" t="str">
        <f>VLOOKUP(B785,'Property Name List'!A$2:D$834,3,FALSE)</f>
        <v>Fairfield Inn &amp; Suites Toronto Airport</v>
      </c>
      <c r="H785" s="15">
        <v>46133</v>
      </c>
      <c r="I785" t="s">
        <v>14</v>
      </c>
      <c r="J785">
        <f>VLOOKUP(E785,'Room Count'!A$2:B$2616,2,FALSE)</f>
        <v>170</v>
      </c>
    </row>
    <row r="786" spans="1:10" ht="17.100000000000001">
      <c r="A786" s="13" t="s">
        <v>41</v>
      </c>
      <c r="B786" s="13" t="s">
        <v>851</v>
      </c>
      <c r="C786" s="26">
        <v>200393</v>
      </c>
      <c r="D786" s="13" t="s">
        <v>851</v>
      </c>
      <c r="E786" s="13">
        <v>733</v>
      </c>
      <c r="F786" s="13" t="s">
        <v>20</v>
      </c>
      <c r="G786" s="9" t="str">
        <f>VLOOKUP(B786,'Property Name List'!A$2:D$834,3,FALSE)</f>
        <v>Courtyard By Marriott New York Queens/Fresh Meadows</v>
      </c>
      <c r="H786" s="15">
        <v>46133</v>
      </c>
      <c r="I786" t="s">
        <v>14</v>
      </c>
      <c r="J786">
        <f>VLOOKUP(E786,'Room Count'!A$2:B$2616,2,FALSE)</f>
        <v>123</v>
      </c>
    </row>
    <row r="787" spans="1:10" ht="17.100000000000001">
      <c r="A787" s="13" t="s">
        <v>41</v>
      </c>
      <c r="B787" s="13" t="s">
        <v>852</v>
      </c>
      <c r="C787" s="26">
        <v>200391</v>
      </c>
      <c r="D787" s="13" t="s">
        <v>852</v>
      </c>
      <c r="E787" s="13">
        <v>732</v>
      </c>
      <c r="F787" s="13" t="s">
        <v>20</v>
      </c>
      <c r="G787" s="9" t="str">
        <f>VLOOKUP(B787,'Property Name List'!A$2:D$834,3,FALSE)</f>
        <v>Fairfield by Marriott Inn &amp; Suites Deerfield Beach Boca Raton</v>
      </c>
      <c r="H787" s="15">
        <v>46133</v>
      </c>
      <c r="I787" t="s">
        <v>14</v>
      </c>
      <c r="J787">
        <f>VLOOKUP(E787,'Room Count'!A$2:B$2616,2,FALSE)</f>
        <v>101</v>
      </c>
    </row>
    <row r="788" spans="1:10" ht="17.100000000000001">
      <c r="A788" s="13" t="s">
        <v>41</v>
      </c>
      <c r="B788" s="13" t="s">
        <v>853</v>
      </c>
      <c r="C788" s="26">
        <v>200389</v>
      </c>
      <c r="D788" s="13" t="s">
        <v>853</v>
      </c>
      <c r="E788" s="13">
        <v>731</v>
      </c>
      <c r="F788" s="13" t="s">
        <v>20</v>
      </c>
      <c r="G788" s="9" t="str">
        <f>VLOOKUP(B788,'Property Name List'!A$2:D$834,3,FALSE)</f>
        <v>Courtyard By Marriott Toronto Vaughan</v>
      </c>
      <c r="H788" s="15">
        <v>46133</v>
      </c>
      <c r="I788" t="s">
        <v>14</v>
      </c>
      <c r="J788">
        <f>VLOOKUP(E788,'Room Count'!A$2:B$2616,2,FALSE)</f>
        <v>144</v>
      </c>
    </row>
    <row r="789" spans="1:10" ht="17.100000000000001">
      <c r="A789" s="13" t="s">
        <v>41</v>
      </c>
      <c r="B789" s="13" t="s">
        <v>854</v>
      </c>
      <c r="C789" s="26">
        <v>200387</v>
      </c>
      <c r="D789" s="13" t="s">
        <v>854</v>
      </c>
      <c r="E789" s="13">
        <v>730</v>
      </c>
      <c r="F789" s="13" t="s">
        <v>20</v>
      </c>
      <c r="G789" s="9" t="str">
        <f>VLOOKUP(B789,'Property Name List'!A$2:D$834,3,FALSE)</f>
        <v>Fairfield Inn &amp; Suites Barrie</v>
      </c>
      <c r="H789" s="15">
        <v>46133</v>
      </c>
      <c r="I789" t="s">
        <v>14</v>
      </c>
      <c r="J789">
        <f>VLOOKUP(E789,'Room Count'!A$2:B$2616,2,FALSE)</f>
        <v>74</v>
      </c>
    </row>
    <row r="790" spans="1:10" ht="17.100000000000001">
      <c r="A790" s="13" t="s">
        <v>41</v>
      </c>
      <c r="B790" s="13" t="s">
        <v>855</v>
      </c>
      <c r="C790" s="26">
        <v>200385</v>
      </c>
      <c r="D790" s="13" t="s">
        <v>855</v>
      </c>
      <c r="E790" s="13">
        <v>729</v>
      </c>
      <c r="F790" s="13" t="s">
        <v>20</v>
      </c>
      <c r="G790" s="9" t="str">
        <f>VLOOKUP(B790,'Property Name List'!A$2:D$834,3,FALSE)</f>
        <v>Fairfield Inn By Marriott Tallahassee North/I-10</v>
      </c>
      <c r="H790" s="15">
        <v>46133</v>
      </c>
      <c r="I790" t="s">
        <v>14</v>
      </c>
      <c r="J790">
        <f>VLOOKUP(E790,'Room Count'!A$2:B$2616,2,FALSE)</f>
        <v>79</v>
      </c>
    </row>
    <row r="791" spans="1:10" ht="17.100000000000001">
      <c r="A791" s="13" t="s">
        <v>41</v>
      </c>
      <c r="B791" s="13" t="s">
        <v>856</v>
      </c>
      <c r="C791" s="26">
        <v>200383</v>
      </c>
      <c r="D791" s="13" t="s">
        <v>856</v>
      </c>
      <c r="E791" s="13">
        <v>728</v>
      </c>
      <c r="F791" s="13" t="s">
        <v>20</v>
      </c>
      <c r="G791" s="9" t="str">
        <f>VLOOKUP(B791,'Property Name List'!A$2:D$834,3,FALSE)</f>
        <v>Fairfield Inn &amp; Suites Atlanta Perimeter Center</v>
      </c>
      <c r="H791" s="15">
        <v>46133</v>
      </c>
      <c r="I791" t="s">
        <v>14</v>
      </c>
      <c r="J791">
        <f>VLOOKUP(E791,'Room Count'!A$2:B$2616,2,FALSE)</f>
        <v>115</v>
      </c>
    </row>
    <row r="792" spans="1:10" ht="17.100000000000001">
      <c r="A792" s="13" t="s">
        <v>41</v>
      </c>
      <c r="B792" s="13" t="s">
        <v>857</v>
      </c>
      <c r="C792" s="26">
        <v>200381</v>
      </c>
      <c r="D792" s="13" t="s">
        <v>857</v>
      </c>
      <c r="E792" s="13">
        <v>727</v>
      </c>
      <c r="F792" s="13" t="s">
        <v>20</v>
      </c>
      <c r="G792" s="9" t="str">
        <f>VLOOKUP(B792,'Property Name List'!A$2:D$834,3,FALSE)</f>
        <v>SpringHill Suites By Marriott Mishawaka-University Area</v>
      </c>
      <c r="H792" s="15">
        <v>46133</v>
      </c>
      <c r="I792" t="s">
        <v>14</v>
      </c>
      <c r="J792">
        <f>VLOOKUP(E792,'Room Count'!A$2:B$2616,2,FALSE)</f>
        <v>87</v>
      </c>
    </row>
    <row r="793" spans="1:10" ht="17.100000000000001">
      <c r="A793" s="13" t="s">
        <v>41</v>
      </c>
      <c r="B793" s="13" t="s">
        <v>858</v>
      </c>
      <c r="C793" s="26">
        <v>200379</v>
      </c>
      <c r="D793" s="13" t="s">
        <v>858</v>
      </c>
      <c r="E793" s="13">
        <v>726</v>
      </c>
      <c r="F793" s="13" t="s">
        <v>20</v>
      </c>
      <c r="G793" s="9" t="str">
        <f>VLOOKUP(B793,'Property Name List'!A$2:D$834,3,FALSE)</f>
        <v>Fairfield Inn &amp; Suites Fort Lauderdale Pembroke Pines</v>
      </c>
      <c r="H793" s="15">
        <v>46133</v>
      </c>
      <c r="I793" t="s">
        <v>14</v>
      </c>
      <c r="J793">
        <f>VLOOKUP(E793,'Room Count'!A$2:B$2616,2,FALSE)</f>
        <v>127</v>
      </c>
    </row>
    <row r="794" spans="1:10" ht="17.100000000000001">
      <c r="A794" s="13" t="s">
        <v>41</v>
      </c>
      <c r="B794" s="13" t="s">
        <v>859</v>
      </c>
      <c r="C794" s="26">
        <v>200377</v>
      </c>
      <c r="D794" s="13" t="s">
        <v>859</v>
      </c>
      <c r="E794" s="13">
        <v>725</v>
      </c>
      <c r="F794" s="13" t="s">
        <v>20</v>
      </c>
      <c r="G794" s="9" t="str">
        <f>VLOOKUP(B794,'Property Name List'!A$2:D$834,3,FALSE)</f>
        <v>Courtyard By Marriott Ann Arbor</v>
      </c>
      <c r="H794" s="15">
        <v>46133</v>
      </c>
      <c r="I794" t="s">
        <v>14</v>
      </c>
      <c r="J794">
        <f>VLOOKUP(E794,'Room Count'!A$2:B$2616,2,FALSE)</f>
        <v>160</v>
      </c>
    </row>
    <row r="795" spans="1:10" ht="17.100000000000001">
      <c r="A795" s="13" t="s">
        <v>41</v>
      </c>
      <c r="B795" s="13" t="s">
        <v>860</v>
      </c>
      <c r="C795" s="26">
        <v>200375</v>
      </c>
      <c r="D795" s="13" t="s">
        <v>860</v>
      </c>
      <c r="E795" s="13">
        <v>724</v>
      </c>
      <c r="F795" s="13" t="s">
        <v>20</v>
      </c>
      <c r="G795" s="9" t="str">
        <f>VLOOKUP(B795,'Property Name List'!A$2:D$834,3,FALSE)</f>
        <v>Courtyard By Marriott Fayetteville Fort Liberty/Spring Lake</v>
      </c>
      <c r="H795" s="15">
        <v>46133</v>
      </c>
      <c r="I795" t="s">
        <v>14</v>
      </c>
      <c r="J795">
        <f>VLOOKUP(E795,'Room Count'!A$2:B$2616,2,FALSE)</f>
        <v>100</v>
      </c>
    </row>
    <row r="796" spans="1:10" ht="17.100000000000001">
      <c r="A796" s="13" t="s">
        <v>41</v>
      </c>
      <c r="B796" s="13" t="s">
        <v>861</v>
      </c>
      <c r="C796" s="26">
        <v>200373</v>
      </c>
      <c r="D796" s="13" t="s">
        <v>861</v>
      </c>
      <c r="E796" s="13">
        <v>723</v>
      </c>
      <c r="F796" s="13" t="s">
        <v>20</v>
      </c>
      <c r="G796" s="9" t="str">
        <f>VLOOKUP(B796,'Property Name List'!A$2:D$834,3,FALSE)</f>
        <v>Fairfield Inn &amp; Suites Cordele</v>
      </c>
      <c r="H796" s="15">
        <v>46133</v>
      </c>
      <c r="I796" t="s">
        <v>14</v>
      </c>
      <c r="J796">
        <f>VLOOKUP(E796,'Room Count'!A$2:B$2616,2,FALSE)</f>
        <v>69</v>
      </c>
    </row>
    <row r="797" spans="1:10" ht="17.100000000000001">
      <c r="A797" s="13" t="s">
        <v>41</v>
      </c>
      <c r="B797" s="13" t="s">
        <v>862</v>
      </c>
      <c r="C797" s="26">
        <v>200371</v>
      </c>
      <c r="D797" s="13" t="s">
        <v>862</v>
      </c>
      <c r="E797" s="13">
        <v>722</v>
      </c>
      <c r="F797" s="13" t="s">
        <v>20</v>
      </c>
      <c r="G797" s="9" t="str">
        <f>VLOOKUP(B797,'Property Name List'!A$2:D$834,3,FALSE)</f>
        <v>Fairfield Inn &amp; Suites DuBois</v>
      </c>
      <c r="H797" s="15">
        <v>46133</v>
      </c>
      <c r="I797" t="s">
        <v>14</v>
      </c>
      <c r="J797">
        <f>VLOOKUP(E797,'Room Count'!A$2:B$2616,2,FALSE)</f>
        <v>91</v>
      </c>
    </row>
    <row r="798" spans="1:10" ht="17.100000000000001">
      <c r="A798" s="13" t="s">
        <v>41</v>
      </c>
      <c r="B798" s="13" t="s">
        <v>863</v>
      </c>
      <c r="C798" s="26">
        <v>200369</v>
      </c>
      <c r="D798" s="13" t="s">
        <v>863</v>
      </c>
      <c r="E798" s="13">
        <v>721</v>
      </c>
      <c r="F798" s="13" t="s">
        <v>20</v>
      </c>
      <c r="G798" s="9" t="str">
        <f>VLOOKUP(B798,'Property Name List'!A$2:D$834,3,FALSE)</f>
        <v>Fairfield Inn &amp; Suites Elmira Corning</v>
      </c>
      <c r="H798" s="15">
        <v>46133</v>
      </c>
      <c r="I798" t="s">
        <v>14</v>
      </c>
      <c r="J798">
        <f>VLOOKUP(E798,'Room Count'!A$2:B$2616,2,FALSE)</f>
        <v>79</v>
      </c>
    </row>
    <row r="799" spans="1:10" ht="17.100000000000001">
      <c r="A799" s="13" t="s">
        <v>41</v>
      </c>
      <c r="B799" s="13" t="s">
        <v>864</v>
      </c>
      <c r="C799" s="26">
        <v>200367</v>
      </c>
      <c r="D799" s="13" t="s">
        <v>864</v>
      </c>
      <c r="E799" s="13">
        <v>720</v>
      </c>
      <c r="F799" s="13" t="s">
        <v>20</v>
      </c>
      <c r="G799" s="9" t="str">
        <f>VLOOKUP(B799,'Property Name List'!A$2:D$834,3,FALSE)</f>
        <v>Fairfield Inn &amp; Suites Detroit Metro Airport Romulus</v>
      </c>
      <c r="H799" s="15">
        <v>46133</v>
      </c>
      <c r="I799" t="s">
        <v>14</v>
      </c>
      <c r="J799">
        <f>VLOOKUP(E799,'Room Count'!A$2:B$2616,2,FALSE)</f>
        <v>106</v>
      </c>
    </row>
    <row r="800" spans="1:10" ht="17.100000000000001">
      <c r="A800" s="13" t="s">
        <v>41</v>
      </c>
      <c r="B800" s="13" t="s">
        <v>865</v>
      </c>
      <c r="C800" s="26">
        <v>200365</v>
      </c>
      <c r="D800" s="13" t="s">
        <v>865</v>
      </c>
      <c r="E800" s="13">
        <v>719</v>
      </c>
      <c r="F800" s="13" t="s">
        <v>20</v>
      </c>
      <c r="G800" s="9" t="str">
        <f>VLOOKUP(B800,'Property Name List'!A$2:D$834,3,FALSE)</f>
        <v>Fairfield Inn &amp; Suites Beckley</v>
      </c>
      <c r="H800" s="15">
        <v>46133</v>
      </c>
      <c r="I800" t="s">
        <v>14</v>
      </c>
      <c r="J800">
        <f>VLOOKUP(E800,'Room Count'!A$2:B$2616,2,FALSE)</f>
        <v>95</v>
      </c>
    </row>
    <row r="801" spans="1:10" ht="17.100000000000001">
      <c r="A801" s="13" t="s">
        <v>41</v>
      </c>
      <c r="B801" s="13" t="s">
        <v>866</v>
      </c>
      <c r="C801" s="26">
        <v>200363</v>
      </c>
      <c r="D801" s="13" t="s">
        <v>866</v>
      </c>
      <c r="E801" s="13">
        <v>718</v>
      </c>
      <c r="F801" s="13" t="s">
        <v>20</v>
      </c>
      <c r="G801" s="9" t="str">
        <f>VLOOKUP(B801,'Property Name List'!A$2:D$834,3,FALSE)</f>
        <v>Fairfield Inn &amp; Suites New York Manhattan/Central Park</v>
      </c>
      <c r="H801" s="15">
        <v>46133</v>
      </c>
      <c r="I801" t="s">
        <v>14</v>
      </c>
      <c r="J801">
        <f>VLOOKUP(E801,'Room Count'!A$2:B$2616,2,FALSE)</f>
        <v>224</v>
      </c>
    </row>
    <row r="802" spans="1:10" ht="17.100000000000001">
      <c r="A802" s="13" t="s">
        <v>41</v>
      </c>
      <c r="B802" s="13" t="s">
        <v>867</v>
      </c>
      <c r="C802" s="26">
        <v>200361</v>
      </c>
      <c r="D802" s="13" t="s">
        <v>867</v>
      </c>
      <c r="E802" s="13">
        <v>717</v>
      </c>
      <c r="F802" s="13" t="s">
        <v>20</v>
      </c>
      <c r="G802" s="9" t="str">
        <f>VLOOKUP(B802,'Property Name List'!A$2:D$834,3,FALSE)</f>
        <v>Moxy NYC Times Square</v>
      </c>
      <c r="H802" s="15">
        <v>46133</v>
      </c>
      <c r="I802" t="s">
        <v>14</v>
      </c>
      <c r="J802">
        <f>VLOOKUP(E802,'Room Count'!A$2:B$2616,2,FALSE)</f>
        <v>612</v>
      </c>
    </row>
    <row r="803" spans="1:10" ht="17.100000000000001">
      <c r="A803" s="13" t="s">
        <v>41</v>
      </c>
      <c r="B803" s="13" t="s">
        <v>868</v>
      </c>
      <c r="C803" s="26">
        <v>200359</v>
      </c>
      <c r="D803" s="13" t="s">
        <v>868</v>
      </c>
      <c r="E803" s="13">
        <v>716</v>
      </c>
      <c r="F803" s="13" t="s">
        <v>20</v>
      </c>
      <c r="G803" s="9" t="str">
        <f>VLOOKUP(B803,'Property Name List'!A$2:D$834,3,FALSE)</f>
        <v>Fairfield by Marriott Inn &amp; Suites Columbus Hilliard</v>
      </c>
      <c r="H803" s="15">
        <v>46133</v>
      </c>
      <c r="I803" t="s">
        <v>14</v>
      </c>
      <c r="J803">
        <f>VLOOKUP(E803,'Room Count'!A$2:B$2616,2,FALSE)</f>
        <v>83</v>
      </c>
    </row>
    <row r="804" spans="1:10" ht="17.100000000000001">
      <c r="A804" s="13" t="s">
        <v>41</v>
      </c>
      <c r="B804" s="13" t="s">
        <v>869</v>
      </c>
      <c r="C804" s="26">
        <v>200357</v>
      </c>
      <c r="D804" s="13" t="s">
        <v>869</v>
      </c>
      <c r="E804" s="13">
        <v>715</v>
      </c>
      <c r="F804" s="13" t="s">
        <v>20</v>
      </c>
      <c r="G804" s="9" t="str">
        <f>VLOOKUP(B804,'Property Name List'!A$2:D$834,3,FALSE)</f>
        <v>Fairfield Inn &amp; Suites Boston Walpole</v>
      </c>
      <c r="H804" s="15">
        <v>46133</v>
      </c>
      <c r="I804" t="s">
        <v>14</v>
      </c>
      <c r="J804">
        <f>VLOOKUP(E804,'Room Count'!A$2:B$2616,2,FALSE)</f>
        <v>108</v>
      </c>
    </row>
    <row r="805" spans="1:10" ht="17.100000000000001">
      <c r="A805" s="13" t="s">
        <v>41</v>
      </c>
      <c r="B805" s="13" t="s">
        <v>870</v>
      </c>
      <c r="C805" s="26" t="s">
        <v>871</v>
      </c>
      <c r="D805" s="13" t="s">
        <v>870</v>
      </c>
      <c r="E805" s="13">
        <v>714</v>
      </c>
      <c r="F805" s="13" t="s">
        <v>20</v>
      </c>
      <c r="G805" s="9" t="str">
        <f>VLOOKUP(B805,'Property Name List'!A$2:D$834,3,FALSE)</f>
        <v>Fairfield Inn &amp; Suites Fayetteville North</v>
      </c>
      <c r="H805" s="15">
        <v>46133</v>
      </c>
      <c r="I805" t="s">
        <v>14</v>
      </c>
      <c r="J805">
        <f>VLOOKUP(E805,'Room Count'!A$2:B$2616,2,FALSE)</f>
        <v>115</v>
      </c>
    </row>
    <row r="806" spans="1:10" ht="17.100000000000001">
      <c r="A806" s="13" t="s">
        <v>41</v>
      </c>
      <c r="B806" s="13" t="s">
        <v>872</v>
      </c>
      <c r="C806" s="26">
        <v>200353</v>
      </c>
      <c r="D806" s="13" t="s">
        <v>872</v>
      </c>
      <c r="E806" s="13">
        <v>713</v>
      </c>
      <c r="F806" s="13" t="s">
        <v>20</v>
      </c>
      <c r="G806" s="9" t="str">
        <f>VLOOKUP(B806,'Property Name List'!A$2:D$834,3,FALSE)</f>
        <v>Fairfield by Marriott Inn &amp; Suites Cornelia</v>
      </c>
      <c r="H806" s="15">
        <v>46133</v>
      </c>
      <c r="I806" t="s">
        <v>14</v>
      </c>
      <c r="J806">
        <f>VLOOKUP(E806,'Room Count'!A$2:B$2616,2,FALSE)</f>
        <v>79</v>
      </c>
    </row>
    <row r="807" spans="1:10" ht="17.100000000000001">
      <c r="A807" s="13" t="s">
        <v>41</v>
      </c>
      <c r="B807" s="13" t="s">
        <v>873</v>
      </c>
      <c r="C807" s="26">
        <v>200351</v>
      </c>
      <c r="D807" s="13" t="s">
        <v>873</v>
      </c>
      <c r="E807" s="13">
        <v>712</v>
      </c>
      <c r="F807" s="13" t="s">
        <v>20</v>
      </c>
      <c r="G807" s="9" t="str">
        <f>VLOOKUP(B807,'Property Name List'!A$2:D$834,3,FALSE)</f>
        <v>SpringHill Suites By Marriott Frankenmuth</v>
      </c>
      <c r="H807" s="15">
        <v>46133</v>
      </c>
      <c r="I807" t="s">
        <v>14</v>
      </c>
      <c r="J807">
        <f>VLOOKUP(E807,'Room Count'!A$2:B$2616,2,FALSE)</f>
        <v>66</v>
      </c>
    </row>
    <row r="808" spans="1:10" ht="17.100000000000001">
      <c r="A808" s="13" t="s">
        <v>41</v>
      </c>
      <c r="B808" s="13" t="s">
        <v>874</v>
      </c>
      <c r="C808" s="26">
        <v>200349</v>
      </c>
      <c r="D808" s="13" t="s">
        <v>874</v>
      </c>
      <c r="E808" s="13">
        <v>711</v>
      </c>
      <c r="F808" s="13" t="s">
        <v>20</v>
      </c>
      <c r="G808" s="9" t="str">
        <f>VLOOKUP(B808,'Property Name List'!A$2:D$834,3,FALSE)</f>
        <v>Fairfield Inn &amp; Suites Flint Fenton</v>
      </c>
      <c r="H808" s="15">
        <v>46133</v>
      </c>
      <c r="I808" t="s">
        <v>14</v>
      </c>
      <c r="J808">
        <f>VLOOKUP(E808,'Room Count'!A$2:B$2616,2,FALSE)</f>
        <v>80</v>
      </c>
    </row>
    <row r="809" spans="1:10" ht="17.100000000000001">
      <c r="A809" s="13" t="s">
        <v>41</v>
      </c>
      <c r="B809" s="13" t="s">
        <v>875</v>
      </c>
      <c r="C809" s="26">
        <v>200347</v>
      </c>
      <c r="D809" s="13" t="s">
        <v>875</v>
      </c>
      <c r="E809" s="13">
        <v>710</v>
      </c>
      <c r="F809" s="13" t="s">
        <v>20</v>
      </c>
      <c r="G809" s="9" t="str">
        <f>VLOOKUP(B809,'Property Name List'!A$2:D$834,3,FALSE)</f>
        <v>Fairfield Inn &amp; Suites South Bend at Notre Dame</v>
      </c>
      <c r="H809" s="15">
        <v>46133</v>
      </c>
      <c r="I809" t="s">
        <v>14</v>
      </c>
      <c r="J809">
        <f>VLOOKUP(E809,'Room Count'!A$2:B$2616,2,FALSE)</f>
        <v>119</v>
      </c>
    </row>
    <row r="810" spans="1:10" ht="17.100000000000001">
      <c r="A810" s="13" t="s">
        <v>41</v>
      </c>
      <c r="B810" s="13" t="s">
        <v>876</v>
      </c>
      <c r="C810" s="26">
        <v>200345</v>
      </c>
      <c r="D810" s="13" t="s">
        <v>876</v>
      </c>
      <c r="E810" s="13">
        <v>709</v>
      </c>
      <c r="F810" s="13" t="s">
        <v>20</v>
      </c>
      <c r="G810" s="9" t="str">
        <f>VLOOKUP(B810,'Property Name List'!A$2:D$834,3,FALSE)</f>
        <v>Fairfield Inn &amp; Suites Louisville Shepherdsville</v>
      </c>
      <c r="H810" s="15">
        <v>46133</v>
      </c>
      <c r="I810" t="s">
        <v>14</v>
      </c>
      <c r="J810">
        <f>VLOOKUP(E810,'Room Count'!A$2:B$2616,2,FALSE)</f>
        <v>92</v>
      </c>
    </row>
    <row r="811" spans="1:10" ht="17.100000000000001">
      <c r="A811" s="13" t="s">
        <v>41</v>
      </c>
      <c r="B811" s="13" t="s">
        <v>877</v>
      </c>
      <c r="C811" s="26">
        <v>200343</v>
      </c>
      <c r="D811" s="13" t="s">
        <v>877</v>
      </c>
      <c r="E811" s="13">
        <v>708</v>
      </c>
      <c r="F811" s="13" t="s">
        <v>20</v>
      </c>
      <c r="G811" s="9" t="str">
        <f>VLOOKUP(B811,'Property Name List'!A$2:D$834,3,FALSE)</f>
        <v>AC Hotel St. Petersburg Downtown</v>
      </c>
      <c r="H811" s="15">
        <v>46133</v>
      </c>
      <c r="I811" t="s">
        <v>14</v>
      </c>
      <c r="J811">
        <f>VLOOKUP(E811,'Room Count'!A$2:B$2616,2,FALSE)</f>
        <v>172</v>
      </c>
    </row>
    <row r="812" spans="1:10" ht="17.100000000000001">
      <c r="A812" s="13" t="s">
        <v>41</v>
      </c>
      <c r="B812" s="13" t="s">
        <v>878</v>
      </c>
      <c r="C812" s="26">
        <v>200341</v>
      </c>
      <c r="D812" s="13" t="s">
        <v>878</v>
      </c>
      <c r="E812" s="13">
        <v>707</v>
      </c>
      <c r="F812" s="13" t="s">
        <v>20</v>
      </c>
      <c r="G812" s="9" t="str">
        <f>VLOOKUP(B812,'Property Name List'!A$2:D$834,3,FALSE)</f>
        <v>Fairfield by Marriott Inn &amp; Suites Dalton</v>
      </c>
      <c r="H812" s="15">
        <v>46133</v>
      </c>
      <c r="I812" t="s">
        <v>14</v>
      </c>
      <c r="J812">
        <f>VLOOKUP(E812,'Room Count'!A$2:B$2616,2,FALSE)</f>
        <v>89</v>
      </c>
    </row>
    <row r="813" spans="1:10" ht="17.100000000000001">
      <c r="A813" s="13" t="s">
        <v>41</v>
      </c>
      <c r="B813" s="13" t="s">
        <v>879</v>
      </c>
      <c r="C813" s="26">
        <v>200339</v>
      </c>
      <c r="D813" s="13" t="s">
        <v>879</v>
      </c>
      <c r="E813" s="13">
        <v>706</v>
      </c>
      <c r="F813" s="13" t="s">
        <v>20</v>
      </c>
      <c r="G813" s="9" t="str">
        <f>VLOOKUP(B813,'Property Name List'!A$2:D$834,3,FALSE)</f>
        <v>Courtyard By Marriott Lenox Berkshires</v>
      </c>
      <c r="H813" s="15">
        <v>46133</v>
      </c>
      <c r="I813" t="s">
        <v>14</v>
      </c>
      <c r="J813">
        <f>VLOOKUP(E813,'Room Count'!A$2:B$2616,2,FALSE)</f>
        <v>92</v>
      </c>
    </row>
    <row r="814" spans="1:10" ht="17.100000000000001">
      <c r="A814" s="13" t="s">
        <v>41</v>
      </c>
      <c r="B814" s="13" t="s">
        <v>880</v>
      </c>
      <c r="C814" s="26">
        <v>200337</v>
      </c>
      <c r="D814" s="13" t="s">
        <v>880</v>
      </c>
      <c r="E814" s="13">
        <v>705</v>
      </c>
      <c r="F814" s="13" t="s">
        <v>20</v>
      </c>
      <c r="G814" s="9" t="str">
        <f>VLOOKUP(B814,'Property Name List'!A$2:D$834,3,FALSE)</f>
        <v>AC Hotel Pittsburgh Downtown</v>
      </c>
      <c r="H814" s="15">
        <v>46133</v>
      </c>
      <c r="I814" t="s">
        <v>14</v>
      </c>
      <c r="J814">
        <f>VLOOKUP(E814,'Room Count'!A$2:B$2616,2,FALSE)</f>
        <v>134</v>
      </c>
    </row>
    <row r="815" spans="1:10" ht="17.100000000000001">
      <c r="A815" s="13" t="s">
        <v>41</v>
      </c>
      <c r="B815" s="13" t="s">
        <v>881</v>
      </c>
      <c r="C815" s="26" t="s">
        <v>882</v>
      </c>
      <c r="D815" s="13" t="s">
        <v>881</v>
      </c>
      <c r="E815" s="13">
        <v>704</v>
      </c>
      <c r="F815" s="13" t="s">
        <v>20</v>
      </c>
      <c r="G815" s="9" t="str">
        <f>VLOOKUP(B815,'Property Name List'!A$2:D$834,3,FALSE)</f>
        <v>Fairfield Inn &amp; Suites Jacksonville Airport</v>
      </c>
      <c r="H815" s="15">
        <v>46133</v>
      </c>
      <c r="I815" t="s">
        <v>14</v>
      </c>
      <c r="J815">
        <f>VLOOKUP(E815,'Room Count'!A$2:B$2616,2,FALSE)</f>
        <v>107</v>
      </c>
    </row>
    <row r="816" spans="1:10" ht="17.100000000000001">
      <c r="A816" s="13" t="s">
        <v>41</v>
      </c>
      <c r="B816" s="13" t="s">
        <v>883</v>
      </c>
      <c r="C816" s="26">
        <v>200333</v>
      </c>
      <c r="D816" s="13" t="s">
        <v>883</v>
      </c>
      <c r="E816" s="13">
        <v>703</v>
      </c>
      <c r="F816" s="13" t="s">
        <v>20</v>
      </c>
      <c r="G816" s="9" t="str">
        <f>VLOOKUP(B816,'Property Name List'!A$2:D$834,3,FALSE)</f>
        <v>SpringHill Suites By Marriott Greensboro</v>
      </c>
      <c r="H816" s="15">
        <v>46133</v>
      </c>
      <c r="I816" t="s">
        <v>14</v>
      </c>
      <c r="J816">
        <f>VLOOKUP(E816,'Room Count'!A$2:B$2616,2,FALSE)</f>
        <v>82</v>
      </c>
    </row>
    <row r="817" spans="1:10" ht="17.100000000000001">
      <c r="A817" s="13" t="s">
        <v>41</v>
      </c>
      <c r="B817" s="13" t="s">
        <v>884</v>
      </c>
      <c r="C817" s="26">
        <v>200331</v>
      </c>
      <c r="D817" s="13" t="s">
        <v>884</v>
      </c>
      <c r="E817" s="13">
        <v>702</v>
      </c>
      <c r="F817" s="13" t="s">
        <v>20</v>
      </c>
      <c r="G817" s="9" t="str">
        <f>VLOOKUP(B817,'Property Name List'!A$2:D$834,3,FALSE)</f>
        <v>Fairfield Inn &amp; Suites Edison-South Plainfield</v>
      </c>
      <c r="H817" s="15">
        <v>46133</v>
      </c>
      <c r="I817" t="s">
        <v>14</v>
      </c>
      <c r="J817">
        <f>VLOOKUP(E817,'Room Count'!A$2:B$2616,2,FALSE)</f>
        <v>105</v>
      </c>
    </row>
    <row r="818" spans="1:10" ht="17.100000000000001">
      <c r="A818" s="13" t="s">
        <v>41</v>
      </c>
      <c r="B818" s="13" t="s">
        <v>885</v>
      </c>
      <c r="C818" s="26">
        <v>200329</v>
      </c>
      <c r="D818" s="13" t="s">
        <v>885</v>
      </c>
      <c r="E818" s="13">
        <v>701</v>
      </c>
      <c r="F818" s="13" t="s">
        <v>20</v>
      </c>
      <c r="G818" s="9" t="str">
        <f>VLOOKUP(B818,'Property Name List'!A$2:D$834,3,FALSE)</f>
        <v>Fairfield Inn &amp; Suites New York Queens/Fresh Meadows</v>
      </c>
      <c r="H818" s="15">
        <v>46133</v>
      </c>
      <c r="I818" t="s">
        <v>14</v>
      </c>
      <c r="J818">
        <f>VLOOKUP(E818,'Room Count'!A$2:B$2616,2,FALSE)</f>
        <v>95</v>
      </c>
    </row>
    <row r="819" spans="1:10" ht="17.100000000000001">
      <c r="A819" s="13" t="s">
        <v>41</v>
      </c>
      <c r="B819" s="13" t="s">
        <v>886</v>
      </c>
      <c r="C819" s="26">
        <v>200327</v>
      </c>
      <c r="D819" s="13" t="s">
        <v>886</v>
      </c>
      <c r="E819" s="13">
        <v>700</v>
      </c>
      <c r="F819" s="13" t="s">
        <v>20</v>
      </c>
      <c r="G819" s="9" t="str">
        <f>VLOOKUP(B819,'Property Name List'!A$2:D$834,3,FALSE)</f>
        <v>SpringHill Suites By Marriott Gainesville</v>
      </c>
      <c r="H819" s="15">
        <v>46133</v>
      </c>
      <c r="I819" t="s">
        <v>14</v>
      </c>
      <c r="J819">
        <f>VLOOKUP(E819,'Room Count'!A$2:B$2616,2,FALSE)</f>
        <v>126</v>
      </c>
    </row>
    <row r="820" spans="1:10" ht="17.100000000000001">
      <c r="A820" s="13" t="s">
        <v>41</v>
      </c>
      <c r="B820" s="13" t="s">
        <v>887</v>
      </c>
      <c r="C820" s="26">
        <v>200325</v>
      </c>
      <c r="D820" s="13" t="s">
        <v>887</v>
      </c>
      <c r="E820" s="13">
        <v>699</v>
      </c>
      <c r="F820" s="13" t="s">
        <v>20</v>
      </c>
      <c r="G820" s="9" t="str">
        <f>VLOOKUP(B820,'Property Name List'!A$2:D$834,3,FALSE)</f>
        <v>Fairfield Inn By Marriott Philadelphia Airport</v>
      </c>
      <c r="H820" s="15">
        <v>46133</v>
      </c>
      <c r="I820" t="s">
        <v>14</v>
      </c>
      <c r="J820">
        <f>VLOOKUP(E820,'Room Count'!A$2:B$2616,2,FALSE)</f>
        <v>109</v>
      </c>
    </row>
    <row r="821" spans="1:10" ht="17.100000000000001">
      <c r="A821" s="13" t="s">
        <v>41</v>
      </c>
      <c r="B821" s="13" t="s">
        <v>888</v>
      </c>
      <c r="C821" s="26">
        <v>200323</v>
      </c>
      <c r="D821" s="13" t="s">
        <v>888</v>
      </c>
      <c r="E821" s="13">
        <v>698</v>
      </c>
      <c r="F821" s="13" t="s">
        <v>20</v>
      </c>
      <c r="G821" s="9" t="str">
        <f>VLOOKUP(B821,'Property Name List'!A$2:D$834,3,FALSE)</f>
        <v>Fairfield by Marriott Inn and Suites Augusta Fort Eisenhower Area</v>
      </c>
      <c r="H821" s="15">
        <v>46133</v>
      </c>
      <c r="I821" t="s">
        <v>14</v>
      </c>
      <c r="J821">
        <f>VLOOKUP(E821,'Room Count'!A$2:B$2616,2,FALSE)</f>
        <v>82</v>
      </c>
    </row>
    <row r="822" spans="1:10" ht="17.100000000000001">
      <c r="A822" s="13" t="s">
        <v>41</v>
      </c>
      <c r="B822" s="13" t="s">
        <v>889</v>
      </c>
      <c r="C822" s="26">
        <v>200321</v>
      </c>
      <c r="D822" s="13" t="s">
        <v>889</v>
      </c>
      <c r="E822" s="13">
        <v>697</v>
      </c>
      <c r="F822" s="13" t="s">
        <v>20</v>
      </c>
      <c r="G822" s="9" t="str">
        <f>VLOOKUP(B822,'Property Name List'!A$2:D$834,3,FALSE)</f>
        <v>Courtyard By Marriott Washington, DC/U.S. Capitol</v>
      </c>
      <c r="H822" s="15">
        <v>46133</v>
      </c>
      <c r="I822" t="s">
        <v>14</v>
      </c>
      <c r="J822">
        <f>VLOOKUP(E822,'Room Count'!A$2:B$2616,2,FALSE)</f>
        <v>218</v>
      </c>
    </row>
    <row r="823" spans="1:10" ht="17.100000000000001">
      <c r="A823" s="13" t="s">
        <v>41</v>
      </c>
      <c r="B823" s="13" t="s">
        <v>890</v>
      </c>
      <c r="C823" s="26">
        <v>200319</v>
      </c>
      <c r="D823" s="13" t="s">
        <v>890</v>
      </c>
      <c r="E823" s="13">
        <v>696</v>
      </c>
      <c r="F823" s="13" t="s">
        <v>20</v>
      </c>
      <c r="G823" s="9" t="str">
        <f>VLOOKUP(B823,'Property Name List'!A$2:D$834,3,FALSE)</f>
        <v>Courtyard By Marriott Toronto Mississauga/Meadowvale</v>
      </c>
      <c r="H823" s="15">
        <v>46133</v>
      </c>
      <c r="I823" t="s">
        <v>14</v>
      </c>
      <c r="J823">
        <f>VLOOKUP(E823,'Room Count'!A$2:B$2616,2,FALSE)</f>
        <v>144</v>
      </c>
    </row>
    <row r="824" spans="1:10" ht="17.100000000000001">
      <c r="A824" s="13" t="s">
        <v>41</v>
      </c>
      <c r="B824" s="13" t="s">
        <v>891</v>
      </c>
      <c r="C824" s="26">
        <v>200317</v>
      </c>
      <c r="D824" s="13" t="s">
        <v>891</v>
      </c>
      <c r="E824" s="13">
        <v>695</v>
      </c>
      <c r="F824" s="13" t="s">
        <v>20</v>
      </c>
      <c r="G824" s="9" t="str">
        <f>VLOOKUP(B824,'Property Name List'!A$2:D$834,3,FALSE)</f>
        <v>Courtyard By Marriott Elmira Horseheads</v>
      </c>
      <c r="H824" s="15">
        <v>46133</v>
      </c>
      <c r="I824" t="s">
        <v>14</v>
      </c>
      <c r="J824">
        <f>VLOOKUP(E824,'Room Count'!A$2:B$2616,2,FALSE)</f>
        <v>98</v>
      </c>
    </row>
    <row r="825" spans="1:10" ht="17.100000000000001">
      <c r="A825" s="13" t="s">
        <v>41</v>
      </c>
      <c r="B825" s="13" t="s">
        <v>892</v>
      </c>
      <c r="C825" s="26">
        <v>200315</v>
      </c>
      <c r="D825" s="13" t="s">
        <v>892</v>
      </c>
      <c r="E825" s="13">
        <v>694</v>
      </c>
      <c r="F825" s="13" t="s">
        <v>20</v>
      </c>
      <c r="G825" s="9" t="str">
        <f>VLOOKUP(B825,'Property Name List'!A$2:D$834,3,FALSE)</f>
        <v>Fairfield by Marriott Niagara Falls, Canada</v>
      </c>
      <c r="H825" s="15">
        <v>46133</v>
      </c>
      <c r="I825" t="s">
        <v>14</v>
      </c>
      <c r="J825">
        <f>VLOOKUP(E825,'Room Count'!A$2:B$2616,2,FALSE)</f>
        <v>120</v>
      </c>
    </row>
    <row r="826" spans="1:10" ht="17.100000000000001">
      <c r="A826" s="13" t="s">
        <v>41</v>
      </c>
      <c r="B826" s="13" t="s">
        <v>893</v>
      </c>
      <c r="C826" s="26">
        <v>200313</v>
      </c>
      <c r="D826" s="13" t="s">
        <v>893</v>
      </c>
      <c r="E826" s="13">
        <v>693</v>
      </c>
      <c r="F826" s="13" t="s">
        <v>20</v>
      </c>
      <c r="G826" s="9" t="str">
        <f>VLOOKUP(B826,'Property Name List'!A$2:D$834,3,FALSE)</f>
        <v>Fairfield Inn &amp; Suites Sault Ste. Marie</v>
      </c>
      <c r="H826" s="15">
        <v>46133</v>
      </c>
      <c r="I826" t="s">
        <v>14</v>
      </c>
      <c r="J826">
        <f>VLOOKUP(E826,'Room Count'!A$2:B$2616,2,FALSE)</f>
        <v>82</v>
      </c>
    </row>
    <row r="827" spans="1:10" ht="17.100000000000001">
      <c r="A827" s="13" t="s">
        <v>41</v>
      </c>
      <c r="B827" s="13" t="s">
        <v>894</v>
      </c>
      <c r="C827" s="26">
        <v>200311</v>
      </c>
      <c r="D827" s="13" t="s">
        <v>894</v>
      </c>
      <c r="E827" s="13">
        <v>692</v>
      </c>
      <c r="F827" s="13" t="s">
        <v>20</v>
      </c>
      <c r="G827" s="9" t="str">
        <f>VLOOKUP(B827,'Property Name List'!A$2:D$834,3,FALSE)</f>
        <v>Fairfield Inn &amp; Suites Milledgeville</v>
      </c>
      <c r="H827" s="15">
        <v>46133</v>
      </c>
      <c r="I827" t="s">
        <v>14</v>
      </c>
      <c r="J827">
        <f>VLOOKUP(E827,'Room Count'!A$2:B$2616,2,FALSE)</f>
        <v>73</v>
      </c>
    </row>
    <row r="828" spans="1:10" ht="17.100000000000001">
      <c r="A828" s="13" t="s">
        <v>41</v>
      </c>
      <c r="B828" s="13" t="s">
        <v>895</v>
      </c>
      <c r="C828" s="26">
        <v>200309</v>
      </c>
      <c r="D828" s="13" t="s">
        <v>895</v>
      </c>
      <c r="E828" s="13">
        <v>691</v>
      </c>
      <c r="F828" s="13" t="s">
        <v>20</v>
      </c>
      <c r="G828" s="9" t="str">
        <f>VLOOKUP(B828,'Property Name List'!A$2:D$834,3,FALSE)</f>
        <v>Courtyard By Marriott Concord</v>
      </c>
      <c r="H828" s="15">
        <v>46133</v>
      </c>
      <c r="I828" t="s">
        <v>14</v>
      </c>
      <c r="J828">
        <f>VLOOKUP(E828,'Room Count'!A$2:B$2616,2,FALSE)</f>
        <v>90</v>
      </c>
    </row>
    <row r="829" spans="1:10" ht="17.100000000000001">
      <c r="A829" s="13" t="s">
        <v>41</v>
      </c>
      <c r="B829" s="13" t="s">
        <v>896</v>
      </c>
      <c r="C829" s="26">
        <v>200307</v>
      </c>
      <c r="D829" s="13" t="s">
        <v>896</v>
      </c>
      <c r="E829" s="13">
        <v>690</v>
      </c>
      <c r="F829" s="13" t="s">
        <v>20</v>
      </c>
      <c r="G829" s="9" t="str">
        <f>VLOOKUP(B829,'Property Name List'!A$2:D$834,3,FALSE)</f>
        <v>Fairfield Inn &amp; Suites Tampa Wesley Chapel</v>
      </c>
      <c r="H829" s="15">
        <v>46133</v>
      </c>
      <c r="I829" t="s">
        <v>14</v>
      </c>
      <c r="J829">
        <f>VLOOKUP(E829,'Room Count'!A$2:B$2616,2,FALSE)</f>
        <v>92</v>
      </c>
    </row>
    <row r="830" spans="1:10" ht="17.100000000000001">
      <c r="A830" s="13" t="s">
        <v>41</v>
      </c>
      <c r="B830" s="13" t="s">
        <v>897</v>
      </c>
      <c r="C830" s="26">
        <v>200305</v>
      </c>
      <c r="D830" s="13" t="s">
        <v>897</v>
      </c>
      <c r="E830" s="13">
        <v>689</v>
      </c>
      <c r="F830" s="13" t="s">
        <v>20</v>
      </c>
      <c r="G830" s="9" t="str">
        <f>VLOOKUP(B830,'Property Name List'!A$2:D$834,3,FALSE)</f>
        <v>SpringHill Suites by Marriott Lexington Fritz Farm</v>
      </c>
      <c r="H830" s="15">
        <v>46133</v>
      </c>
      <c r="I830" t="s">
        <v>14</v>
      </c>
      <c r="J830">
        <f>VLOOKUP(E830,'Room Count'!A$2:B$2616,2,FALSE)</f>
        <v>118</v>
      </c>
    </row>
    <row r="831" spans="1:10" ht="17.100000000000001">
      <c r="A831" s="13" t="s">
        <v>41</v>
      </c>
      <c r="B831" s="13" t="s">
        <v>898</v>
      </c>
      <c r="C831" s="26">
        <v>200303</v>
      </c>
      <c r="D831" s="13" t="s">
        <v>898</v>
      </c>
      <c r="E831" s="13">
        <v>688</v>
      </c>
      <c r="F831" s="13" t="s">
        <v>20</v>
      </c>
      <c r="G831" s="9" t="str">
        <f>VLOOKUP(B831,'Property Name List'!A$2:D$834,3,FALSE)</f>
        <v>SpringHill Suites By Marriott Richmond Northwest</v>
      </c>
      <c r="H831" s="15">
        <v>46133</v>
      </c>
      <c r="I831" t="s">
        <v>14</v>
      </c>
      <c r="J831">
        <f>VLOOKUP(E831,'Room Count'!A$2:B$2616,2,FALSE)</f>
        <v>103</v>
      </c>
    </row>
    <row r="832" spans="1:10" ht="17.100000000000001">
      <c r="A832" s="13" t="s">
        <v>41</v>
      </c>
      <c r="B832" s="13" t="s">
        <v>899</v>
      </c>
      <c r="C832" s="26">
        <v>200301</v>
      </c>
      <c r="D832" s="13" t="s">
        <v>899</v>
      </c>
      <c r="E832" s="13">
        <v>687</v>
      </c>
      <c r="F832" s="13" t="s">
        <v>20</v>
      </c>
      <c r="G832" s="9" t="str">
        <f>VLOOKUP(B832,'Property Name List'!A$2:D$834,3,FALSE)</f>
        <v>Fairfield Inn &amp; Suites Towanda Wysox</v>
      </c>
      <c r="H832" s="15">
        <v>46133</v>
      </c>
      <c r="I832" t="s">
        <v>14</v>
      </c>
      <c r="J832">
        <f>VLOOKUP(E832,'Room Count'!A$2:B$2616,2,FALSE)</f>
        <v>88</v>
      </c>
    </row>
    <row r="833" spans="1:10" ht="17.100000000000001">
      <c r="A833" s="13" t="s">
        <v>41</v>
      </c>
      <c r="B833" s="13" t="s">
        <v>900</v>
      </c>
      <c r="C833" s="26">
        <v>200299</v>
      </c>
      <c r="D833" s="13" t="s">
        <v>900</v>
      </c>
      <c r="E833" s="13">
        <v>686</v>
      </c>
      <c r="F833" s="13" t="s">
        <v>20</v>
      </c>
      <c r="G833" s="9" t="str">
        <f>VLOOKUP(B833,'Property Name List'!A$2:D$834,3,FALSE)</f>
        <v>Courtyard By Marriott Wilmington/Wrightsville Beach</v>
      </c>
      <c r="H833" s="15">
        <v>46133</v>
      </c>
      <c r="I833" t="s">
        <v>14</v>
      </c>
      <c r="J833">
        <f>VLOOKUP(E833,'Room Count'!A$2:B$2616,2,FALSE)</f>
        <v>128</v>
      </c>
    </row>
    <row r="834" spans="1:10" ht="17.100000000000001">
      <c r="A834" s="13" t="s">
        <v>41</v>
      </c>
      <c r="B834" s="13" t="s">
        <v>901</v>
      </c>
      <c r="C834" s="26">
        <v>200297</v>
      </c>
      <c r="D834" s="13" t="s">
        <v>901</v>
      </c>
      <c r="E834" s="13">
        <v>685</v>
      </c>
      <c r="F834" s="13" t="s">
        <v>20</v>
      </c>
      <c r="G834" s="9" t="str">
        <f>VLOOKUP(B834,'Property Name List'!A$2:D$834,3,FALSE)</f>
        <v>Courtyard By Marriott Pittsburgh Greensburg</v>
      </c>
      <c r="H834" s="15">
        <v>46133</v>
      </c>
      <c r="I834" t="s">
        <v>14</v>
      </c>
      <c r="J834">
        <f>VLOOKUP(E834,'Room Count'!A$2:B$2616,2,FALSE)</f>
        <v>102</v>
      </c>
    </row>
    <row r="835" spans="1:10">
      <c r="A835" s="13" t="s">
        <v>49</v>
      </c>
      <c r="B835" s="13" t="s">
        <v>902</v>
      </c>
      <c r="C835" s="26">
        <v>200893</v>
      </c>
      <c r="D835" s="13" t="s">
        <v>902</v>
      </c>
      <c r="E835" s="13">
        <v>1168</v>
      </c>
      <c r="F835" s="13" t="s">
        <v>20</v>
      </c>
      <c r="G835" s="9" t="e">
        <f>VLOOKUP(B835,'Property Name List'!A$2:D$834,3,FALSE)</f>
        <v>#N/A</v>
      </c>
      <c r="H835" s="15">
        <v>46147</v>
      </c>
      <c r="I835" t="s">
        <v>14</v>
      </c>
      <c r="J835">
        <f>VLOOKUP(E835,'Room Count'!A$2:B$2616,2,FALSE)</f>
        <v>161</v>
      </c>
    </row>
    <row r="836" spans="1:10">
      <c r="A836" s="13" t="s">
        <v>49</v>
      </c>
      <c r="B836" s="13" t="s">
        <v>903</v>
      </c>
      <c r="C836" s="26">
        <v>110363</v>
      </c>
      <c r="D836" s="13" t="s">
        <v>903</v>
      </c>
      <c r="E836" s="13">
        <v>1167</v>
      </c>
      <c r="F836" s="13" t="s">
        <v>22</v>
      </c>
      <c r="G836" s="9" t="e">
        <f>VLOOKUP(B836,'Property Name List'!A$2:D$834,3,FALSE)</f>
        <v>#N/A</v>
      </c>
      <c r="H836" s="15">
        <v>46147</v>
      </c>
      <c r="I836" t="s">
        <v>14</v>
      </c>
      <c r="J836">
        <f>VLOOKUP(E836,'Room Count'!A$2:B$2616,2,FALSE)</f>
        <v>137</v>
      </c>
    </row>
    <row r="837" spans="1:10">
      <c r="A837" s="13" t="s">
        <v>49</v>
      </c>
      <c r="B837" s="13" t="s">
        <v>904</v>
      </c>
      <c r="C837" s="26">
        <v>200891</v>
      </c>
      <c r="D837" s="13" t="s">
        <v>904</v>
      </c>
      <c r="E837" s="13">
        <v>1166</v>
      </c>
      <c r="F837" s="13" t="s">
        <v>20</v>
      </c>
      <c r="G837" s="9" t="e">
        <f>VLOOKUP(B837,'Property Name List'!A$2:D$834,3,FALSE)</f>
        <v>#N/A</v>
      </c>
      <c r="H837" s="15">
        <v>46147</v>
      </c>
      <c r="I837" t="s">
        <v>14</v>
      </c>
      <c r="J837">
        <f>VLOOKUP(E837,'Room Count'!A$2:B$2616,2,FALSE)</f>
        <v>96</v>
      </c>
    </row>
    <row r="838" spans="1:10">
      <c r="A838" s="13" t="s">
        <v>49</v>
      </c>
      <c r="B838" s="13" t="s">
        <v>905</v>
      </c>
      <c r="C838" s="26">
        <v>200889</v>
      </c>
      <c r="D838" s="13" t="s">
        <v>905</v>
      </c>
      <c r="E838" s="13">
        <v>1165</v>
      </c>
      <c r="F838" s="13" t="s">
        <v>20</v>
      </c>
      <c r="G838" s="9" t="e">
        <f>VLOOKUP(B838,'Property Name List'!A$2:D$834,3,FALSE)</f>
        <v>#N/A</v>
      </c>
      <c r="H838" s="15">
        <v>46147</v>
      </c>
      <c r="I838" t="s">
        <v>14</v>
      </c>
      <c r="J838">
        <f>VLOOKUP(E838,'Room Count'!A$2:B$2616,2,FALSE)</f>
        <v>82</v>
      </c>
    </row>
    <row r="839" spans="1:10">
      <c r="A839" s="13" t="s">
        <v>49</v>
      </c>
      <c r="B839" s="13" t="s">
        <v>906</v>
      </c>
      <c r="C839" s="26">
        <v>200887</v>
      </c>
      <c r="D839" s="13" t="s">
        <v>906</v>
      </c>
      <c r="E839" s="13">
        <v>1164</v>
      </c>
      <c r="F839" s="13" t="s">
        <v>20</v>
      </c>
      <c r="G839" s="9" t="e">
        <f>VLOOKUP(B839,'Property Name List'!A$2:D$834,3,FALSE)</f>
        <v>#N/A</v>
      </c>
      <c r="H839" s="15">
        <v>46147</v>
      </c>
      <c r="I839" t="s">
        <v>14</v>
      </c>
      <c r="J839">
        <f>VLOOKUP(E839,'Room Count'!A$2:B$2616,2,FALSE)</f>
        <v>125</v>
      </c>
    </row>
    <row r="840" spans="1:10">
      <c r="A840" s="13" t="s">
        <v>49</v>
      </c>
      <c r="B840" s="13" t="s">
        <v>907</v>
      </c>
      <c r="C840" s="26">
        <v>200885</v>
      </c>
      <c r="D840" s="13" t="s">
        <v>907</v>
      </c>
      <c r="E840" s="13">
        <v>1163</v>
      </c>
      <c r="F840" s="13" t="s">
        <v>20</v>
      </c>
      <c r="G840" s="9" t="e">
        <f>VLOOKUP(B840,'Property Name List'!A$2:D$834,3,FALSE)</f>
        <v>#N/A</v>
      </c>
      <c r="H840" s="15">
        <v>46147</v>
      </c>
      <c r="I840" t="s">
        <v>14</v>
      </c>
      <c r="J840">
        <f>VLOOKUP(E840,'Room Count'!A$2:B$2616,2,FALSE)</f>
        <v>177</v>
      </c>
    </row>
    <row r="841" spans="1:10">
      <c r="A841" s="13" t="s">
        <v>49</v>
      </c>
      <c r="B841" s="13" t="s">
        <v>908</v>
      </c>
      <c r="C841" s="26">
        <v>110361</v>
      </c>
      <c r="D841" s="13" t="s">
        <v>908</v>
      </c>
      <c r="E841" s="13">
        <v>1162</v>
      </c>
      <c r="F841" s="13" t="s">
        <v>22</v>
      </c>
      <c r="G841" s="9" t="e">
        <f>VLOOKUP(B841,'Property Name List'!A$2:D$834,3,FALSE)</f>
        <v>#N/A</v>
      </c>
      <c r="H841" s="15">
        <v>46147</v>
      </c>
      <c r="I841" t="s">
        <v>14</v>
      </c>
      <c r="J841">
        <f>VLOOKUP(E841,'Room Count'!A$2:B$2616,2,FALSE)</f>
        <v>119</v>
      </c>
    </row>
    <row r="842" spans="1:10">
      <c r="A842" s="13" t="s">
        <v>49</v>
      </c>
      <c r="B842" s="13" t="s">
        <v>909</v>
      </c>
      <c r="C842" s="26">
        <v>200883</v>
      </c>
      <c r="D842" s="13" t="s">
        <v>909</v>
      </c>
      <c r="E842" s="13">
        <v>1161</v>
      </c>
      <c r="F842" s="13" t="s">
        <v>20</v>
      </c>
      <c r="G842" s="9" t="e">
        <f>VLOOKUP(B842,'Property Name List'!A$2:D$834,3,FALSE)</f>
        <v>#N/A</v>
      </c>
      <c r="H842" s="15">
        <v>46147</v>
      </c>
      <c r="I842" t="s">
        <v>14</v>
      </c>
      <c r="J842">
        <f>VLOOKUP(E842,'Room Count'!A$2:B$2616,2,FALSE)</f>
        <v>84</v>
      </c>
    </row>
    <row r="843" spans="1:10">
      <c r="A843" s="13" t="s">
        <v>49</v>
      </c>
      <c r="B843" s="13" t="s">
        <v>910</v>
      </c>
      <c r="C843" s="26">
        <v>110359</v>
      </c>
      <c r="D843" s="13" t="s">
        <v>910</v>
      </c>
      <c r="E843" s="13">
        <v>1160</v>
      </c>
      <c r="F843" s="13" t="s">
        <v>22</v>
      </c>
      <c r="G843" s="9" t="e">
        <f>VLOOKUP(B843,'Property Name List'!A$2:D$834,3,FALSE)</f>
        <v>#N/A</v>
      </c>
      <c r="H843" s="15">
        <v>46147</v>
      </c>
      <c r="I843" t="s">
        <v>14</v>
      </c>
      <c r="J843">
        <f>VLOOKUP(E843,'Room Count'!A$2:B$2616,2,FALSE)</f>
        <v>199</v>
      </c>
    </row>
    <row r="844" spans="1:10">
      <c r="A844" s="13" t="s">
        <v>49</v>
      </c>
      <c r="B844" s="13" t="s">
        <v>911</v>
      </c>
      <c r="C844" s="26">
        <v>200881</v>
      </c>
      <c r="D844" s="13" t="s">
        <v>911</v>
      </c>
      <c r="E844" s="13">
        <v>1159</v>
      </c>
      <c r="F844" s="13" t="s">
        <v>20</v>
      </c>
      <c r="G844" s="9" t="e">
        <f>VLOOKUP(B844,'Property Name List'!A$2:D$834,3,FALSE)</f>
        <v>#N/A</v>
      </c>
      <c r="H844" s="15">
        <v>46147</v>
      </c>
      <c r="I844" t="s">
        <v>14</v>
      </c>
      <c r="J844">
        <f>VLOOKUP(E844,'Room Count'!A$2:B$2616,2,FALSE)</f>
        <v>125</v>
      </c>
    </row>
    <row r="845" spans="1:10">
      <c r="A845" s="13" t="s">
        <v>49</v>
      </c>
      <c r="B845" s="13" t="s">
        <v>912</v>
      </c>
      <c r="C845" s="26">
        <v>200879</v>
      </c>
      <c r="D845" s="13" t="s">
        <v>912</v>
      </c>
      <c r="E845" s="13">
        <v>1158</v>
      </c>
      <c r="F845" s="13" t="s">
        <v>20</v>
      </c>
      <c r="G845" s="9" t="e">
        <f>VLOOKUP(B845,'Property Name List'!A$2:D$834,3,FALSE)</f>
        <v>#N/A</v>
      </c>
      <c r="H845" s="15">
        <v>46147</v>
      </c>
      <c r="I845" t="s">
        <v>14</v>
      </c>
      <c r="J845">
        <f>VLOOKUP(E845,'Room Count'!A$2:B$2616,2,FALSE)</f>
        <v>86</v>
      </c>
    </row>
    <row r="846" spans="1:10">
      <c r="A846" s="13" t="s">
        <v>49</v>
      </c>
      <c r="B846" s="13" t="s">
        <v>913</v>
      </c>
      <c r="C846" s="26">
        <v>110357</v>
      </c>
      <c r="D846" s="13" t="s">
        <v>913</v>
      </c>
      <c r="E846" s="13">
        <v>1157</v>
      </c>
      <c r="F846" s="13" t="s">
        <v>22</v>
      </c>
      <c r="G846" s="9" t="e">
        <f>VLOOKUP(B846,'Property Name List'!A$2:D$834,3,FALSE)</f>
        <v>#N/A</v>
      </c>
      <c r="H846" s="15">
        <v>46147</v>
      </c>
      <c r="I846" t="s">
        <v>14</v>
      </c>
      <c r="J846">
        <f>VLOOKUP(E846,'Room Count'!A$2:B$2616,2,FALSE)</f>
        <v>148</v>
      </c>
    </row>
    <row r="847" spans="1:10">
      <c r="A847" s="13" t="s">
        <v>49</v>
      </c>
      <c r="B847" s="13" t="s">
        <v>914</v>
      </c>
      <c r="C847" s="26">
        <v>110355</v>
      </c>
      <c r="D847" s="13" t="s">
        <v>914</v>
      </c>
      <c r="E847" s="13">
        <v>1156</v>
      </c>
      <c r="F847" s="13" t="s">
        <v>22</v>
      </c>
      <c r="G847" s="9" t="e">
        <f>VLOOKUP(B847,'Property Name List'!A$2:D$834,3,FALSE)</f>
        <v>#N/A</v>
      </c>
      <c r="H847" s="15">
        <v>46147</v>
      </c>
      <c r="I847" t="s">
        <v>14</v>
      </c>
      <c r="J847">
        <f>VLOOKUP(E847,'Room Count'!A$2:B$2616,2,FALSE)</f>
        <v>176</v>
      </c>
    </row>
    <row r="848" spans="1:10">
      <c r="A848" s="13" t="s">
        <v>49</v>
      </c>
      <c r="B848" s="13" t="s">
        <v>915</v>
      </c>
      <c r="C848" s="26">
        <v>200877</v>
      </c>
      <c r="D848" s="13" t="s">
        <v>915</v>
      </c>
      <c r="E848" s="13">
        <v>1155</v>
      </c>
      <c r="F848" s="13" t="s">
        <v>20</v>
      </c>
      <c r="G848" s="9" t="e">
        <f>VLOOKUP(B848,'Property Name List'!A$2:D$834,3,FALSE)</f>
        <v>#N/A</v>
      </c>
      <c r="H848" s="15">
        <v>46147</v>
      </c>
      <c r="I848" t="s">
        <v>14</v>
      </c>
      <c r="J848">
        <f>VLOOKUP(E848,'Room Count'!A$2:B$2616,2,FALSE)</f>
        <v>157</v>
      </c>
    </row>
    <row r="849" spans="1:10">
      <c r="A849" s="13" t="s">
        <v>49</v>
      </c>
      <c r="B849" s="13" t="s">
        <v>916</v>
      </c>
      <c r="C849" s="26">
        <v>200875</v>
      </c>
      <c r="D849" s="13" t="s">
        <v>916</v>
      </c>
      <c r="E849" s="13">
        <v>1154</v>
      </c>
      <c r="F849" s="13" t="s">
        <v>20</v>
      </c>
      <c r="G849" s="9" t="e">
        <f>VLOOKUP(B849,'Property Name List'!A$2:D$834,3,FALSE)</f>
        <v>#N/A</v>
      </c>
      <c r="H849" s="15">
        <v>46147</v>
      </c>
      <c r="I849" t="s">
        <v>14</v>
      </c>
      <c r="J849">
        <f>VLOOKUP(E849,'Room Count'!A$2:B$2616,2,FALSE)</f>
        <v>132</v>
      </c>
    </row>
    <row r="850" spans="1:10">
      <c r="A850" s="13" t="s">
        <v>49</v>
      </c>
      <c r="B850" s="13" t="s">
        <v>917</v>
      </c>
      <c r="C850" s="26">
        <v>200873</v>
      </c>
      <c r="D850" s="13" t="s">
        <v>917</v>
      </c>
      <c r="E850" s="13">
        <v>1153</v>
      </c>
      <c r="F850" s="13" t="s">
        <v>20</v>
      </c>
      <c r="G850" s="9" t="e">
        <f>VLOOKUP(B850,'Property Name List'!A$2:D$834,3,FALSE)</f>
        <v>#N/A</v>
      </c>
      <c r="H850" s="15">
        <v>46147</v>
      </c>
      <c r="I850" t="s">
        <v>14</v>
      </c>
      <c r="J850">
        <f>VLOOKUP(E850,'Room Count'!A$2:B$2616,2,FALSE)</f>
        <v>168</v>
      </c>
    </row>
    <row r="851" spans="1:10">
      <c r="A851" s="13" t="s">
        <v>49</v>
      </c>
      <c r="B851" s="13" t="s">
        <v>918</v>
      </c>
      <c r="C851" s="26">
        <v>200871</v>
      </c>
      <c r="D851" s="13" t="s">
        <v>918</v>
      </c>
      <c r="E851" s="13">
        <v>1152</v>
      </c>
      <c r="F851" s="13" t="s">
        <v>20</v>
      </c>
      <c r="G851" s="9" t="e">
        <f>VLOOKUP(B851,'Property Name List'!A$2:D$834,3,FALSE)</f>
        <v>#N/A</v>
      </c>
      <c r="H851" s="15">
        <v>46147</v>
      </c>
      <c r="I851" t="s">
        <v>14</v>
      </c>
      <c r="J851">
        <f>VLOOKUP(E851,'Room Count'!A$2:B$2616,2,FALSE)</f>
        <v>88</v>
      </c>
    </row>
    <row r="852" spans="1:10">
      <c r="A852" s="13" t="s">
        <v>49</v>
      </c>
      <c r="B852" s="13" t="s">
        <v>919</v>
      </c>
      <c r="C852" s="26">
        <v>110353</v>
      </c>
      <c r="D852" s="13" t="s">
        <v>919</v>
      </c>
      <c r="E852" s="13">
        <v>1151</v>
      </c>
      <c r="F852" s="13" t="s">
        <v>22</v>
      </c>
      <c r="G852" s="9" t="e">
        <f>VLOOKUP(B852,'Property Name List'!A$2:D$834,3,FALSE)</f>
        <v>#N/A</v>
      </c>
      <c r="H852" s="15">
        <v>46147</v>
      </c>
      <c r="I852" t="s">
        <v>14</v>
      </c>
      <c r="J852">
        <f>VLOOKUP(E852,'Room Count'!A$2:B$2616,2,FALSE)</f>
        <v>221</v>
      </c>
    </row>
    <row r="853" spans="1:10">
      <c r="A853" s="13" t="s">
        <v>49</v>
      </c>
      <c r="B853" s="13" t="s">
        <v>920</v>
      </c>
      <c r="C853" s="26">
        <v>200869</v>
      </c>
      <c r="D853" s="13" t="s">
        <v>920</v>
      </c>
      <c r="E853" s="13">
        <v>1150</v>
      </c>
      <c r="F853" s="13" t="s">
        <v>20</v>
      </c>
      <c r="G853" s="9" t="e">
        <f>VLOOKUP(B853,'Property Name List'!A$2:D$834,3,FALSE)</f>
        <v>#N/A</v>
      </c>
      <c r="H853" s="15">
        <v>46147</v>
      </c>
      <c r="I853" t="s">
        <v>14</v>
      </c>
      <c r="J853">
        <f>VLOOKUP(E853,'Room Count'!A$2:B$2616,2,FALSE)</f>
        <v>122</v>
      </c>
    </row>
    <row r="854" spans="1:10">
      <c r="A854" s="13" t="s">
        <v>49</v>
      </c>
      <c r="B854" s="13" t="s">
        <v>921</v>
      </c>
      <c r="C854" s="26">
        <v>110351</v>
      </c>
      <c r="D854" s="13" t="s">
        <v>921</v>
      </c>
      <c r="E854" s="13">
        <v>1149</v>
      </c>
      <c r="F854" s="13" t="s">
        <v>22</v>
      </c>
      <c r="G854" s="9" t="e">
        <f>VLOOKUP(B854,'Property Name List'!A$2:D$834,3,FALSE)</f>
        <v>#N/A</v>
      </c>
      <c r="H854" s="15">
        <v>46147</v>
      </c>
      <c r="I854" t="s">
        <v>14</v>
      </c>
      <c r="J854">
        <f>VLOOKUP(E854,'Room Count'!A$2:B$2616,2,FALSE)</f>
        <v>142</v>
      </c>
    </row>
    <row r="855" spans="1:10">
      <c r="A855" s="13" t="s">
        <v>49</v>
      </c>
      <c r="B855" s="13" t="s">
        <v>922</v>
      </c>
      <c r="C855" s="26">
        <v>200867</v>
      </c>
      <c r="D855" s="13" t="s">
        <v>922</v>
      </c>
      <c r="E855" s="13">
        <v>1148</v>
      </c>
      <c r="F855" s="13" t="s">
        <v>20</v>
      </c>
      <c r="G855" s="9" t="e">
        <f>VLOOKUP(B855,'Property Name List'!A$2:D$834,3,FALSE)</f>
        <v>#N/A</v>
      </c>
      <c r="H855" s="15">
        <v>46147</v>
      </c>
      <c r="I855" t="s">
        <v>14</v>
      </c>
      <c r="J855">
        <f>VLOOKUP(E855,'Room Count'!A$2:B$2616,2,FALSE)</f>
        <v>107</v>
      </c>
    </row>
    <row r="856" spans="1:10">
      <c r="A856" s="13" t="s">
        <v>49</v>
      </c>
      <c r="B856" s="13" t="s">
        <v>923</v>
      </c>
      <c r="C856" s="26">
        <v>200865</v>
      </c>
      <c r="D856" s="13" t="s">
        <v>923</v>
      </c>
      <c r="E856" s="13">
        <v>1147</v>
      </c>
      <c r="F856" s="13" t="s">
        <v>20</v>
      </c>
      <c r="G856" s="9" t="e">
        <f>VLOOKUP(B856,'Property Name List'!A$2:D$834,3,FALSE)</f>
        <v>#N/A</v>
      </c>
      <c r="H856" s="15">
        <v>46147</v>
      </c>
      <c r="I856" t="s">
        <v>14</v>
      </c>
      <c r="J856">
        <f>VLOOKUP(E856,'Room Count'!A$2:B$2616,2,FALSE)</f>
        <v>187</v>
      </c>
    </row>
    <row r="857" spans="1:10">
      <c r="A857" s="13" t="s">
        <v>49</v>
      </c>
      <c r="B857" s="13" t="s">
        <v>924</v>
      </c>
      <c r="C857" s="26">
        <v>200863</v>
      </c>
      <c r="D857" s="13" t="s">
        <v>924</v>
      </c>
      <c r="E857" s="13">
        <v>1146</v>
      </c>
      <c r="F857" s="13" t="s">
        <v>20</v>
      </c>
      <c r="G857" s="9" t="e">
        <f>VLOOKUP(B857,'Property Name List'!A$2:D$834,3,FALSE)</f>
        <v>#N/A</v>
      </c>
      <c r="H857" s="15">
        <v>46147</v>
      </c>
      <c r="I857" t="s">
        <v>14</v>
      </c>
      <c r="J857">
        <f>VLOOKUP(E857,'Room Count'!A$2:B$2616,2,FALSE)</f>
        <v>139</v>
      </c>
    </row>
    <row r="858" spans="1:10">
      <c r="A858" s="13" t="s">
        <v>49</v>
      </c>
      <c r="B858" s="13" t="s">
        <v>925</v>
      </c>
      <c r="C858" s="26">
        <v>200861</v>
      </c>
      <c r="D858" s="13" t="s">
        <v>925</v>
      </c>
      <c r="E858" s="13">
        <v>1145</v>
      </c>
      <c r="F858" s="13" t="s">
        <v>20</v>
      </c>
      <c r="G858" s="9" t="e">
        <f>VLOOKUP(B858,'Property Name List'!A$2:D$834,3,FALSE)</f>
        <v>#N/A</v>
      </c>
      <c r="H858" s="15">
        <v>46147</v>
      </c>
      <c r="I858" t="s">
        <v>14</v>
      </c>
      <c r="J858">
        <f>VLOOKUP(E858,'Room Count'!A$2:B$2616,2,FALSE)</f>
        <v>157</v>
      </c>
    </row>
    <row r="859" spans="1:10">
      <c r="A859" s="13" t="s">
        <v>49</v>
      </c>
      <c r="B859" s="13" t="s">
        <v>926</v>
      </c>
      <c r="C859" s="26">
        <v>200859</v>
      </c>
      <c r="D859" s="13" t="s">
        <v>926</v>
      </c>
      <c r="E859" s="13">
        <v>1144</v>
      </c>
      <c r="F859" s="13" t="s">
        <v>20</v>
      </c>
      <c r="G859" s="9" t="e">
        <f>VLOOKUP(B859,'Property Name List'!A$2:D$834,3,FALSE)</f>
        <v>#N/A</v>
      </c>
      <c r="H859" s="15">
        <v>46147</v>
      </c>
      <c r="I859" t="s">
        <v>14</v>
      </c>
      <c r="J859">
        <f>VLOOKUP(E859,'Room Count'!A$2:B$2616,2,FALSE)</f>
        <v>126</v>
      </c>
    </row>
    <row r="860" spans="1:10">
      <c r="A860" s="13" t="s">
        <v>49</v>
      </c>
      <c r="B860" s="13" t="s">
        <v>927</v>
      </c>
      <c r="C860" s="26">
        <v>200857</v>
      </c>
      <c r="D860" s="13" t="s">
        <v>927</v>
      </c>
      <c r="E860" s="13">
        <v>1143</v>
      </c>
      <c r="F860" s="13" t="s">
        <v>20</v>
      </c>
      <c r="G860" s="9" t="e">
        <f>VLOOKUP(B860,'Property Name List'!A$2:D$834,3,FALSE)</f>
        <v>#N/A</v>
      </c>
      <c r="H860" s="15">
        <v>46147</v>
      </c>
      <c r="I860" t="s">
        <v>14</v>
      </c>
      <c r="J860">
        <f>VLOOKUP(E860,'Room Count'!A$2:B$2616,2,FALSE)</f>
        <v>210</v>
      </c>
    </row>
    <row r="861" spans="1:10">
      <c r="A861" s="13" t="s">
        <v>49</v>
      </c>
      <c r="B861" s="13" t="s">
        <v>928</v>
      </c>
      <c r="C861" s="26">
        <v>200855</v>
      </c>
      <c r="D861" s="13" t="s">
        <v>928</v>
      </c>
      <c r="E861" s="13">
        <v>1142</v>
      </c>
      <c r="F861" s="13" t="s">
        <v>20</v>
      </c>
      <c r="G861" s="9" t="e">
        <f>VLOOKUP(B861,'Property Name List'!A$2:D$834,3,FALSE)</f>
        <v>#N/A</v>
      </c>
      <c r="H861" s="15">
        <v>46147</v>
      </c>
      <c r="I861" t="s">
        <v>14</v>
      </c>
      <c r="J861">
        <f>VLOOKUP(E861,'Room Count'!A$2:B$2616,2,FALSE)</f>
        <v>179</v>
      </c>
    </row>
    <row r="862" spans="1:10">
      <c r="A862" s="13" t="s">
        <v>49</v>
      </c>
      <c r="B862" s="13" t="s">
        <v>929</v>
      </c>
      <c r="C862" s="26">
        <v>110349</v>
      </c>
      <c r="D862" s="13" t="s">
        <v>929</v>
      </c>
      <c r="E862" s="13">
        <v>1141</v>
      </c>
      <c r="F862" s="13" t="s">
        <v>22</v>
      </c>
      <c r="G862" s="9" t="e">
        <f>VLOOKUP(B862,'Property Name List'!A$2:D$834,3,FALSE)</f>
        <v>#N/A</v>
      </c>
      <c r="H862" s="15">
        <v>46147</v>
      </c>
      <c r="I862" t="s">
        <v>14</v>
      </c>
      <c r="J862">
        <f>VLOOKUP(E862,'Room Count'!A$2:B$2616,2,FALSE)</f>
        <v>120</v>
      </c>
    </row>
    <row r="863" spans="1:10">
      <c r="A863" s="13" t="s">
        <v>49</v>
      </c>
      <c r="B863" s="13" t="s">
        <v>930</v>
      </c>
      <c r="C863" s="26">
        <v>200853</v>
      </c>
      <c r="D863" s="13" t="s">
        <v>930</v>
      </c>
      <c r="E863" s="13">
        <v>1140</v>
      </c>
      <c r="F863" s="13" t="s">
        <v>20</v>
      </c>
      <c r="G863" s="9" t="e">
        <f>VLOOKUP(B863,'Property Name List'!A$2:D$834,3,FALSE)</f>
        <v>#N/A</v>
      </c>
      <c r="H863" s="15">
        <v>46147</v>
      </c>
      <c r="I863" t="s">
        <v>14</v>
      </c>
      <c r="J863">
        <f>VLOOKUP(E863,'Room Count'!A$2:B$2616,2,FALSE)</f>
        <v>213</v>
      </c>
    </row>
    <row r="864" spans="1:10">
      <c r="A864" s="13" t="s">
        <v>49</v>
      </c>
      <c r="B864" s="13" t="s">
        <v>931</v>
      </c>
      <c r="C864" s="26">
        <v>200851</v>
      </c>
      <c r="D864" s="13" t="s">
        <v>931</v>
      </c>
      <c r="E864" s="13">
        <v>1139</v>
      </c>
      <c r="F864" s="13" t="s">
        <v>20</v>
      </c>
      <c r="G864" s="9" t="e">
        <f>VLOOKUP(B864,'Property Name List'!A$2:D$834,3,FALSE)</f>
        <v>#N/A</v>
      </c>
      <c r="H864" s="15">
        <v>46147</v>
      </c>
      <c r="I864" t="s">
        <v>14</v>
      </c>
      <c r="J864">
        <f>VLOOKUP(E864,'Room Count'!A$2:B$2616,2,FALSE)</f>
        <v>81</v>
      </c>
    </row>
    <row r="865" spans="1:10">
      <c r="A865" s="13" t="s">
        <v>49</v>
      </c>
      <c r="B865" s="13" t="s">
        <v>932</v>
      </c>
      <c r="C865" s="26">
        <v>200849</v>
      </c>
      <c r="D865" s="13" t="s">
        <v>932</v>
      </c>
      <c r="E865" s="13">
        <v>1138</v>
      </c>
      <c r="F865" s="13" t="s">
        <v>20</v>
      </c>
      <c r="G865" s="9" t="e">
        <f>VLOOKUP(B865,'Property Name List'!A$2:D$834,3,FALSE)</f>
        <v>#N/A</v>
      </c>
      <c r="H865" s="15">
        <v>46147</v>
      </c>
      <c r="I865" t="s">
        <v>14</v>
      </c>
      <c r="J865">
        <f>VLOOKUP(E865,'Room Count'!A$2:B$2616,2,FALSE)</f>
        <v>97</v>
      </c>
    </row>
    <row r="866" spans="1:10">
      <c r="A866" s="13" t="s">
        <v>49</v>
      </c>
      <c r="B866" s="13" t="s">
        <v>933</v>
      </c>
      <c r="C866" s="26">
        <v>110347</v>
      </c>
      <c r="D866" s="13" t="s">
        <v>933</v>
      </c>
      <c r="E866" s="13">
        <v>1137</v>
      </c>
      <c r="F866" s="13" t="s">
        <v>22</v>
      </c>
      <c r="G866" s="9" t="e">
        <f>VLOOKUP(B866,'Property Name List'!A$2:D$834,3,FALSE)</f>
        <v>#N/A</v>
      </c>
      <c r="H866" s="15">
        <v>46147</v>
      </c>
      <c r="I866" t="s">
        <v>14</v>
      </c>
      <c r="J866">
        <f>VLOOKUP(E866,'Room Count'!A$2:B$2616,2,FALSE)</f>
        <v>94</v>
      </c>
    </row>
    <row r="867" spans="1:10">
      <c r="A867" s="13" t="s">
        <v>49</v>
      </c>
      <c r="B867" s="13" t="s">
        <v>934</v>
      </c>
      <c r="C867" s="26">
        <v>200847</v>
      </c>
      <c r="D867" s="13" t="s">
        <v>934</v>
      </c>
      <c r="E867" s="13">
        <v>1136</v>
      </c>
      <c r="F867" s="13" t="s">
        <v>20</v>
      </c>
      <c r="G867" s="9" t="e">
        <f>VLOOKUP(B867,'Property Name List'!A$2:D$834,3,FALSE)</f>
        <v>#N/A</v>
      </c>
      <c r="H867" s="15">
        <v>46147</v>
      </c>
      <c r="I867" t="s">
        <v>14</v>
      </c>
      <c r="J867">
        <f>VLOOKUP(E867,'Room Count'!A$2:B$2616,2,FALSE)</f>
        <v>78</v>
      </c>
    </row>
    <row r="868" spans="1:10">
      <c r="A868" s="13" t="s">
        <v>49</v>
      </c>
      <c r="B868" s="13" t="s">
        <v>935</v>
      </c>
      <c r="C868" s="26">
        <v>200845</v>
      </c>
      <c r="D868" s="13" t="s">
        <v>935</v>
      </c>
      <c r="E868" s="13">
        <v>1135</v>
      </c>
      <c r="F868" s="13" t="s">
        <v>20</v>
      </c>
      <c r="G868" s="9" t="e">
        <f>VLOOKUP(B868,'Property Name List'!A$2:D$834,3,FALSE)</f>
        <v>#N/A</v>
      </c>
      <c r="H868" s="15">
        <v>46147</v>
      </c>
      <c r="I868" t="s">
        <v>14</v>
      </c>
      <c r="J868">
        <f>VLOOKUP(E868,'Room Count'!A$2:B$2616,2,FALSE)</f>
        <v>127</v>
      </c>
    </row>
    <row r="869" spans="1:10">
      <c r="A869" s="13" t="s">
        <v>49</v>
      </c>
      <c r="B869" s="13" t="s">
        <v>936</v>
      </c>
      <c r="C869" s="26">
        <v>110345</v>
      </c>
      <c r="D869" s="13" t="s">
        <v>936</v>
      </c>
      <c r="E869" s="13">
        <v>1134</v>
      </c>
      <c r="F869" s="13" t="s">
        <v>22</v>
      </c>
      <c r="G869" s="9" t="e">
        <f>VLOOKUP(B869,'Property Name List'!A$2:D$834,3,FALSE)</f>
        <v>#N/A</v>
      </c>
      <c r="H869" s="15">
        <v>46147</v>
      </c>
      <c r="I869" t="s">
        <v>14</v>
      </c>
      <c r="J869">
        <f>VLOOKUP(E869,'Room Count'!A$2:B$2616,2,FALSE)</f>
        <v>74</v>
      </c>
    </row>
    <row r="870" spans="1:10">
      <c r="A870" s="13" t="s">
        <v>49</v>
      </c>
      <c r="B870" s="13" t="s">
        <v>937</v>
      </c>
      <c r="C870" s="26">
        <v>110343</v>
      </c>
      <c r="D870" s="13" t="s">
        <v>937</v>
      </c>
      <c r="E870" s="13">
        <v>1133</v>
      </c>
      <c r="F870" s="13" t="s">
        <v>22</v>
      </c>
      <c r="G870" s="9" t="e">
        <f>VLOOKUP(B870,'Property Name List'!A$2:D$834,3,FALSE)</f>
        <v>#N/A</v>
      </c>
      <c r="H870" s="15">
        <v>46147</v>
      </c>
      <c r="I870" t="s">
        <v>14</v>
      </c>
      <c r="J870">
        <f>VLOOKUP(E870,'Room Count'!A$2:B$2616,2,FALSE)</f>
        <v>89</v>
      </c>
    </row>
    <row r="871" spans="1:10">
      <c r="A871" s="13" t="s">
        <v>49</v>
      </c>
      <c r="B871" s="13" t="s">
        <v>938</v>
      </c>
      <c r="C871" s="26">
        <v>110341</v>
      </c>
      <c r="D871" s="13" t="s">
        <v>938</v>
      </c>
      <c r="E871" s="13">
        <v>1132</v>
      </c>
      <c r="F871" s="13" t="s">
        <v>22</v>
      </c>
      <c r="G871" s="9" t="e">
        <f>VLOOKUP(B871,'Property Name List'!A$2:D$834,3,FALSE)</f>
        <v>#N/A</v>
      </c>
      <c r="H871" s="15">
        <v>46147</v>
      </c>
      <c r="I871" t="s">
        <v>14</v>
      </c>
      <c r="J871">
        <f>VLOOKUP(E871,'Room Count'!A$2:B$2616,2,FALSE)</f>
        <v>130</v>
      </c>
    </row>
    <row r="872" spans="1:10">
      <c r="A872" s="13" t="s">
        <v>49</v>
      </c>
      <c r="B872" s="13" t="s">
        <v>939</v>
      </c>
      <c r="C872" s="26">
        <v>200843</v>
      </c>
      <c r="D872" s="13" t="s">
        <v>939</v>
      </c>
      <c r="E872" s="13">
        <v>1131</v>
      </c>
      <c r="F872" s="13" t="s">
        <v>20</v>
      </c>
      <c r="G872" s="9" t="e">
        <f>VLOOKUP(B872,'Property Name List'!A$2:D$834,3,FALSE)</f>
        <v>#N/A</v>
      </c>
      <c r="H872" s="15">
        <v>46147</v>
      </c>
      <c r="I872" t="s">
        <v>14</v>
      </c>
      <c r="J872">
        <f>VLOOKUP(E872,'Room Count'!A$2:B$2616,2,FALSE)</f>
        <v>83</v>
      </c>
    </row>
    <row r="873" spans="1:10">
      <c r="A873" s="13" t="s">
        <v>49</v>
      </c>
      <c r="B873" s="13" t="s">
        <v>940</v>
      </c>
      <c r="C873" s="26">
        <v>200841</v>
      </c>
      <c r="D873" s="13" t="s">
        <v>940</v>
      </c>
      <c r="E873" s="13">
        <v>1130</v>
      </c>
      <c r="F873" s="13" t="s">
        <v>20</v>
      </c>
      <c r="G873" s="9" t="e">
        <f>VLOOKUP(B873,'Property Name List'!A$2:D$834,3,FALSE)</f>
        <v>#N/A</v>
      </c>
      <c r="H873" s="15">
        <v>46147</v>
      </c>
      <c r="I873" t="s">
        <v>14</v>
      </c>
      <c r="J873">
        <f>VLOOKUP(E873,'Room Count'!A$2:B$2616,2,FALSE)</f>
        <v>60</v>
      </c>
    </row>
    <row r="874" spans="1:10">
      <c r="A874" s="13" t="s">
        <v>49</v>
      </c>
      <c r="B874" s="13" t="s">
        <v>941</v>
      </c>
      <c r="C874" s="26">
        <v>200839</v>
      </c>
      <c r="D874" s="13" t="s">
        <v>941</v>
      </c>
      <c r="E874" s="13">
        <v>1129</v>
      </c>
      <c r="F874" s="13" t="s">
        <v>20</v>
      </c>
      <c r="G874" s="9" t="e">
        <f>VLOOKUP(B874,'Property Name List'!A$2:D$834,3,FALSE)</f>
        <v>#N/A</v>
      </c>
      <c r="H874" s="15">
        <v>46147</v>
      </c>
      <c r="I874" t="s">
        <v>14</v>
      </c>
      <c r="J874">
        <f>VLOOKUP(E874,'Room Count'!A$2:B$2616,2,FALSE)</f>
        <v>133</v>
      </c>
    </row>
    <row r="875" spans="1:10">
      <c r="A875" s="13" t="s">
        <v>49</v>
      </c>
      <c r="B875" s="13" t="s">
        <v>942</v>
      </c>
      <c r="C875" s="26">
        <v>110339</v>
      </c>
      <c r="D875" s="13" t="s">
        <v>942</v>
      </c>
      <c r="E875" s="13">
        <v>1128</v>
      </c>
      <c r="F875" s="13" t="s">
        <v>22</v>
      </c>
      <c r="G875" s="9" t="e">
        <f>VLOOKUP(B875,'Property Name List'!A$2:D$834,3,FALSE)</f>
        <v>#N/A</v>
      </c>
      <c r="H875" s="15">
        <v>46147</v>
      </c>
      <c r="I875" t="s">
        <v>14</v>
      </c>
      <c r="J875">
        <f>VLOOKUP(E875,'Room Count'!A$2:B$2616,2,FALSE)</f>
        <v>103</v>
      </c>
    </row>
    <row r="876" spans="1:10">
      <c r="A876" s="13" t="s">
        <v>49</v>
      </c>
      <c r="B876" s="13" t="s">
        <v>943</v>
      </c>
      <c r="C876" s="26">
        <v>200837</v>
      </c>
      <c r="D876" s="13" t="s">
        <v>943</v>
      </c>
      <c r="E876" s="13">
        <v>1127</v>
      </c>
      <c r="F876" s="13" t="s">
        <v>20</v>
      </c>
      <c r="G876" s="9" t="e">
        <f>VLOOKUP(B876,'Property Name List'!A$2:D$834,3,FALSE)</f>
        <v>#N/A</v>
      </c>
      <c r="H876" s="15">
        <v>46147</v>
      </c>
      <c r="I876" t="s">
        <v>14</v>
      </c>
      <c r="J876">
        <f>VLOOKUP(E876,'Room Count'!A$2:B$2616,2,FALSE)</f>
        <v>245</v>
      </c>
    </row>
    <row r="877" spans="1:10">
      <c r="A877" s="13" t="s">
        <v>49</v>
      </c>
      <c r="B877" s="13" t="s">
        <v>944</v>
      </c>
      <c r="C877" s="26">
        <v>110337</v>
      </c>
      <c r="D877" s="13" t="s">
        <v>944</v>
      </c>
      <c r="E877" s="13">
        <v>1126</v>
      </c>
      <c r="F877" s="13" t="s">
        <v>22</v>
      </c>
      <c r="G877" s="9" t="e">
        <f>VLOOKUP(B877,'Property Name List'!A$2:D$834,3,FALSE)</f>
        <v>#N/A</v>
      </c>
      <c r="H877" s="15">
        <v>46147</v>
      </c>
      <c r="I877" t="s">
        <v>14</v>
      </c>
      <c r="J877">
        <f>VLOOKUP(E877,'Room Count'!A$2:B$2616,2,FALSE)</f>
        <v>77</v>
      </c>
    </row>
    <row r="878" spans="1:10">
      <c r="A878" s="13" t="s">
        <v>49</v>
      </c>
      <c r="B878" s="13" t="s">
        <v>945</v>
      </c>
      <c r="C878" s="26">
        <v>200835</v>
      </c>
      <c r="D878" s="13" t="s">
        <v>945</v>
      </c>
      <c r="E878" s="13">
        <v>1125</v>
      </c>
      <c r="F878" s="13" t="s">
        <v>20</v>
      </c>
      <c r="G878" s="9" t="e">
        <f>VLOOKUP(B878,'Property Name List'!A$2:D$834,3,FALSE)</f>
        <v>#N/A</v>
      </c>
      <c r="H878" s="15">
        <v>46147</v>
      </c>
      <c r="I878" t="s">
        <v>14</v>
      </c>
      <c r="J878">
        <f>VLOOKUP(E878,'Room Count'!A$2:B$2616,2,FALSE)</f>
        <v>100</v>
      </c>
    </row>
    <row r="879" spans="1:10">
      <c r="A879" s="13" t="s">
        <v>49</v>
      </c>
      <c r="B879" s="13" t="s">
        <v>946</v>
      </c>
      <c r="C879" s="26">
        <v>200833</v>
      </c>
      <c r="D879" s="13" t="s">
        <v>946</v>
      </c>
      <c r="E879" s="13">
        <v>1124</v>
      </c>
      <c r="F879" s="13" t="s">
        <v>20</v>
      </c>
      <c r="G879" s="9" t="e">
        <f>VLOOKUP(B879,'Property Name List'!A$2:D$834,3,FALSE)</f>
        <v>#N/A</v>
      </c>
      <c r="H879" s="15">
        <v>46147</v>
      </c>
      <c r="I879" t="s">
        <v>14</v>
      </c>
      <c r="J879">
        <f>VLOOKUP(E879,'Room Count'!A$2:B$2616,2,FALSE)</f>
        <v>101</v>
      </c>
    </row>
    <row r="880" spans="1:10">
      <c r="A880" s="13" t="s">
        <v>49</v>
      </c>
      <c r="B880" s="13" t="s">
        <v>947</v>
      </c>
      <c r="C880" s="26">
        <v>110335</v>
      </c>
      <c r="D880" s="13" t="s">
        <v>947</v>
      </c>
      <c r="E880" s="13">
        <v>1123</v>
      </c>
      <c r="F880" s="13" t="s">
        <v>22</v>
      </c>
      <c r="G880" s="9" t="e">
        <f>VLOOKUP(B880,'Property Name List'!A$2:D$834,3,FALSE)</f>
        <v>#N/A</v>
      </c>
      <c r="H880" s="15">
        <v>46147</v>
      </c>
      <c r="I880" t="s">
        <v>14</v>
      </c>
      <c r="J880">
        <f>VLOOKUP(E880,'Room Count'!A$2:B$2616,2,FALSE)</f>
        <v>109</v>
      </c>
    </row>
    <row r="881" spans="1:10">
      <c r="A881" s="13" t="s">
        <v>49</v>
      </c>
      <c r="B881" s="13" t="s">
        <v>948</v>
      </c>
      <c r="C881" s="26">
        <v>110333</v>
      </c>
      <c r="D881" s="13" t="s">
        <v>948</v>
      </c>
      <c r="E881" s="13">
        <v>1122</v>
      </c>
      <c r="F881" s="13" t="s">
        <v>22</v>
      </c>
      <c r="G881" s="9" t="e">
        <f>VLOOKUP(B881,'Property Name List'!A$2:D$834,3,FALSE)</f>
        <v>#N/A</v>
      </c>
      <c r="H881" s="15">
        <v>46147</v>
      </c>
      <c r="I881" t="s">
        <v>14</v>
      </c>
      <c r="J881">
        <f>VLOOKUP(E881,'Room Count'!A$2:B$2616,2,FALSE)</f>
        <v>126</v>
      </c>
    </row>
    <row r="882" spans="1:10">
      <c r="A882" s="13" t="s">
        <v>49</v>
      </c>
      <c r="B882" s="13" t="s">
        <v>949</v>
      </c>
      <c r="C882" s="26">
        <v>110331</v>
      </c>
      <c r="D882" s="13" t="s">
        <v>949</v>
      </c>
      <c r="E882" s="13">
        <v>1121</v>
      </c>
      <c r="F882" s="13" t="s">
        <v>22</v>
      </c>
      <c r="G882" s="9" t="e">
        <f>VLOOKUP(B882,'Property Name List'!A$2:D$834,3,FALSE)</f>
        <v>#N/A</v>
      </c>
      <c r="H882" s="15">
        <v>46147</v>
      </c>
      <c r="I882" t="s">
        <v>14</v>
      </c>
      <c r="J882">
        <f>VLOOKUP(E882,'Room Count'!A$2:B$2616,2,FALSE)</f>
        <v>123</v>
      </c>
    </row>
    <row r="883" spans="1:10">
      <c r="A883" s="13" t="s">
        <v>49</v>
      </c>
      <c r="B883" s="13" t="s">
        <v>950</v>
      </c>
      <c r="C883" s="26">
        <v>200831</v>
      </c>
      <c r="D883" s="13" t="s">
        <v>950</v>
      </c>
      <c r="E883" s="13">
        <v>1120</v>
      </c>
      <c r="F883" s="13" t="s">
        <v>20</v>
      </c>
      <c r="G883" s="9" t="e">
        <f>VLOOKUP(B883,'Property Name List'!A$2:D$834,3,FALSE)</f>
        <v>#N/A</v>
      </c>
      <c r="H883" s="15">
        <v>46147</v>
      </c>
      <c r="I883" t="s">
        <v>14</v>
      </c>
      <c r="J883">
        <f>VLOOKUP(E883,'Room Count'!A$2:B$2616,2,FALSE)</f>
        <v>89</v>
      </c>
    </row>
    <row r="884" spans="1:10">
      <c r="A884" s="13" t="s">
        <v>49</v>
      </c>
      <c r="B884" s="13" t="s">
        <v>951</v>
      </c>
      <c r="C884" s="26">
        <v>200829</v>
      </c>
      <c r="D884" s="13" t="s">
        <v>951</v>
      </c>
      <c r="E884" s="13">
        <v>1119</v>
      </c>
      <c r="F884" s="13" t="s">
        <v>20</v>
      </c>
      <c r="G884" s="9" t="e">
        <f>VLOOKUP(B884,'Property Name List'!A$2:D$834,3,FALSE)</f>
        <v>#N/A</v>
      </c>
      <c r="H884" s="15">
        <v>46147</v>
      </c>
      <c r="I884" t="s">
        <v>14</v>
      </c>
      <c r="J884">
        <f>VLOOKUP(E884,'Room Count'!A$2:B$2616,2,FALSE)</f>
        <v>62</v>
      </c>
    </row>
    <row r="885" spans="1:10">
      <c r="A885" s="13" t="s">
        <v>49</v>
      </c>
      <c r="B885" s="13" t="s">
        <v>952</v>
      </c>
      <c r="C885" s="26">
        <v>110329</v>
      </c>
      <c r="D885" s="13" t="s">
        <v>952</v>
      </c>
      <c r="E885" s="13">
        <v>1118</v>
      </c>
      <c r="F885" s="13" t="s">
        <v>22</v>
      </c>
      <c r="G885" s="9" t="e">
        <f>VLOOKUP(B885,'Property Name List'!A$2:D$834,3,FALSE)</f>
        <v>#N/A</v>
      </c>
      <c r="H885" s="15">
        <v>46147</v>
      </c>
      <c r="I885" t="s">
        <v>14</v>
      </c>
      <c r="J885">
        <f>VLOOKUP(E885,'Room Count'!A$2:B$2616,2,FALSE)</f>
        <v>83</v>
      </c>
    </row>
    <row r="886" spans="1:10">
      <c r="A886" s="13" t="s">
        <v>49</v>
      </c>
      <c r="B886" s="13" t="s">
        <v>953</v>
      </c>
      <c r="C886" s="26">
        <v>200827</v>
      </c>
      <c r="D886" s="13" t="s">
        <v>953</v>
      </c>
      <c r="E886" s="13">
        <v>1117</v>
      </c>
      <c r="F886" s="13" t="s">
        <v>20</v>
      </c>
      <c r="G886" s="9" t="e">
        <f>VLOOKUP(B886,'Property Name List'!A$2:D$834,3,FALSE)</f>
        <v>#N/A</v>
      </c>
      <c r="H886" s="15">
        <v>46147</v>
      </c>
      <c r="I886" t="s">
        <v>14</v>
      </c>
      <c r="J886">
        <f>VLOOKUP(E886,'Room Count'!A$2:B$2616,2,FALSE)</f>
        <v>78</v>
      </c>
    </row>
    <row r="887" spans="1:10">
      <c r="A887" s="13" t="s">
        <v>49</v>
      </c>
      <c r="B887" s="13" t="s">
        <v>954</v>
      </c>
      <c r="C887" s="26">
        <v>200825</v>
      </c>
      <c r="D887" s="13" t="s">
        <v>954</v>
      </c>
      <c r="E887" s="13">
        <v>1116</v>
      </c>
      <c r="F887" s="13" t="s">
        <v>20</v>
      </c>
      <c r="G887" s="9" t="e">
        <f>VLOOKUP(B887,'Property Name List'!A$2:D$834,3,FALSE)</f>
        <v>#N/A</v>
      </c>
      <c r="H887" s="15">
        <v>46147</v>
      </c>
      <c r="I887" t="s">
        <v>14</v>
      </c>
      <c r="J887">
        <f>VLOOKUP(E887,'Room Count'!A$2:B$2616,2,FALSE)</f>
        <v>74</v>
      </c>
    </row>
    <row r="888" spans="1:10">
      <c r="A888" s="13" t="s">
        <v>49</v>
      </c>
      <c r="B888" s="13" t="s">
        <v>955</v>
      </c>
      <c r="C888" s="26">
        <v>200823</v>
      </c>
      <c r="D888" s="13" t="s">
        <v>955</v>
      </c>
      <c r="E888" s="13">
        <v>1115</v>
      </c>
      <c r="F888" s="13" t="s">
        <v>20</v>
      </c>
      <c r="G888" s="9" t="e">
        <f>VLOOKUP(B888,'Property Name List'!A$2:D$834,3,FALSE)</f>
        <v>#N/A</v>
      </c>
      <c r="H888" s="15">
        <v>46147</v>
      </c>
      <c r="I888" t="s">
        <v>14</v>
      </c>
      <c r="J888">
        <f>VLOOKUP(E888,'Room Count'!A$2:B$2616,2,FALSE)</f>
        <v>82</v>
      </c>
    </row>
    <row r="889" spans="1:10">
      <c r="A889" s="13" t="s">
        <v>49</v>
      </c>
      <c r="B889" s="13" t="s">
        <v>956</v>
      </c>
      <c r="C889" s="26">
        <v>110327</v>
      </c>
      <c r="D889" s="13" t="s">
        <v>956</v>
      </c>
      <c r="E889" s="13">
        <v>1114</v>
      </c>
      <c r="F889" s="13" t="s">
        <v>22</v>
      </c>
      <c r="G889" s="9" t="e">
        <f>VLOOKUP(B889,'Property Name List'!A$2:D$834,3,FALSE)</f>
        <v>#N/A</v>
      </c>
      <c r="H889" s="15">
        <v>46147</v>
      </c>
      <c r="I889" t="s">
        <v>14</v>
      </c>
      <c r="J889">
        <f>VLOOKUP(E889,'Room Count'!A$2:B$2616,2,FALSE)</f>
        <v>79</v>
      </c>
    </row>
    <row r="890" spans="1:10">
      <c r="A890" s="13" t="s">
        <v>49</v>
      </c>
      <c r="B890" s="13" t="s">
        <v>957</v>
      </c>
      <c r="C890" s="26">
        <v>110325</v>
      </c>
      <c r="D890" s="13" t="s">
        <v>957</v>
      </c>
      <c r="E890" s="13">
        <v>1113</v>
      </c>
      <c r="F890" s="13" t="s">
        <v>22</v>
      </c>
      <c r="G890" s="9" t="e">
        <f>VLOOKUP(B890,'Property Name List'!A$2:D$834,3,FALSE)</f>
        <v>#N/A</v>
      </c>
      <c r="H890" s="15">
        <v>46147</v>
      </c>
      <c r="I890" t="s">
        <v>14</v>
      </c>
      <c r="J890">
        <f>VLOOKUP(E890,'Room Count'!A$2:B$2616,2,FALSE)</f>
        <v>90</v>
      </c>
    </row>
    <row r="891" spans="1:10">
      <c r="A891" s="13" t="s">
        <v>49</v>
      </c>
      <c r="B891" s="13" t="s">
        <v>958</v>
      </c>
      <c r="C891" s="26">
        <v>110323</v>
      </c>
      <c r="D891" s="13" t="s">
        <v>958</v>
      </c>
      <c r="E891" s="13">
        <v>1112</v>
      </c>
      <c r="F891" s="13" t="s">
        <v>22</v>
      </c>
      <c r="G891" s="9" t="e">
        <f>VLOOKUP(B891,'Property Name List'!A$2:D$834,3,FALSE)</f>
        <v>#N/A</v>
      </c>
      <c r="H891" s="15">
        <v>46147</v>
      </c>
      <c r="I891" t="s">
        <v>14</v>
      </c>
      <c r="J891">
        <f>VLOOKUP(E891,'Room Count'!A$2:B$2616,2,FALSE)</f>
        <v>86</v>
      </c>
    </row>
    <row r="892" spans="1:10">
      <c r="A892" s="13" t="s">
        <v>49</v>
      </c>
      <c r="B892" s="13" t="s">
        <v>959</v>
      </c>
      <c r="C892" s="26">
        <v>110321</v>
      </c>
      <c r="D892" s="13" t="s">
        <v>959</v>
      </c>
      <c r="E892" s="13">
        <v>1111</v>
      </c>
      <c r="F892" s="13" t="s">
        <v>22</v>
      </c>
      <c r="G892" s="9" t="e">
        <f>VLOOKUP(B892,'Property Name List'!A$2:D$834,3,FALSE)</f>
        <v>#N/A</v>
      </c>
      <c r="H892" s="15">
        <v>46147</v>
      </c>
      <c r="I892" t="s">
        <v>14</v>
      </c>
      <c r="J892">
        <f>VLOOKUP(E892,'Room Count'!A$2:B$2616,2,FALSE)</f>
        <v>115</v>
      </c>
    </row>
    <row r="893" spans="1:10">
      <c r="A893" s="13" t="s">
        <v>49</v>
      </c>
      <c r="B893" s="13" t="s">
        <v>960</v>
      </c>
      <c r="C893" s="26">
        <v>200821</v>
      </c>
      <c r="D893" s="13" t="s">
        <v>960</v>
      </c>
      <c r="E893" s="13">
        <v>1110</v>
      </c>
      <c r="F893" s="13" t="s">
        <v>20</v>
      </c>
      <c r="G893" s="9" t="e">
        <f>VLOOKUP(B893,'Property Name List'!A$2:D$834,3,FALSE)</f>
        <v>#N/A</v>
      </c>
      <c r="H893" s="15">
        <v>46147</v>
      </c>
      <c r="I893" t="s">
        <v>14</v>
      </c>
      <c r="J893">
        <f>VLOOKUP(E893,'Room Count'!A$2:B$2616,2,FALSE)</f>
        <v>98</v>
      </c>
    </row>
    <row r="894" spans="1:10">
      <c r="A894" s="13" t="s">
        <v>49</v>
      </c>
      <c r="B894" s="13" t="s">
        <v>961</v>
      </c>
      <c r="C894" s="26">
        <v>110319</v>
      </c>
      <c r="D894" s="13" t="s">
        <v>961</v>
      </c>
      <c r="E894" s="13">
        <v>1109</v>
      </c>
      <c r="F894" s="13" t="s">
        <v>22</v>
      </c>
      <c r="G894" s="9" t="e">
        <f>VLOOKUP(B894,'Property Name List'!A$2:D$834,3,FALSE)</f>
        <v>#N/A</v>
      </c>
      <c r="H894" s="15">
        <v>46147</v>
      </c>
      <c r="I894" t="s">
        <v>14</v>
      </c>
      <c r="J894">
        <f>VLOOKUP(E894,'Room Count'!A$2:B$2616,2,FALSE)</f>
        <v>92</v>
      </c>
    </row>
    <row r="895" spans="1:10">
      <c r="A895" s="13" t="s">
        <v>49</v>
      </c>
      <c r="B895" s="13" t="s">
        <v>962</v>
      </c>
      <c r="C895" s="26">
        <v>110317</v>
      </c>
      <c r="D895" s="13" t="s">
        <v>962</v>
      </c>
      <c r="E895" s="13">
        <v>1108</v>
      </c>
      <c r="F895" s="13" t="s">
        <v>22</v>
      </c>
      <c r="G895" s="9" t="e">
        <f>VLOOKUP(B895,'Property Name List'!A$2:D$834,3,FALSE)</f>
        <v>#N/A</v>
      </c>
      <c r="H895" s="15">
        <v>46147</v>
      </c>
      <c r="I895" t="s">
        <v>14</v>
      </c>
      <c r="J895">
        <f>VLOOKUP(E895,'Room Count'!A$2:B$2616,2,FALSE)</f>
        <v>78</v>
      </c>
    </row>
    <row r="896" spans="1:10">
      <c r="A896" s="13" t="s">
        <v>49</v>
      </c>
      <c r="B896" s="13" t="s">
        <v>963</v>
      </c>
      <c r="C896" s="26">
        <v>200819</v>
      </c>
      <c r="D896" s="13" t="s">
        <v>963</v>
      </c>
      <c r="E896" s="13">
        <v>1107</v>
      </c>
      <c r="F896" s="13" t="s">
        <v>20</v>
      </c>
      <c r="G896" s="9" t="e">
        <f>VLOOKUP(B896,'Property Name List'!A$2:D$834,3,FALSE)</f>
        <v>#N/A</v>
      </c>
      <c r="H896" s="15">
        <v>46147</v>
      </c>
      <c r="I896" t="s">
        <v>14</v>
      </c>
      <c r="J896">
        <f>VLOOKUP(E896,'Room Count'!A$2:B$2616,2,FALSE)</f>
        <v>62</v>
      </c>
    </row>
    <row r="897" spans="1:10">
      <c r="A897" s="13" t="s">
        <v>49</v>
      </c>
      <c r="B897" s="13" t="s">
        <v>964</v>
      </c>
      <c r="C897" s="26">
        <v>110315</v>
      </c>
      <c r="D897" s="13" t="s">
        <v>964</v>
      </c>
      <c r="E897" s="13">
        <v>1106</v>
      </c>
      <c r="F897" s="13" t="s">
        <v>22</v>
      </c>
      <c r="G897" s="9" t="e">
        <f>VLOOKUP(B897,'Property Name List'!A$2:D$834,3,FALSE)</f>
        <v>#N/A</v>
      </c>
      <c r="H897" s="15">
        <v>46147</v>
      </c>
      <c r="I897" t="s">
        <v>14</v>
      </c>
      <c r="J897">
        <f>VLOOKUP(E897,'Room Count'!A$2:B$2616,2,FALSE)</f>
        <v>116</v>
      </c>
    </row>
    <row r="898" spans="1:10">
      <c r="A898" s="13" t="s">
        <v>49</v>
      </c>
      <c r="B898" s="13" t="s">
        <v>965</v>
      </c>
      <c r="C898" s="26">
        <v>110313</v>
      </c>
      <c r="D898" s="13" t="s">
        <v>965</v>
      </c>
      <c r="E898" s="13">
        <v>1105</v>
      </c>
      <c r="F898" s="13" t="s">
        <v>22</v>
      </c>
      <c r="G898" s="9" t="e">
        <f>VLOOKUP(B898,'Property Name List'!A$2:D$834,3,FALSE)</f>
        <v>#N/A</v>
      </c>
      <c r="H898" s="15">
        <v>46147</v>
      </c>
      <c r="I898" t="s">
        <v>14</v>
      </c>
      <c r="J898">
        <f>VLOOKUP(E898,'Room Count'!A$2:B$2616,2,FALSE)</f>
        <v>119</v>
      </c>
    </row>
    <row r="899" spans="1:10">
      <c r="A899" s="13" t="s">
        <v>49</v>
      </c>
      <c r="B899" s="13" t="s">
        <v>966</v>
      </c>
      <c r="C899" s="26">
        <v>110311</v>
      </c>
      <c r="D899" s="13" t="s">
        <v>966</v>
      </c>
      <c r="E899" s="13">
        <v>1104</v>
      </c>
      <c r="F899" s="13" t="s">
        <v>22</v>
      </c>
      <c r="G899" s="9" t="e">
        <f>VLOOKUP(B899,'Property Name List'!A$2:D$834,3,FALSE)</f>
        <v>#N/A</v>
      </c>
      <c r="H899" s="15">
        <v>46147</v>
      </c>
      <c r="I899" t="s">
        <v>14</v>
      </c>
      <c r="J899">
        <f>VLOOKUP(E899,'Room Count'!A$2:B$2616,2,FALSE)</f>
        <v>117</v>
      </c>
    </row>
    <row r="900" spans="1:10">
      <c r="A900" s="13" t="s">
        <v>49</v>
      </c>
      <c r="B900" s="13" t="s">
        <v>967</v>
      </c>
      <c r="C900" s="26">
        <v>200817</v>
      </c>
      <c r="D900" s="13" t="s">
        <v>967</v>
      </c>
      <c r="E900" s="13">
        <v>1103</v>
      </c>
      <c r="F900" s="13" t="s">
        <v>20</v>
      </c>
      <c r="G900" s="9" t="e">
        <f>VLOOKUP(B900,'Property Name List'!A$2:D$834,3,FALSE)</f>
        <v>#N/A</v>
      </c>
      <c r="H900" s="15">
        <v>46147</v>
      </c>
      <c r="I900" t="s">
        <v>14</v>
      </c>
      <c r="J900">
        <f>VLOOKUP(E900,'Room Count'!A$2:B$2616,2,FALSE)</f>
        <v>108</v>
      </c>
    </row>
    <row r="901" spans="1:10">
      <c r="A901" s="13" t="s">
        <v>49</v>
      </c>
      <c r="B901" s="13" t="s">
        <v>968</v>
      </c>
      <c r="C901" s="26">
        <v>110309</v>
      </c>
      <c r="D901" s="13" t="s">
        <v>968</v>
      </c>
      <c r="E901" s="13">
        <v>1102</v>
      </c>
      <c r="F901" s="13" t="s">
        <v>22</v>
      </c>
      <c r="G901" s="9" t="e">
        <f>VLOOKUP(B901,'Property Name List'!A$2:D$834,3,FALSE)</f>
        <v>#N/A</v>
      </c>
      <c r="H901" s="15">
        <v>46147</v>
      </c>
      <c r="I901" t="s">
        <v>14</v>
      </c>
      <c r="J901">
        <f>VLOOKUP(E901,'Room Count'!A$2:B$2616,2,FALSE)</f>
        <v>121</v>
      </c>
    </row>
    <row r="902" spans="1:10">
      <c r="A902" s="13" t="s">
        <v>49</v>
      </c>
      <c r="B902" s="13" t="s">
        <v>969</v>
      </c>
      <c r="C902" s="26">
        <v>110307</v>
      </c>
      <c r="D902" s="13" t="s">
        <v>969</v>
      </c>
      <c r="E902" s="13">
        <v>1101</v>
      </c>
      <c r="F902" s="13" t="s">
        <v>22</v>
      </c>
      <c r="G902" s="9" t="e">
        <f>VLOOKUP(B902,'Property Name List'!A$2:D$834,3,FALSE)</f>
        <v>#N/A</v>
      </c>
      <c r="H902" s="15">
        <v>46147</v>
      </c>
      <c r="I902" t="s">
        <v>14</v>
      </c>
      <c r="J902">
        <f>VLOOKUP(E902,'Room Count'!A$2:B$2616,2,FALSE)</f>
        <v>148</v>
      </c>
    </row>
    <row r="903" spans="1:10">
      <c r="A903" s="13" t="s">
        <v>49</v>
      </c>
      <c r="B903" s="13" t="s">
        <v>970</v>
      </c>
      <c r="C903" s="26">
        <v>110305</v>
      </c>
      <c r="D903" s="13" t="s">
        <v>970</v>
      </c>
      <c r="E903" s="13">
        <v>1100</v>
      </c>
      <c r="F903" s="13" t="s">
        <v>22</v>
      </c>
      <c r="G903" s="9" t="e">
        <f>VLOOKUP(B903,'Property Name List'!A$2:D$834,3,FALSE)</f>
        <v>#N/A</v>
      </c>
      <c r="H903" s="15">
        <v>46147</v>
      </c>
      <c r="I903" t="s">
        <v>14</v>
      </c>
      <c r="J903">
        <f>VLOOKUP(E903,'Room Count'!A$2:B$2616,2,FALSE)</f>
        <v>78</v>
      </c>
    </row>
    <row r="904" spans="1:10">
      <c r="A904" s="13" t="s">
        <v>49</v>
      </c>
      <c r="B904" s="13" t="s">
        <v>971</v>
      </c>
      <c r="C904" s="26">
        <v>200815</v>
      </c>
      <c r="D904" s="13" t="s">
        <v>971</v>
      </c>
      <c r="E904" s="13">
        <v>1099</v>
      </c>
      <c r="F904" s="13" t="s">
        <v>20</v>
      </c>
      <c r="G904" s="9" t="e">
        <f>VLOOKUP(B904,'Property Name List'!A$2:D$834,3,FALSE)</f>
        <v>#N/A</v>
      </c>
      <c r="H904" s="15">
        <v>46147</v>
      </c>
      <c r="I904" t="s">
        <v>14</v>
      </c>
      <c r="J904">
        <f>VLOOKUP(E904,'Room Count'!A$2:B$2616,2,FALSE)</f>
        <v>113</v>
      </c>
    </row>
    <row r="905" spans="1:10">
      <c r="A905" s="13" t="s">
        <v>49</v>
      </c>
      <c r="B905" s="13" t="s">
        <v>972</v>
      </c>
      <c r="C905" s="26">
        <v>200813</v>
      </c>
      <c r="D905" s="13" t="s">
        <v>972</v>
      </c>
      <c r="E905" s="13">
        <v>1098</v>
      </c>
      <c r="F905" s="13" t="s">
        <v>20</v>
      </c>
      <c r="G905" s="9" t="e">
        <f>VLOOKUP(B905,'Property Name List'!A$2:D$834,3,FALSE)</f>
        <v>#N/A</v>
      </c>
      <c r="H905" s="15">
        <v>46147</v>
      </c>
      <c r="I905" t="s">
        <v>14</v>
      </c>
      <c r="J905">
        <f>VLOOKUP(E905,'Room Count'!A$2:B$2616,2,FALSE)</f>
        <v>78</v>
      </c>
    </row>
    <row r="906" spans="1:10">
      <c r="A906" s="13" t="s">
        <v>49</v>
      </c>
      <c r="B906" s="13" t="s">
        <v>973</v>
      </c>
      <c r="C906" s="26">
        <v>200811</v>
      </c>
      <c r="D906" s="13" t="s">
        <v>973</v>
      </c>
      <c r="E906" s="13">
        <v>1097</v>
      </c>
      <c r="F906" s="13" t="s">
        <v>20</v>
      </c>
      <c r="G906" s="9" t="e">
        <f>VLOOKUP(B906,'Property Name List'!A$2:D$834,3,FALSE)</f>
        <v>#N/A</v>
      </c>
      <c r="H906" s="15">
        <v>46147</v>
      </c>
      <c r="I906" t="s">
        <v>14</v>
      </c>
      <c r="J906">
        <f>VLOOKUP(E906,'Room Count'!A$2:B$2616,2,FALSE)</f>
        <v>79</v>
      </c>
    </row>
    <row r="907" spans="1:10">
      <c r="A907" s="13" t="s">
        <v>49</v>
      </c>
      <c r="B907" s="13" t="s">
        <v>974</v>
      </c>
      <c r="C907" s="26">
        <v>200809</v>
      </c>
      <c r="D907" s="13" t="s">
        <v>974</v>
      </c>
      <c r="E907" s="13">
        <v>1096</v>
      </c>
      <c r="F907" s="13" t="s">
        <v>20</v>
      </c>
      <c r="G907" s="9" t="e">
        <f>VLOOKUP(B907,'Property Name List'!A$2:D$834,3,FALSE)</f>
        <v>#N/A</v>
      </c>
      <c r="H907" s="15">
        <v>46147</v>
      </c>
      <c r="I907" t="s">
        <v>14</v>
      </c>
      <c r="J907">
        <f>VLOOKUP(E907,'Room Count'!A$2:B$2616,2,FALSE)</f>
        <v>60</v>
      </c>
    </row>
    <row r="908" spans="1:10">
      <c r="A908" s="13" t="s">
        <v>49</v>
      </c>
      <c r="B908" s="13" t="s">
        <v>975</v>
      </c>
      <c r="C908" s="26">
        <v>110303</v>
      </c>
      <c r="D908" s="13" t="s">
        <v>975</v>
      </c>
      <c r="E908" s="13">
        <v>1095</v>
      </c>
      <c r="F908" s="13" t="s">
        <v>22</v>
      </c>
      <c r="G908" s="9" t="e">
        <f>VLOOKUP(B908,'Property Name List'!A$2:D$834,3,FALSE)</f>
        <v>#N/A</v>
      </c>
      <c r="H908" s="15">
        <v>46147</v>
      </c>
      <c r="I908" t="s">
        <v>14</v>
      </c>
      <c r="J908">
        <f>VLOOKUP(E908,'Room Count'!A$2:B$2616,2,FALSE)</f>
        <v>126</v>
      </c>
    </row>
    <row r="909" spans="1:10">
      <c r="A909" s="13" t="s">
        <v>49</v>
      </c>
      <c r="B909" s="13" t="s">
        <v>976</v>
      </c>
      <c r="C909" s="26">
        <v>110301</v>
      </c>
      <c r="D909" s="13" t="s">
        <v>976</v>
      </c>
      <c r="E909" s="13">
        <v>1094</v>
      </c>
      <c r="F909" s="13" t="s">
        <v>22</v>
      </c>
      <c r="G909" s="9" t="e">
        <f>VLOOKUP(B909,'Property Name List'!A$2:D$834,3,FALSE)</f>
        <v>#N/A</v>
      </c>
      <c r="H909" s="15">
        <v>46147</v>
      </c>
      <c r="I909" t="s">
        <v>14</v>
      </c>
      <c r="J909">
        <f>VLOOKUP(E909,'Room Count'!A$2:B$2616,2,FALSE)</f>
        <v>108</v>
      </c>
    </row>
    <row r="910" spans="1:10">
      <c r="A910" s="13" t="s">
        <v>49</v>
      </c>
      <c r="B910" s="13" t="s">
        <v>977</v>
      </c>
      <c r="C910" s="26">
        <v>200807</v>
      </c>
      <c r="D910" s="13" t="s">
        <v>977</v>
      </c>
      <c r="E910" s="13">
        <v>1093</v>
      </c>
      <c r="F910" s="13" t="s">
        <v>20</v>
      </c>
      <c r="G910" s="9" t="e">
        <f>VLOOKUP(B910,'Property Name List'!A$2:D$834,3,FALSE)</f>
        <v>#N/A</v>
      </c>
      <c r="H910" s="15">
        <v>46147</v>
      </c>
      <c r="I910" t="s">
        <v>14</v>
      </c>
      <c r="J910">
        <f>VLOOKUP(E910,'Room Count'!A$2:B$2616,2,FALSE)</f>
        <v>103</v>
      </c>
    </row>
    <row r="911" spans="1:10">
      <c r="A911" s="13" t="s">
        <v>49</v>
      </c>
      <c r="B911" s="13" t="s">
        <v>978</v>
      </c>
      <c r="C911" s="26">
        <v>200805</v>
      </c>
      <c r="D911" s="13" t="s">
        <v>978</v>
      </c>
      <c r="E911" s="13">
        <v>1092</v>
      </c>
      <c r="F911" s="13" t="s">
        <v>20</v>
      </c>
      <c r="G911" s="9" t="e">
        <f>VLOOKUP(B911,'Property Name List'!A$2:D$834,3,FALSE)</f>
        <v>#N/A</v>
      </c>
      <c r="H911" s="15">
        <v>46147</v>
      </c>
      <c r="I911" t="s">
        <v>14</v>
      </c>
      <c r="J911">
        <f>VLOOKUP(E911,'Room Count'!A$2:B$2616,2,FALSE)</f>
        <v>94</v>
      </c>
    </row>
    <row r="912" spans="1:10">
      <c r="A912" s="13" t="s">
        <v>49</v>
      </c>
      <c r="B912" s="13" t="s">
        <v>979</v>
      </c>
      <c r="C912" s="26">
        <v>110299</v>
      </c>
      <c r="D912" s="13" t="s">
        <v>979</v>
      </c>
      <c r="E912" s="13">
        <v>1091</v>
      </c>
      <c r="F912" s="13" t="s">
        <v>22</v>
      </c>
      <c r="G912" s="9" t="e">
        <f>VLOOKUP(B912,'Property Name List'!A$2:D$834,3,FALSE)</f>
        <v>#N/A</v>
      </c>
      <c r="H912" s="15">
        <v>46147</v>
      </c>
      <c r="I912" t="s">
        <v>14</v>
      </c>
      <c r="J912">
        <f>VLOOKUP(E912,'Room Count'!A$2:B$2616,2,FALSE)</f>
        <v>126</v>
      </c>
    </row>
    <row r="913" spans="1:10">
      <c r="A913" s="13" t="s">
        <v>49</v>
      </c>
      <c r="B913" s="13" t="s">
        <v>980</v>
      </c>
      <c r="C913" s="26">
        <v>110297</v>
      </c>
      <c r="D913" s="13" t="s">
        <v>980</v>
      </c>
      <c r="E913" s="13">
        <v>1090</v>
      </c>
      <c r="F913" s="13" t="s">
        <v>22</v>
      </c>
      <c r="G913" s="9" t="e">
        <f>VLOOKUP(B913,'Property Name List'!A$2:D$834,3,FALSE)</f>
        <v>#N/A</v>
      </c>
      <c r="H913" s="15">
        <v>46147</v>
      </c>
      <c r="I913" t="s">
        <v>14</v>
      </c>
      <c r="J913">
        <f>VLOOKUP(E913,'Room Count'!A$2:B$2616,2,FALSE)</f>
        <v>90</v>
      </c>
    </row>
    <row r="914" spans="1:10">
      <c r="A914" s="13" t="s">
        <v>49</v>
      </c>
      <c r="B914" s="13" t="s">
        <v>981</v>
      </c>
      <c r="C914" s="26">
        <v>200803</v>
      </c>
      <c r="D914" s="13" t="s">
        <v>981</v>
      </c>
      <c r="E914" s="13">
        <v>1089</v>
      </c>
      <c r="F914" s="13" t="s">
        <v>20</v>
      </c>
      <c r="G914" s="9" t="e">
        <f>VLOOKUP(B914,'Property Name List'!A$2:D$834,3,FALSE)</f>
        <v>#N/A</v>
      </c>
      <c r="H914" s="15">
        <v>46147</v>
      </c>
      <c r="I914" t="s">
        <v>14</v>
      </c>
      <c r="J914">
        <f>VLOOKUP(E914,'Room Count'!A$2:B$2616,2,FALSE)</f>
        <v>92</v>
      </c>
    </row>
    <row r="915" spans="1:10">
      <c r="A915" s="13" t="s">
        <v>49</v>
      </c>
      <c r="B915" s="13" t="s">
        <v>982</v>
      </c>
      <c r="C915" s="26">
        <v>200801</v>
      </c>
      <c r="D915" s="13" t="s">
        <v>982</v>
      </c>
      <c r="E915" s="13">
        <v>1088</v>
      </c>
      <c r="F915" s="13" t="s">
        <v>20</v>
      </c>
      <c r="G915" s="9" t="e">
        <f>VLOOKUP(B915,'Property Name List'!A$2:D$834,3,FALSE)</f>
        <v>#N/A</v>
      </c>
      <c r="H915" s="15">
        <v>46147</v>
      </c>
      <c r="I915" t="s">
        <v>14</v>
      </c>
      <c r="J915">
        <f>VLOOKUP(E915,'Room Count'!A$2:B$2616,2,FALSE)</f>
        <v>148</v>
      </c>
    </row>
    <row r="916" spans="1:10">
      <c r="A916" s="13" t="s">
        <v>49</v>
      </c>
      <c r="B916" s="13" t="s">
        <v>983</v>
      </c>
      <c r="C916" s="26">
        <v>200799</v>
      </c>
      <c r="D916" s="13" t="s">
        <v>983</v>
      </c>
      <c r="E916" s="13">
        <v>1087</v>
      </c>
      <c r="F916" s="13" t="s">
        <v>20</v>
      </c>
      <c r="G916" s="9" t="e">
        <f>VLOOKUP(B916,'Property Name List'!A$2:D$834,3,FALSE)</f>
        <v>#N/A</v>
      </c>
      <c r="H916" s="15">
        <v>46147</v>
      </c>
      <c r="I916" t="s">
        <v>14</v>
      </c>
      <c r="J916">
        <f>VLOOKUP(E916,'Room Count'!A$2:B$2616,2,FALSE)</f>
        <v>90</v>
      </c>
    </row>
    <row r="917" spans="1:10">
      <c r="A917" s="13" t="s">
        <v>49</v>
      </c>
      <c r="B917" s="13" t="s">
        <v>984</v>
      </c>
      <c r="C917" s="26">
        <v>110295</v>
      </c>
      <c r="D917" s="13" t="s">
        <v>984</v>
      </c>
      <c r="E917" s="13">
        <v>1086</v>
      </c>
      <c r="F917" s="13" t="s">
        <v>22</v>
      </c>
      <c r="G917" s="9" t="e">
        <f>VLOOKUP(B917,'Property Name List'!A$2:D$834,3,FALSE)</f>
        <v>#N/A</v>
      </c>
      <c r="H917" s="15">
        <v>46147</v>
      </c>
      <c r="I917" t="s">
        <v>14</v>
      </c>
      <c r="J917">
        <f>VLOOKUP(E917,'Room Count'!A$2:B$2616,2,FALSE)</f>
        <v>85</v>
      </c>
    </row>
    <row r="918" spans="1:10">
      <c r="A918" s="13" t="s">
        <v>49</v>
      </c>
      <c r="B918" s="13" t="s">
        <v>985</v>
      </c>
      <c r="C918" s="26">
        <v>110293</v>
      </c>
      <c r="D918" s="13" t="s">
        <v>985</v>
      </c>
      <c r="E918" s="13">
        <v>1085</v>
      </c>
      <c r="F918" s="13" t="s">
        <v>22</v>
      </c>
      <c r="G918" s="9" t="e">
        <f>VLOOKUP(B918,'Property Name List'!A$2:D$834,3,FALSE)</f>
        <v>#N/A</v>
      </c>
      <c r="H918" s="15">
        <v>46147</v>
      </c>
      <c r="I918" t="s">
        <v>14</v>
      </c>
      <c r="J918">
        <f>VLOOKUP(E918,'Room Count'!A$2:B$2616,2,FALSE)</f>
        <v>75</v>
      </c>
    </row>
    <row r="919" spans="1:10">
      <c r="A919" s="13" t="s">
        <v>49</v>
      </c>
      <c r="B919" s="13" t="s">
        <v>986</v>
      </c>
      <c r="C919" s="26">
        <v>110291</v>
      </c>
      <c r="D919" s="13" t="s">
        <v>986</v>
      </c>
      <c r="E919" s="13">
        <v>1084</v>
      </c>
      <c r="F919" s="13" t="s">
        <v>22</v>
      </c>
      <c r="G919" s="9" t="e">
        <f>VLOOKUP(B919,'Property Name List'!A$2:D$834,3,FALSE)</f>
        <v>#N/A</v>
      </c>
      <c r="H919" s="15">
        <v>46147</v>
      </c>
      <c r="I919" t="s">
        <v>14</v>
      </c>
      <c r="J919">
        <f>VLOOKUP(E919,'Room Count'!A$2:B$2616,2,FALSE)</f>
        <v>90</v>
      </c>
    </row>
    <row r="920" spans="1:10" hidden="1">
      <c r="A920" s="13" t="s">
        <v>42</v>
      </c>
      <c r="B920" s="13" t="s">
        <v>987</v>
      </c>
      <c r="C920" s="26">
        <v>200797</v>
      </c>
      <c r="D920" s="13" t="s">
        <v>987</v>
      </c>
      <c r="E920" s="13">
        <v>1083</v>
      </c>
      <c r="F920" s="13" t="s">
        <v>20</v>
      </c>
      <c r="G920" s="9" t="e">
        <f>VLOOKUP(B920,'Property Name List'!A$2:D$834,3,FALSE)</f>
        <v>#N/A</v>
      </c>
      <c r="H920" s="13" t="s">
        <v>42</v>
      </c>
      <c r="I920" t="s">
        <v>14</v>
      </c>
      <c r="J920">
        <f>VLOOKUP(E920,'Room Count'!A$2:B$2616,2,FALSE)</f>
        <v>91</v>
      </c>
    </row>
    <row r="921" spans="1:10">
      <c r="A921" s="13" t="s">
        <v>49</v>
      </c>
      <c r="B921" s="13" t="s">
        <v>988</v>
      </c>
      <c r="C921" s="26">
        <v>110289</v>
      </c>
      <c r="D921" s="13" t="s">
        <v>988</v>
      </c>
      <c r="E921" s="13">
        <v>1082</v>
      </c>
      <c r="F921" s="13" t="s">
        <v>22</v>
      </c>
      <c r="G921" s="9" t="e">
        <f>VLOOKUP(B921,'Property Name List'!A$2:D$834,3,FALSE)</f>
        <v>#N/A</v>
      </c>
      <c r="H921" s="15">
        <v>46147</v>
      </c>
      <c r="I921" t="s">
        <v>14</v>
      </c>
      <c r="J921">
        <f>VLOOKUP(E921,'Room Count'!A$2:B$2616,2,FALSE)</f>
        <v>105</v>
      </c>
    </row>
    <row r="922" spans="1:10">
      <c r="A922" s="13" t="s">
        <v>49</v>
      </c>
      <c r="B922" s="13" t="s">
        <v>989</v>
      </c>
      <c r="C922" s="26">
        <v>110287</v>
      </c>
      <c r="D922" s="13" t="s">
        <v>989</v>
      </c>
      <c r="E922" s="13">
        <v>1081</v>
      </c>
      <c r="F922" s="13" t="s">
        <v>22</v>
      </c>
      <c r="G922" s="9" t="e">
        <f>VLOOKUP(B922,'Property Name List'!A$2:D$834,3,FALSE)</f>
        <v>#N/A</v>
      </c>
      <c r="H922" s="15">
        <v>46147</v>
      </c>
      <c r="I922" t="s">
        <v>14</v>
      </c>
      <c r="J922">
        <f>VLOOKUP(E922,'Room Count'!A$2:B$2616,2,FALSE)</f>
        <v>102</v>
      </c>
    </row>
    <row r="923" spans="1:10">
      <c r="A923" s="13" t="s">
        <v>49</v>
      </c>
      <c r="B923" s="13" t="s">
        <v>990</v>
      </c>
      <c r="C923" s="26">
        <v>200795</v>
      </c>
      <c r="D923" s="13" t="s">
        <v>990</v>
      </c>
      <c r="E923" s="13">
        <v>1080</v>
      </c>
      <c r="F923" s="13" t="s">
        <v>20</v>
      </c>
      <c r="G923" s="9" t="e">
        <f>VLOOKUP(B923,'Property Name List'!A$2:D$834,3,FALSE)</f>
        <v>#N/A</v>
      </c>
      <c r="H923" s="15">
        <v>46147</v>
      </c>
      <c r="I923" t="s">
        <v>14</v>
      </c>
      <c r="J923">
        <f>VLOOKUP(E923,'Room Count'!A$2:B$2616,2,FALSE)</f>
        <v>96</v>
      </c>
    </row>
    <row r="924" spans="1:10">
      <c r="A924" s="13" t="s">
        <v>49</v>
      </c>
      <c r="B924" s="13" t="s">
        <v>991</v>
      </c>
      <c r="C924" s="26">
        <v>200793</v>
      </c>
      <c r="D924" s="13" t="s">
        <v>991</v>
      </c>
      <c r="E924" s="13">
        <v>1079</v>
      </c>
      <c r="F924" s="13" t="s">
        <v>20</v>
      </c>
      <c r="G924" s="9" t="e">
        <f>VLOOKUP(B924,'Property Name List'!A$2:D$834,3,FALSE)</f>
        <v>#N/A</v>
      </c>
      <c r="H924" s="15">
        <v>46147</v>
      </c>
      <c r="I924" t="s">
        <v>14</v>
      </c>
      <c r="J924">
        <f>VLOOKUP(E924,'Room Count'!A$2:B$2616,2,FALSE)</f>
        <v>90</v>
      </c>
    </row>
    <row r="925" spans="1:10">
      <c r="A925" s="13" t="s">
        <v>49</v>
      </c>
      <c r="B925" s="13" t="s">
        <v>992</v>
      </c>
      <c r="C925" s="26">
        <v>200791</v>
      </c>
      <c r="D925" s="13" t="s">
        <v>992</v>
      </c>
      <c r="E925" s="13">
        <v>1078</v>
      </c>
      <c r="F925" s="13" t="s">
        <v>20</v>
      </c>
      <c r="G925" s="9" t="e">
        <f>VLOOKUP(B925,'Property Name List'!A$2:D$834,3,FALSE)</f>
        <v>#N/A</v>
      </c>
      <c r="H925" s="15">
        <v>46147</v>
      </c>
      <c r="I925" t="s">
        <v>14</v>
      </c>
      <c r="J925">
        <f>VLOOKUP(E925,'Room Count'!A$2:B$2616,2,FALSE)</f>
        <v>83</v>
      </c>
    </row>
    <row r="926" spans="1:10">
      <c r="A926" s="13" t="s">
        <v>49</v>
      </c>
      <c r="B926" s="13" t="s">
        <v>993</v>
      </c>
      <c r="C926" s="26">
        <v>110285</v>
      </c>
      <c r="D926" s="13" t="s">
        <v>993</v>
      </c>
      <c r="E926" s="13">
        <v>1077</v>
      </c>
      <c r="F926" s="13" t="s">
        <v>22</v>
      </c>
      <c r="G926" s="9" t="e">
        <f>VLOOKUP(B926,'Property Name List'!A$2:D$834,3,FALSE)</f>
        <v>#N/A</v>
      </c>
      <c r="H926" s="15">
        <v>46147</v>
      </c>
      <c r="I926" t="s">
        <v>14</v>
      </c>
      <c r="J926">
        <f>VLOOKUP(E926,'Room Count'!A$2:B$2616,2,FALSE)</f>
        <v>79</v>
      </c>
    </row>
    <row r="927" spans="1:10">
      <c r="A927" s="13" t="s">
        <v>49</v>
      </c>
      <c r="B927" s="13" t="s">
        <v>994</v>
      </c>
      <c r="C927" s="26">
        <v>200789</v>
      </c>
      <c r="D927" s="13" t="s">
        <v>994</v>
      </c>
      <c r="E927" s="13">
        <v>1076</v>
      </c>
      <c r="F927" s="13" t="s">
        <v>20</v>
      </c>
      <c r="G927" s="9" t="e">
        <f>VLOOKUP(B927,'Property Name List'!A$2:D$834,3,FALSE)</f>
        <v>#N/A</v>
      </c>
      <c r="H927" s="15">
        <v>46147</v>
      </c>
      <c r="I927" t="s">
        <v>14</v>
      </c>
      <c r="J927">
        <f>VLOOKUP(E927,'Room Count'!A$2:B$2616,2,FALSE)</f>
        <v>114</v>
      </c>
    </row>
    <row r="928" spans="1:10">
      <c r="A928" s="13" t="s">
        <v>49</v>
      </c>
      <c r="B928" s="13" t="s">
        <v>995</v>
      </c>
      <c r="C928" s="26">
        <v>110283</v>
      </c>
      <c r="D928" s="13" t="s">
        <v>995</v>
      </c>
      <c r="E928" s="13">
        <v>1075</v>
      </c>
      <c r="F928" s="13" t="s">
        <v>22</v>
      </c>
      <c r="G928" s="9" t="e">
        <f>VLOOKUP(B928,'Property Name List'!A$2:D$834,3,FALSE)</f>
        <v>#N/A</v>
      </c>
      <c r="H928" s="15">
        <v>46147</v>
      </c>
      <c r="I928" t="s">
        <v>14</v>
      </c>
      <c r="J928">
        <f>VLOOKUP(E928,'Room Count'!A$2:B$2616,2,FALSE)</f>
        <v>151</v>
      </c>
    </row>
    <row r="929" spans="1:10" hidden="1">
      <c r="A929" s="13" t="s">
        <v>42</v>
      </c>
      <c r="B929" s="13" t="s">
        <v>996</v>
      </c>
      <c r="C929" s="26">
        <v>110281</v>
      </c>
      <c r="D929" s="13" t="s">
        <v>996</v>
      </c>
      <c r="E929" s="13">
        <v>1074</v>
      </c>
      <c r="F929" s="13" t="s">
        <v>22</v>
      </c>
      <c r="G929" s="9" t="e">
        <f>VLOOKUP(B929,'Property Name List'!A$2:D$834,3,FALSE)</f>
        <v>#N/A</v>
      </c>
      <c r="H929" s="13" t="s">
        <v>42</v>
      </c>
      <c r="I929" t="s">
        <v>14</v>
      </c>
      <c r="J929">
        <f>VLOOKUP(E929,'Room Count'!A$2:B$2616,2,FALSE)</f>
        <v>80</v>
      </c>
    </row>
    <row r="930" spans="1:10">
      <c r="A930" s="13" t="s">
        <v>49</v>
      </c>
      <c r="B930" s="13" t="s">
        <v>997</v>
      </c>
      <c r="C930" s="26">
        <v>200787</v>
      </c>
      <c r="D930" s="13" t="s">
        <v>997</v>
      </c>
      <c r="E930" s="13">
        <v>1073</v>
      </c>
      <c r="F930" s="13" t="s">
        <v>20</v>
      </c>
      <c r="G930" s="9" t="e">
        <f>VLOOKUP(B930,'Property Name List'!A$2:D$834,3,FALSE)</f>
        <v>#N/A</v>
      </c>
      <c r="H930" s="15">
        <v>46147</v>
      </c>
      <c r="I930" t="s">
        <v>14</v>
      </c>
      <c r="J930">
        <f>VLOOKUP(E930,'Room Count'!A$2:B$2616,2,FALSE)</f>
        <v>75</v>
      </c>
    </row>
    <row r="931" spans="1:10">
      <c r="A931" s="13" t="s">
        <v>49</v>
      </c>
      <c r="B931" s="13" t="s">
        <v>998</v>
      </c>
      <c r="C931" s="26">
        <v>110279</v>
      </c>
      <c r="D931" s="13" t="s">
        <v>998</v>
      </c>
      <c r="E931" s="13">
        <v>1072</v>
      </c>
      <c r="F931" s="13" t="s">
        <v>22</v>
      </c>
      <c r="G931" s="9" t="e">
        <f>VLOOKUP(B931,'Property Name List'!A$2:D$834,3,FALSE)</f>
        <v>#N/A</v>
      </c>
      <c r="H931" s="15">
        <v>46147</v>
      </c>
      <c r="I931" t="s">
        <v>14</v>
      </c>
      <c r="J931">
        <f>VLOOKUP(E931,'Room Count'!A$2:B$2616,2,FALSE)</f>
        <v>104</v>
      </c>
    </row>
    <row r="932" spans="1:10">
      <c r="A932" s="13" t="s">
        <v>49</v>
      </c>
      <c r="B932" s="13" t="s">
        <v>999</v>
      </c>
      <c r="C932" s="26">
        <v>110277</v>
      </c>
      <c r="D932" s="13" t="s">
        <v>999</v>
      </c>
      <c r="E932" s="13">
        <v>1071</v>
      </c>
      <c r="F932" s="13" t="s">
        <v>22</v>
      </c>
      <c r="G932" s="9" t="e">
        <f>VLOOKUP(B932,'Property Name List'!A$2:D$834,3,FALSE)</f>
        <v>#N/A</v>
      </c>
      <c r="H932" s="15">
        <v>46147</v>
      </c>
      <c r="I932" t="s">
        <v>14</v>
      </c>
      <c r="J932">
        <f>VLOOKUP(E932,'Room Count'!A$2:B$2616,2,FALSE)</f>
        <v>67</v>
      </c>
    </row>
    <row r="933" spans="1:10">
      <c r="A933" s="13" t="s">
        <v>49</v>
      </c>
      <c r="B933" s="13" t="s">
        <v>1000</v>
      </c>
      <c r="C933" s="26">
        <v>110275</v>
      </c>
      <c r="D933" s="13" t="s">
        <v>1000</v>
      </c>
      <c r="E933" s="13">
        <v>1070</v>
      </c>
      <c r="F933" s="13" t="s">
        <v>22</v>
      </c>
      <c r="G933" s="9" t="e">
        <f>VLOOKUP(B933,'Property Name List'!A$2:D$834,3,FALSE)</f>
        <v>#N/A</v>
      </c>
      <c r="H933" s="15">
        <v>46147</v>
      </c>
      <c r="I933" t="s">
        <v>14</v>
      </c>
      <c r="J933">
        <f>VLOOKUP(E933,'Room Count'!A$2:B$2616,2,FALSE)</f>
        <v>95</v>
      </c>
    </row>
    <row r="934" spans="1:10">
      <c r="A934" s="13" t="s">
        <v>49</v>
      </c>
      <c r="B934" s="13" t="s">
        <v>1001</v>
      </c>
      <c r="C934" s="26">
        <v>110273</v>
      </c>
      <c r="D934" s="13" t="s">
        <v>1001</v>
      </c>
      <c r="E934" s="13">
        <v>1069</v>
      </c>
      <c r="F934" s="13" t="s">
        <v>22</v>
      </c>
      <c r="G934" s="9" t="e">
        <f>VLOOKUP(B934,'Property Name List'!A$2:D$834,3,FALSE)</f>
        <v>#N/A</v>
      </c>
      <c r="H934" s="15">
        <v>46147</v>
      </c>
      <c r="I934" t="s">
        <v>14</v>
      </c>
      <c r="J934">
        <f>VLOOKUP(E934,'Room Count'!A$2:B$2616,2,FALSE)</f>
        <v>95</v>
      </c>
    </row>
    <row r="935" spans="1:10">
      <c r="A935" s="13" t="s">
        <v>49</v>
      </c>
      <c r="B935" s="13" t="s">
        <v>1002</v>
      </c>
      <c r="C935" s="26">
        <v>110271</v>
      </c>
      <c r="D935" s="13" t="s">
        <v>1002</v>
      </c>
      <c r="E935" s="13">
        <v>1068</v>
      </c>
      <c r="F935" s="13" t="s">
        <v>22</v>
      </c>
      <c r="G935" s="9" t="e">
        <f>VLOOKUP(B935,'Property Name List'!A$2:D$834,3,FALSE)</f>
        <v>#N/A</v>
      </c>
      <c r="H935" s="15">
        <v>46147</v>
      </c>
      <c r="I935" t="s">
        <v>14</v>
      </c>
      <c r="J935">
        <f>VLOOKUP(E935,'Room Count'!A$2:B$2616,2,FALSE)</f>
        <v>116</v>
      </c>
    </row>
    <row r="936" spans="1:10">
      <c r="A936" s="13" t="s">
        <v>49</v>
      </c>
      <c r="B936" s="13" t="s">
        <v>1003</v>
      </c>
      <c r="C936" s="26">
        <v>110269</v>
      </c>
      <c r="D936" s="13" t="s">
        <v>1003</v>
      </c>
      <c r="E936" s="13">
        <v>1067</v>
      </c>
      <c r="F936" s="13" t="s">
        <v>22</v>
      </c>
      <c r="G936" s="9" t="e">
        <f>VLOOKUP(B936,'Property Name List'!A$2:D$834,3,FALSE)</f>
        <v>#N/A</v>
      </c>
      <c r="H936" s="15">
        <v>46147</v>
      </c>
      <c r="I936" t="s">
        <v>14</v>
      </c>
      <c r="J936">
        <f>VLOOKUP(E936,'Room Count'!A$2:B$2616,2,FALSE)</f>
        <v>107</v>
      </c>
    </row>
    <row r="937" spans="1:10">
      <c r="A937" s="13" t="s">
        <v>49</v>
      </c>
      <c r="B937" s="13" t="s">
        <v>1004</v>
      </c>
      <c r="C937" s="26">
        <v>200785</v>
      </c>
      <c r="D937" s="13" t="s">
        <v>1004</v>
      </c>
      <c r="E937" s="13">
        <v>1066</v>
      </c>
      <c r="F937" s="13" t="s">
        <v>20</v>
      </c>
      <c r="G937" s="9" t="e">
        <f>VLOOKUP(B937,'Property Name List'!A$2:D$834,3,FALSE)</f>
        <v>#N/A</v>
      </c>
      <c r="H937" s="15">
        <v>46147</v>
      </c>
      <c r="I937" t="s">
        <v>14</v>
      </c>
      <c r="J937">
        <f>VLOOKUP(E937,'Room Count'!A$2:B$2616,2,FALSE)</f>
        <v>147</v>
      </c>
    </row>
    <row r="938" spans="1:10">
      <c r="A938" s="13" t="s">
        <v>49</v>
      </c>
      <c r="B938" s="13" t="s">
        <v>1005</v>
      </c>
      <c r="C938" s="26">
        <v>200783</v>
      </c>
      <c r="D938" s="13" t="s">
        <v>1005</v>
      </c>
      <c r="E938" s="13">
        <v>1065</v>
      </c>
      <c r="F938" s="13" t="s">
        <v>20</v>
      </c>
      <c r="G938" s="9" t="e">
        <f>VLOOKUP(B938,'Property Name List'!A$2:D$834,3,FALSE)</f>
        <v>#N/A</v>
      </c>
      <c r="H938" s="15">
        <v>46147</v>
      </c>
      <c r="I938" t="s">
        <v>14</v>
      </c>
      <c r="J938">
        <f>VLOOKUP(E938,'Room Count'!A$2:B$2616,2,FALSE)</f>
        <v>128</v>
      </c>
    </row>
    <row r="939" spans="1:10" hidden="1">
      <c r="A939" s="13" t="s">
        <v>42</v>
      </c>
      <c r="B939" s="13" t="s">
        <v>1006</v>
      </c>
      <c r="C939" s="26">
        <v>110267</v>
      </c>
      <c r="D939" s="13" t="s">
        <v>1006</v>
      </c>
      <c r="E939" s="13">
        <v>1064</v>
      </c>
      <c r="F939" s="13" t="s">
        <v>22</v>
      </c>
      <c r="G939" s="9" t="e">
        <f>VLOOKUP(B939,'Property Name List'!A$2:D$834,3,FALSE)</f>
        <v>#N/A</v>
      </c>
      <c r="H939" s="15">
        <v>46147</v>
      </c>
      <c r="I939" t="s">
        <v>14</v>
      </c>
      <c r="J939">
        <f>VLOOKUP(E939,'Room Count'!A$2:B$2616,2,FALSE)</f>
        <v>76</v>
      </c>
    </row>
    <row r="940" spans="1:10">
      <c r="A940" s="13" t="s">
        <v>49</v>
      </c>
      <c r="B940" s="13" t="s">
        <v>1007</v>
      </c>
      <c r="C940" s="26">
        <v>110265</v>
      </c>
      <c r="D940" s="13" t="s">
        <v>1007</v>
      </c>
      <c r="E940" s="13">
        <v>1063</v>
      </c>
      <c r="F940" s="13" t="s">
        <v>22</v>
      </c>
      <c r="G940" s="9" t="e">
        <f>VLOOKUP(B940,'Property Name List'!A$2:D$834,3,FALSE)</f>
        <v>#N/A</v>
      </c>
      <c r="H940" s="15">
        <v>46147</v>
      </c>
      <c r="I940" t="s">
        <v>14</v>
      </c>
      <c r="J940">
        <f>VLOOKUP(E940,'Room Count'!A$2:B$2616,2,FALSE)</f>
        <v>132</v>
      </c>
    </row>
    <row r="941" spans="1:10">
      <c r="A941" s="13" t="s">
        <v>49</v>
      </c>
      <c r="B941" s="13" t="s">
        <v>1008</v>
      </c>
      <c r="C941" s="26">
        <v>110263</v>
      </c>
      <c r="D941" s="13" t="s">
        <v>1008</v>
      </c>
      <c r="E941" s="13">
        <v>1062</v>
      </c>
      <c r="F941" s="13" t="s">
        <v>22</v>
      </c>
      <c r="G941" s="9" t="e">
        <f>VLOOKUP(B941,'Property Name List'!A$2:D$834,3,FALSE)</f>
        <v>#N/A</v>
      </c>
      <c r="H941" s="15">
        <v>46147</v>
      </c>
      <c r="I941" t="s">
        <v>14</v>
      </c>
      <c r="J941">
        <f>VLOOKUP(E941,'Room Count'!A$2:B$2616,2,FALSE)</f>
        <v>93</v>
      </c>
    </row>
    <row r="942" spans="1:10">
      <c r="A942" s="13" t="s">
        <v>49</v>
      </c>
      <c r="B942" s="13" t="s">
        <v>1009</v>
      </c>
      <c r="C942" s="26">
        <v>110261</v>
      </c>
      <c r="D942" s="13" t="s">
        <v>1009</v>
      </c>
      <c r="E942" s="13">
        <v>1061</v>
      </c>
      <c r="F942" s="13" t="s">
        <v>22</v>
      </c>
      <c r="G942" s="9" t="e">
        <f>VLOOKUP(B942,'Property Name List'!A$2:D$834,3,FALSE)</f>
        <v>#N/A</v>
      </c>
      <c r="H942" s="15">
        <v>46147</v>
      </c>
      <c r="I942" t="s">
        <v>14</v>
      </c>
      <c r="J942">
        <f>VLOOKUP(E942,'Room Count'!A$2:B$2616,2,FALSE)</f>
        <v>77</v>
      </c>
    </row>
    <row r="943" spans="1:10">
      <c r="A943" s="13" t="s">
        <v>49</v>
      </c>
      <c r="B943" s="13" t="s">
        <v>1010</v>
      </c>
      <c r="C943" s="26">
        <v>110259</v>
      </c>
      <c r="D943" s="13" t="s">
        <v>1010</v>
      </c>
      <c r="E943" s="13">
        <v>1060</v>
      </c>
      <c r="F943" s="13" t="s">
        <v>22</v>
      </c>
      <c r="G943" s="9" t="e">
        <f>VLOOKUP(B943,'Property Name List'!A$2:D$834,3,FALSE)</f>
        <v>#N/A</v>
      </c>
      <c r="H943" s="15">
        <v>46147</v>
      </c>
      <c r="I943" t="s">
        <v>14</v>
      </c>
      <c r="J943">
        <f>VLOOKUP(E943,'Room Count'!A$2:B$2616,2,FALSE)</f>
        <v>123</v>
      </c>
    </row>
    <row r="944" spans="1:10">
      <c r="A944" s="13" t="s">
        <v>49</v>
      </c>
      <c r="B944" s="13" t="s">
        <v>1011</v>
      </c>
      <c r="C944" s="26">
        <v>110257</v>
      </c>
      <c r="D944" s="13" t="s">
        <v>1011</v>
      </c>
      <c r="E944" s="13">
        <v>1059</v>
      </c>
      <c r="F944" s="13" t="s">
        <v>22</v>
      </c>
      <c r="G944" s="9" t="e">
        <f>VLOOKUP(B944,'Property Name List'!A$2:D$834,3,FALSE)</f>
        <v>#N/A</v>
      </c>
      <c r="H944" s="15">
        <v>46147</v>
      </c>
      <c r="I944" t="s">
        <v>14</v>
      </c>
      <c r="J944">
        <f>VLOOKUP(E944,'Room Count'!A$2:B$2616,2,FALSE)</f>
        <v>79</v>
      </c>
    </row>
    <row r="945" spans="1:10">
      <c r="A945" s="13" t="s">
        <v>49</v>
      </c>
      <c r="B945" s="13" t="s">
        <v>1012</v>
      </c>
      <c r="C945" s="26">
        <v>200781</v>
      </c>
      <c r="D945" s="13" t="s">
        <v>1012</v>
      </c>
      <c r="E945" s="13">
        <v>1058</v>
      </c>
      <c r="F945" s="13" t="s">
        <v>20</v>
      </c>
      <c r="G945" s="9" t="e">
        <f>VLOOKUP(B945,'Property Name List'!A$2:D$834,3,FALSE)</f>
        <v>#N/A</v>
      </c>
      <c r="H945" s="15">
        <v>46147</v>
      </c>
      <c r="I945" t="s">
        <v>14</v>
      </c>
      <c r="J945">
        <f>VLOOKUP(E945,'Room Count'!A$2:B$2616,2,FALSE)</f>
        <v>144</v>
      </c>
    </row>
    <row r="946" spans="1:10">
      <c r="A946" s="13" t="s">
        <v>49</v>
      </c>
      <c r="B946" s="13" t="s">
        <v>1013</v>
      </c>
      <c r="C946" s="26">
        <v>200779</v>
      </c>
      <c r="D946" s="13" t="s">
        <v>1013</v>
      </c>
      <c r="E946" s="13">
        <v>1057</v>
      </c>
      <c r="F946" s="13" t="s">
        <v>20</v>
      </c>
      <c r="G946" s="9" t="e">
        <f>VLOOKUP(B946,'Property Name List'!A$2:D$834,3,FALSE)</f>
        <v>#N/A</v>
      </c>
      <c r="H946" s="15">
        <v>46147</v>
      </c>
      <c r="I946" t="s">
        <v>14</v>
      </c>
      <c r="J946">
        <f>VLOOKUP(E946,'Room Count'!A$2:B$2616,2,FALSE)</f>
        <v>98</v>
      </c>
    </row>
    <row r="947" spans="1:10">
      <c r="A947" s="13" t="s">
        <v>49</v>
      </c>
      <c r="B947" s="13" t="s">
        <v>1014</v>
      </c>
      <c r="C947" s="26">
        <v>200777</v>
      </c>
      <c r="D947" s="13" t="s">
        <v>1014</v>
      </c>
      <c r="E947" s="13">
        <v>1056</v>
      </c>
      <c r="F947" s="13" t="s">
        <v>20</v>
      </c>
      <c r="G947" s="9" t="e">
        <f>VLOOKUP(B947,'Property Name List'!A$2:D$834,3,FALSE)</f>
        <v>#N/A</v>
      </c>
      <c r="H947" s="15">
        <v>46147</v>
      </c>
      <c r="I947" t="s">
        <v>14</v>
      </c>
      <c r="J947">
        <f>VLOOKUP(E947,'Room Count'!A$2:B$2616,2,FALSE)</f>
        <v>105</v>
      </c>
    </row>
    <row r="948" spans="1:10">
      <c r="A948" s="13" t="s">
        <v>49</v>
      </c>
      <c r="B948" s="13" t="s">
        <v>1015</v>
      </c>
      <c r="C948" s="26">
        <v>110255</v>
      </c>
      <c r="D948" s="13" t="s">
        <v>1015</v>
      </c>
      <c r="E948" s="13">
        <v>1055</v>
      </c>
      <c r="F948" s="13" t="s">
        <v>22</v>
      </c>
      <c r="G948" s="9" t="e">
        <f>VLOOKUP(B948,'Property Name List'!A$2:D$834,3,FALSE)</f>
        <v>#N/A</v>
      </c>
      <c r="H948" s="15">
        <v>46147</v>
      </c>
      <c r="I948" t="s">
        <v>14</v>
      </c>
      <c r="J948">
        <f>VLOOKUP(E948,'Room Count'!A$2:B$2616,2,FALSE)</f>
        <v>89</v>
      </c>
    </row>
    <row r="949" spans="1:10">
      <c r="A949" s="13" t="s">
        <v>49</v>
      </c>
      <c r="B949" s="13" t="s">
        <v>1016</v>
      </c>
      <c r="C949" s="26">
        <v>110253</v>
      </c>
      <c r="D949" s="13" t="s">
        <v>1016</v>
      </c>
      <c r="E949" s="13">
        <v>1054</v>
      </c>
      <c r="F949" s="13" t="s">
        <v>22</v>
      </c>
      <c r="G949" s="9" t="e">
        <f>VLOOKUP(B949,'Property Name List'!A$2:D$834,3,FALSE)</f>
        <v>#N/A</v>
      </c>
      <c r="H949" s="15">
        <v>46147</v>
      </c>
      <c r="I949" t="s">
        <v>14</v>
      </c>
      <c r="J949">
        <f>VLOOKUP(E949,'Room Count'!A$2:B$2616,2,FALSE)</f>
        <v>121</v>
      </c>
    </row>
    <row r="950" spans="1:10">
      <c r="A950" s="13" t="s">
        <v>49</v>
      </c>
      <c r="B950" s="13" t="s">
        <v>1017</v>
      </c>
      <c r="C950" s="26">
        <v>200775</v>
      </c>
      <c r="D950" s="13" t="s">
        <v>1017</v>
      </c>
      <c r="E950" s="13">
        <v>1053</v>
      </c>
      <c r="F950" s="13" t="s">
        <v>20</v>
      </c>
      <c r="G950" s="9" t="e">
        <f>VLOOKUP(B950,'Property Name List'!A$2:D$834,3,FALSE)</f>
        <v>#N/A</v>
      </c>
      <c r="H950" s="15">
        <v>46147</v>
      </c>
      <c r="I950" t="s">
        <v>14</v>
      </c>
      <c r="J950">
        <f>VLOOKUP(E950,'Room Count'!A$2:B$2616,2,FALSE)</f>
        <v>76</v>
      </c>
    </row>
    <row r="951" spans="1:10">
      <c r="A951" s="13" t="s">
        <v>49</v>
      </c>
      <c r="B951" s="13" t="s">
        <v>1018</v>
      </c>
      <c r="C951" s="26">
        <v>200773</v>
      </c>
      <c r="D951" s="13" t="s">
        <v>1018</v>
      </c>
      <c r="E951" s="13">
        <v>1052</v>
      </c>
      <c r="F951" s="13" t="s">
        <v>20</v>
      </c>
      <c r="G951" s="9" t="e">
        <f>VLOOKUP(B951,'Property Name List'!A$2:D$834,3,FALSE)</f>
        <v>#N/A</v>
      </c>
      <c r="H951" s="15">
        <v>46147</v>
      </c>
      <c r="I951" t="s">
        <v>14</v>
      </c>
      <c r="J951">
        <f>VLOOKUP(E951,'Room Count'!A$2:B$2616,2,FALSE)</f>
        <v>140</v>
      </c>
    </row>
    <row r="952" spans="1:10">
      <c r="A952" s="13" t="s">
        <v>49</v>
      </c>
      <c r="B952" s="13" t="s">
        <v>1019</v>
      </c>
      <c r="C952" s="26">
        <v>110251</v>
      </c>
      <c r="D952" s="13" t="s">
        <v>1019</v>
      </c>
      <c r="E952" s="13">
        <v>1051</v>
      </c>
      <c r="F952" s="13" t="s">
        <v>22</v>
      </c>
      <c r="G952" s="9" t="e">
        <f>VLOOKUP(B952,'Property Name List'!A$2:D$834,3,FALSE)</f>
        <v>#N/A</v>
      </c>
      <c r="H952" s="15">
        <v>46147</v>
      </c>
      <c r="I952" t="s">
        <v>14</v>
      </c>
      <c r="J952">
        <f>VLOOKUP(E952,'Room Count'!A$2:B$2616,2,FALSE)</f>
        <v>62</v>
      </c>
    </row>
    <row r="953" spans="1:10">
      <c r="A953" s="13" t="s">
        <v>49</v>
      </c>
      <c r="B953" s="13" t="s">
        <v>1020</v>
      </c>
      <c r="C953" s="26">
        <v>110249</v>
      </c>
      <c r="D953" s="13" t="s">
        <v>1020</v>
      </c>
      <c r="E953" s="13">
        <v>1050</v>
      </c>
      <c r="F953" s="13" t="s">
        <v>22</v>
      </c>
      <c r="G953" s="9" t="e">
        <f>VLOOKUP(B953,'Property Name List'!A$2:D$834,3,FALSE)</f>
        <v>#N/A</v>
      </c>
      <c r="H953" s="15">
        <v>46147</v>
      </c>
      <c r="I953" t="s">
        <v>14</v>
      </c>
      <c r="J953">
        <f>VLOOKUP(E953,'Room Count'!A$2:B$2616,2,FALSE)</f>
        <v>151</v>
      </c>
    </row>
    <row r="954" spans="1:10">
      <c r="A954" s="13" t="s">
        <v>49</v>
      </c>
      <c r="B954" s="13" t="s">
        <v>1021</v>
      </c>
      <c r="C954" s="26">
        <v>110247</v>
      </c>
      <c r="D954" s="13" t="s">
        <v>1021</v>
      </c>
      <c r="E954" s="13">
        <v>1049</v>
      </c>
      <c r="F954" s="13" t="s">
        <v>22</v>
      </c>
      <c r="G954" s="9" t="e">
        <f>VLOOKUP(B954,'Property Name List'!A$2:D$834,3,FALSE)</f>
        <v>#N/A</v>
      </c>
      <c r="H954" s="15">
        <v>46147</v>
      </c>
      <c r="I954" t="s">
        <v>14</v>
      </c>
      <c r="J954">
        <f>VLOOKUP(E954,'Room Count'!A$2:B$2616,2,FALSE)</f>
        <v>82</v>
      </c>
    </row>
    <row r="955" spans="1:10">
      <c r="A955" s="13" t="s">
        <v>49</v>
      </c>
      <c r="B955" s="13" t="s">
        <v>1022</v>
      </c>
      <c r="C955" s="26">
        <v>110245</v>
      </c>
      <c r="D955" s="13" t="s">
        <v>1022</v>
      </c>
      <c r="E955" s="13">
        <v>1048</v>
      </c>
      <c r="F955" s="13" t="s">
        <v>22</v>
      </c>
      <c r="G955" s="9" t="e">
        <f>VLOOKUP(B955,'Property Name List'!A$2:D$834,3,FALSE)</f>
        <v>#N/A</v>
      </c>
      <c r="H955" s="15">
        <v>46147</v>
      </c>
      <c r="I955" t="s">
        <v>14</v>
      </c>
      <c r="J955">
        <f>VLOOKUP(E955,'Room Count'!A$2:B$2616,2,FALSE)</f>
        <v>87</v>
      </c>
    </row>
    <row r="956" spans="1:10">
      <c r="A956" s="13" t="s">
        <v>49</v>
      </c>
      <c r="B956" s="13" t="s">
        <v>1023</v>
      </c>
      <c r="C956" s="26">
        <v>110243</v>
      </c>
      <c r="D956" s="13" t="s">
        <v>1023</v>
      </c>
      <c r="E956" s="13">
        <v>1047</v>
      </c>
      <c r="F956" s="13" t="s">
        <v>22</v>
      </c>
      <c r="G956" s="9" t="e">
        <f>VLOOKUP(B956,'Property Name List'!A$2:D$834,3,FALSE)</f>
        <v>#N/A</v>
      </c>
      <c r="H956" s="15">
        <v>46147</v>
      </c>
      <c r="I956" t="s">
        <v>14</v>
      </c>
      <c r="J956">
        <f>VLOOKUP(E956,'Room Count'!A$2:B$2616,2,FALSE)</f>
        <v>106</v>
      </c>
    </row>
    <row r="957" spans="1:10">
      <c r="A957" s="13" t="s">
        <v>49</v>
      </c>
      <c r="B957" s="13" t="s">
        <v>1024</v>
      </c>
      <c r="C957" s="26">
        <v>200771</v>
      </c>
      <c r="D957" s="13" t="s">
        <v>1024</v>
      </c>
      <c r="E957" s="13">
        <v>1046</v>
      </c>
      <c r="F957" s="13" t="s">
        <v>20</v>
      </c>
      <c r="G957" s="9" t="e">
        <f>VLOOKUP(B957,'Property Name List'!A$2:D$834,3,FALSE)</f>
        <v>#N/A</v>
      </c>
      <c r="H957" s="15">
        <v>46147</v>
      </c>
      <c r="I957" t="s">
        <v>14</v>
      </c>
      <c r="J957">
        <f>VLOOKUP(E957,'Room Count'!A$2:B$2616,2,FALSE)</f>
        <v>92</v>
      </c>
    </row>
    <row r="958" spans="1:10">
      <c r="A958" s="13" t="s">
        <v>49</v>
      </c>
      <c r="B958" s="13" t="s">
        <v>1025</v>
      </c>
      <c r="C958" s="26">
        <v>110241</v>
      </c>
      <c r="D958" s="13" t="s">
        <v>1025</v>
      </c>
      <c r="E958" s="13">
        <v>1045</v>
      </c>
      <c r="F958" s="13" t="s">
        <v>22</v>
      </c>
      <c r="G958" s="9" t="e">
        <f>VLOOKUP(B958,'Property Name List'!A$2:D$834,3,FALSE)</f>
        <v>#N/A</v>
      </c>
      <c r="H958" s="15">
        <v>46147</v>
      </c>
      <c r="I958" t="s">
        <v>14</v>
      </c>
      <c r="J958">
        <f>VLOOKUP(E958,'Room Count'!A$2:B$2616,2,FALSE)</f>
        <v>108</v>
      </c>
    </row>
    <row r="959" spans="1:10">
      <c r="A959" s="13" t="s">
        <v>49</v>
      </c>
      <c r="B959" s="13" t="s">
        <v>1026</v>
      </c>
      <c r="C959" s="26">
        <v>200769</v>
      </c>
      <c r="D959" s="13" t="s">
        <v>1026</v>
      </c>
      <c r="E959" s="13">
        <v>1044</v>
      </c>
      <c r="F959" s="13" t="s">
        <v>20</v>
      </c>
      <c r="G959" s="9" t="e">
        <f>VLOOKUP(B959,'Property Name List'!A$2:D$834,3,FALSE)</f>
        <v>#N/A</v>
      </c>
      <c r="H959" s="15">
        <v>46147</v>
      </c>
      <c r="I959" t="s">
        <v>14</v>
      </c>
      <c r="J959">
        <f>VLOOKUP(E959,'Room Count'!A$2:B$2616,2,FALSE)</f>
        <v>62</v>
      </c>
    </row>
    <row r="960" spans="1:10">
      <c r="A960" s="13" t="s">
        <v>49</v>
      </c>
      <c r="B960" s="13" t="s">
        <v>1027</v>
      </c>
      <c r="C960" s="26">
        <v>110239</v>
      </c>
      <c r="D960" s="13" t="s">
        <v>1027</v>
      </c>
      <c r="E960" s="13">
        <v>1043</v>
      </c>
      <c r="F960" s="13" t="s">
        <v>22</v>
      </c>
      <c r="G960" s="9" t="e">
        <f>VLOOKUP(B960,'Property Name List'!A$2:D$834,3,FALSE)</f>
        <v>#N/A</v>
      </c>
      <c r="H960" s="15">
        <v>46147</v>
      </c>
      <c r="I960" t="s">
        <v>14</v>
      </c>
      <c r="J960">
        <f>VLOOKUP(E960,'Room Count'!A$2:B$2616,2,FALSE)</f>
        <v>120</v>
      </c>
    </row>
    <row r="961" spans="1:10">
      <c r="A961" s="13" t="s">
        <v>49</v>
      </c>
      <c r="B961" s="13" t="s">
        <v>1028</v>
      </c>
      <c r="C961" s="26">
        <v>110237</v>
      </c>
      <c r="D961" s="13" t="s">
        <v>1028</v>
      </c>
      <c r="E961" s="13">
        <v>1042</v>
      </c>
      <c r="F961" s="13" t="s">
        <v>22</v>
      </c>
      <c r="G961" s="9" t="e">
        <f>VLOOKUP(B961,'Property Name List'!A$2:D$834,3,FALSE)</f>
        <v>#N/A</v>
      </c>
      <c r="H961" s="15">
        <v>46147</v>
      </c>
      <c r="I961" t="s">
        <v>14</v>
      </c>
      <c r="J961">
        <f>VLOOKUP(E961,'Room Count'!A$2:B$2616,2,FALSE)</f>
        <v>79</v>
      </c>
    </row>
    <row r="962" spans="1:10">
      <c r="A962" s="13" t="s">
        <v>49</v>
      </c>
      <c r="B962" s="13" t="s">
        <v>1029</v>
      </c>
      <c r="C962" s="26" t="s">
        <v>1030</v>
      </c>
      <c r="D962" s="13" t="s">
        <v>1029</v>
      </c>
      <c r="E962" s="13">
        <v>1041</v>
      </c>
      <c r="F962" s="13" t="s">
        <v>22</v>
      </c>
      <c r="G962" s="9" t="e">
        <f>VLOOKUP(B962,'Property Name List'!A$2:D$834,3,FALSE)</f>
        <v>#N/A</v>
      </c>
      <c r="H962" s="15">
        <v>46147</v>
      </c>
      <c r="I962" t="s">
        <v>14</v>
      </c>
      <c r="J962">
        <f>VLOOKUP(E962,'Room Count'!A$2:B$2616,2,FALSE)</f>
        <v>93</v>
      </c>
    </row>
    <row r="963" spans="1:10">
      <c r="A963" s="13" t="s">
        <v>49</v>
      </c>
      <c r="B963" s="13" t="s">
        <v>1031</v>
      </c>
      <c r="C963" s="26">
        <v>110233</v>
      </c>
      <c r="D963" s="13" t="s">
        <v>1031</v>
      </c>
      <c r="E963" s="13">
        <v>1040</v>
      </c>
      <c r="F963" s="13" t="s">
        <v>22</v>
      </c>
      <c r="G963" s="9" t="e">
        <f>VLOOKUP(B963,'Property Name List'!A$2:D$834,3,FALSE)</f>
        <v>#N/A</v>
      </c>
      <c r="H963" s="15">
        <v>46147</v>
      </c>
      <c r="I963" t="s">
        <v>14</v>
      </c>
      <c r="J963">
        <f>VLOOKUP(E963,'Room Count'!A$2:B$2616,2,FALSE)</f>
        <v>103</v>
      </c>
    </row>
    <row r="964" spans="1:10">
      <c r="A964" s="13" t="s">
        <v>49</v>
      </c>
      <c r="B964" s="13" t="s">
        <v>1032</v>
      </c>
      <c r="C964" s="26">
        <v>200767</v>
      </c>
      <c r="D964" s="13" t="s">
        <v>1032</v>
      </c>
      <c r="E964" s="13">
        <v>1039</v>
      </c>
      <c r="F964" s="13" t="s">
        <v>20</v>
      </c>
      <c r="G964" s="9" t="e">
        <f>VLOOKUP(B964,'Property Name List'!A$2:D$834,3,FALSE)</f>
        <v>#N/A</v>
      </c>
      <c r="H964" s="15">
        <v>46147</v>
      </c>
      <c r="I964" t="s">
        <v>14</v>
      </c>
      <c r="J964">
        <f>VLOOKUP(E964,'Room Count'!A$2:B$2616,2,FALSE)</f>
        <v>86</v>
      </c>
    </row>
    <row r="965" spans="1:10">
      <c r="A965" s="13" t="s">
        <v>49</v>
      </c>
      <c r="B965" s="13" t="s">
        <v>1033</v>
      </c>
      <c r="C965" s="26">
        <v>200765</v>
      </c>
      <c r="D965" s="13" t="s">
        <v>1033</v>
      </c>
      <c r="E965" s="13">
        <v>1038</v>
      </c>
      <c r="F965" s="13" t="s">
        <v>20</v>
      </c>
      <c r="G965" s="9" t="e">
        <f>VLOOKUP(B965,'Property Name List'!A$2:D$834,3,FALSE)</f>
        <v>#N/A</v>
      </c>
      <c r="H965" s="15">
        <v>46147</v>
      </c>
      <c r="I965" t="s">
        <v>14</v>
      </c>
      <c r="J965">
        <f>VLOOKUP(E965,'Room Count'!A$2:B$2616,2,FALSE)</f>
        <v>225</v>
      </c>
    </row>
    <row r="966" spans="1:10">
      <c r="A966" s="13" t="s">
        <v>49</v>
      </c>
      <c r="B966" s="13" t="s">
        <v>1034</v>
      </c>
      <c r="C966" s="26">
        <v>110231</v>
      </c>
      <c r="D966" s="13" t="s">
        <v>1034</v>
      </c>
      <c r="E966" s="13">
        <v>1037</v>
      </c>
      <c r="F966" s="13" t="s">
        <v>22</v>
      </c>
      <c r="G966" s="9" t="e">
        <f>VLOOKUP(B966,'Property Name List'!A$2:D$834,3,FALSE)</f>
        <v>#N/A</v>
      </c>
      <c r="H966" s="15">
        <v>46147</v>
      </c>
      <c r="I966" t="s">
        <v>14</v>
      </c>
      <c r="J966">
        <f>VLOOKUP(E966,'Room Count'!A$2:B$2616,2,FALSE)</f>
        <v>81</v>
      </c>
    </row>
    <row r="967" spans="1:10">
      <c r="A967" s="13" t="s">
        <v>49</v>
      </c>
      <c r="B967" s="13" t="s">
        <v>1035</v>
      </c>
      <c r="C967" s="26">
        <v>200763</v>
      </c>
      <c r="D967" s="13" t="s">
        <v>1035</v>
      </c>
      <c r="E967" s="13">
        <v>1036</v>
      </c>
      <c r="F967" s="13" t="s">
        <v>20</v>
      </c>
      <c r="G967" s="9" t="e">
        <f>VLOOKUP(B967,'Property Name List'!A$2:D$834,3,FALSE)</f>
        <v>#N/A</v>
      </c>
      <c r="H967" s="15">
        <v>46147</v>
      </c>
      <c r="I967" t="s">
        <v>14</v>
      </c>
      <c r="J967">
        <f>VLOOKUP(E967,'Room Count'!A$2:B$2616,2,FALSE)</f>
        <v>110</v>
      </c>
    </row>
    <row r="968" spans="1:10">
      <c r="A968" s="13" t="s">
        <v>49</v>
      </c>
      <c r="B968" s="13" t="s">
        <v>1036</v>
      </c>
      <c r="C968" s="26">
        <v>110229</v>
      </c>
      <c r="D968" s="13" t="s">
        <v>1036</v>
      </c>
      <c r="E968" s="13">
        <v>1035</v>
      </c>
      <c r="F968" s="13" t="s">
        <v>22</v>
      </c>
      <c r="G968" s="9" t="e">
        <f>VLOOKUP(B968,'Property Name List'!A$2:D$834,3,FALSE)</f>
        <v>#N/A</v>
      </c>
      <c r="H968" s="15">
        <v>46147</v>
      </c>
      <c r="I968" t="s">
        <v>14</v>
      </c>
      <c r="J968">
        <f>VLOOKUP(E968,'Room Count'!A$2:B$2616,2,FALSE)</f>
        <v>95</v>
      </c>
    </row>
    <row r="969" spans="1:10">
      <c r="A969" s="13" t="s">
        <v>49</v>
      </c>
      <c r="B969" s="13" t="s">
        <v>1037</v>
      </c>
      <c r="C969" s="26">
        <v>110227</v>
      </c>
      <c r="D969" s="13" t="s">
        <v>1037</v>
      </c>
      <c r="E969" s="13">
        <v>1034</v>
      </c>
      <c r="F969" s="13" t="s">
        <v>22</v>
      </c>
      <c r="G969" s="9" t="e">
        <f>VLOOKUP(B969,'Property Name List'!A$2:D$834,3,FALSE)</f>
        <v>#N/A</v>
      </c>
      <c r="H969" s="15">
        <v>46147</v>
      </c>
      <c r="I969" t="s">
        <v>14</v>
      </c>
      <c r="J969">
        <f>VLOOKUP(E969,'Room Count'!A$2:B$2616,2,FALSE)</f>
        <v>146</v>
      </c>
    </row>
    <row r="970" spans="1:10">
      <c r="A970" s="13" t="s">
        <v>49</v>
      </c>
      <c r="B970" s="13" t="s">
        <v>1038</v>
      </c>
      <c r="C970" s="26">
        <v>110225</v>
      </c>
      <c r="D970" s="13" t="s">
        <v>1038</v>
      </c>
      <c r="E970" s="13">
        <v>1033</v>
      </c>
      <c r="F970" s="13" t="s">
        <v>22</v>
      </c>
      <c r="G970" s="9" t="e">
        <f>VLOOKUP(B970,'Property Name List'!A$2:D$834,3,FALSE)</f>
        <v>#N/A</v>
      </c>
      <c r="H970" s="15">
        <v>46147</v>
      </c>
      <c r="I970" t="s">
        <v>14</v>
      </c>
      <c r="J970">
        <f>VLOOKUP(E970,'Room Count'!A$2:B$2616,2,FALSE)</f>
        <v>82</v>
      </c>
    </row>
    <row r="971" spans="1:10">
      <c r="A971" s="13" t="s">
        <v>49</v>
      </c>
      <c r="B971" s="13" t="s">
        <v>1039</v>
      </c>
      <c r="C971" s="26">
        <v>110223</v>
      </c>
      <c r="D971" s="13" t="s">
        <v>1039</v>
      </c>
      <c r="E971" s="13">
        <v>1032</v>
      </c>
      <c r="F971" s="13" t="s">
        <v>22</v>
      </c>
      <c r="G971" s="9" t="e">
        <f>VLOOKUP(B971,'Property Name List'!A$2:D$834,3,FALSE)</f>
        <v>#N/A</v>
      </c>
      <c r="H971" s="15">
        <v>46147</v>
      </c>
      <c r="I971" t="s">
        <v>14</v>
      </c>
      <c r="J971">
        <f>VLOOKUP(E971,'Room Count'!A$2:B$2616,2,FALSE)</f>
        <v>156</v>
      </c>
    </row>
    <row r="972" spans="1:10">
      <c r="A972" s="13" t="s">
        <v>49</v>
      </c>
      <c r="B972" s="13" t="s">
        <v>1040</v>
      </c>
      <c r="C972" s="26">
        <v>110221</v>
      </c>
      <c r="D972" s="13" t="s">
        <v>1040</v>
      </c>
      <c r="E972" s="13">
        <v>1031</v>
      </c>
      <c r="F972" s="13" t="s">
        <v>22</v>
      </c>
      <c r="G972" s="9" t="e">
        <f>VLOOKUP(B972,'Property Name List'!A$2:D$834,3,FALSE)</f>
        <v>#N/A</v>
      </c>
      <c r="H972" s="15">
        <v>46147</v>
      </c>
      <c r="I972" t="s">
        <v>14</v>
      </c>
      <c r="J972">
        <f>VLOOKUP(E972,'Room Count'!A$2:B$2616,2,FALSE)</f>
        <v>87</v>
      </c>
    </row>
    <row r="973" spans="1:10">
      <c r="A973" s="13" t="s">
        <v>49</v>
      </c>
      <c r="B973" s="13" t="s">
        <v>1041</v>
      </c>
      <c r="C973" s="26">
        <v>110219</v>
      </c>
      <c r="D973" s="13" t="s">
        <v>1041</v>
      </c>
      <c r="E973" s="13">
        <v>1030</v>
      </c>
      <c r="F973" s="13" t="s">
        <v>22</v>
      </c>
      <c r="G973" s="9" t="e">
        <f>VLOOKUP(B973,'Property Name List'!A$2:D$834,3,FALSE)</f>
        <v>#N/A</v>
      </c>
      <c r="H973" s="15">
        <v>46147</v>
      </c>
      <c r="I973" t="s">
        <v>14</v>
      </c>
      <c r="J973">
        <f>VLOOKUP(E973,'Room Count'!A$2:B$2616,2,FALSE)</f>
        <v>89</v>
      </c>
    </row>
    <row r="974" spans="1:10">
      <c r="A974" s="13" t="s">
        <v>49</v>
      </c>
      <c r="B974" s="13" t="s">
        <v>1042</v>
      </c>
      <c r="C974" s="26">
        <v>110217</v>
      </c>
      <c r="D974" s="13" t="s">
        <v>1042</v>
      </c>
      <c r="E974" s="13">
        <v>1029</v>
      </c>
      <c r="F974" s="13" t="s">
        <v>22</v>
      </c>
      <c r="G974" s="9" t="e">
        <f>VLOOKUP(B974,'Property Name List'!A$2:D$834,3,FALSE)</f>
        <v>#N/A</v>
      </c>
      <c r="H974" s="15">
        <v>46147</v>
      </c>
      <c r="I974" t="s">
        <v>14</v>
      </c>
      <c r="J974">
        <f>VLOOKUP(E974,'Room Count'!A$2:B$2616,2,FALSE)</f>
        <v>79</v>
      </c>
    </row>
    <row r="975" spans="1:10">
      <c r="A975" s="13" t="s">
        <v>49</v>
      </c>
      <c r="B975" s="13" t="s">
        <v>1043</v>
      </c>
      <c r="C975" s="26">
        <v>110215</v>
      </c>
      <c r="D975" s="13" t="s">
        <v>1043</v>
      </c>
      <c r="E975" s="13">
        <v>1028</v>
      </c>
      <c r="F975" s="13" t="s">
        <v>22</v>
      </c>
      <c r="G975" s="9" t="e">
        <f>VLOOKUP(B975,'Property Name List'!A$2:D$834,3,FALSE)</f>
        <v>#N/A</v>
      </c>
      <c r="H975" s="15">
        <v>46147</v>
      </c>
      <c r="I975" t="s">
        <v>14</v>
      </c>
      <c r="J975">
        <f>VLOOKUP(E975,'Room Count'!A$2:B$2616,2,FALSE)</f>
        <v>130</v>
      </c>
    </row>
    <row r="976" spans="1:10">
      <c r="A976" s="13" t="s">
        <v>49</v>
      </c>
      <c r="B976" s="13" t="s">
        <v>1044</v>
      </c>
      <c r="C976" s="26">
        <v>110213</v>
      </c>
      <c r="D976" s="13" t="s">
        <v>1044</v>
      </c>
      <c r="E976" s="13">
        <v>1027</v>
      </c>
      <c r="F976" s="13" t="s">
        <v>22</v>
      </c>
      <c r="G976" s="9" t="e">
        <f>VLOOKUP(B976,'Property Name List'!A$2:D$834,3,FALSE)</f>
        <v>#N/A</v>
      </c>
      <c r="H976" s="15">
        <v>46147</v>
      </c>
      <c r="I976" t="s">
        <v>14</v>
      </c>
      <c r="J976">
        <f>VLOOKUP(E976,'Room Count'!A$2:B$2616,2,FALSE)</f>
        <v>84</v>
      </c>
    </row>
    <row r="977" spans="1:10">
      <c r="A977" s="13" t="s">
        <v>49</v>
      </c>
      <c r="B977" s="13" t="s">
        <v>1045</v>
      </c>
      <c r="C977" s="26">
        <v>110211</v>
      </c>
      <c r="D977" s="13" t="s">
        <v>1045</v>
      </c>
      <c r="E977" s="13">
        <v>1026</v>
      </c>
      <c r="F977" s="13" t="s">
        <v>22</v>
      </c>
      <c r="G977" s="9" t="e">
        <f>VLOOKUP(B977,'Property Name List'!A$2:D$834,3,FALSE)</f>
        <v>#N/A</v>
      </c>
      <c r="H977" s="15">
        <v>46147</v>
      </c>
      <c r="I977" t="s">
        <v>14</v>
      </c>
      <c r="J977">
        <f>VLOOKUP(E977,'Room Count'!A$2:B$2616,2,FALSE)</f>
        <v>107</v>
      </c>
    </row>
    <row r="978" spans="1:10">
      <c r="A978" s="13" t="s">
        <v>49</v>
      </c>
      <c r="B978" s="13" t="s">
        <v>1046</v>
      </c>
      <c r="C978" s="26">
        <v>110209</v>
      </c>
      <c r="D978" s="13" t="s">
        <v>1046</v>
      </c>
      <c r="E978" s="13">
        <v>1025</v>
      </c>
      <c r="F978" s="13" t="s">
        <v>22</v>
      </c>
      <c r="G978" s="9" t="e">
        <f>VLOOKUP(B978,'Property Name List'!A$2:D$834,3,FALSE)</f>
        <v>#N/A</v>
      </c>
      <c r="H978" s="15">
        <v>46147</v>
      </c>
      <c r="I978" t="s">
        <v>14</v>
      </c>
      <c r="J978">
        <f>VLOOKUP(E978,'Room Count'!A$2:B$2616,2,FALSE)</f>
        <v>147</v>
      </c>
    </row>
    <row r="979" spans="1:10">
      <c r="A979" s="13" t="s">
        <v>49</v>
      </c>
      <c r="B979" s="13" t="s">
        <v>1047</v>
      </c>
      <c r="C979" s="26">
        <v>110207</v>
      </c>
      <c r="D979" s="13" t="s">
        <v>1047</v>
      </c>
      <c r="E979" s="13">
        <v>1024</v>
      </c>
      <c r="F979" s="13" t="s">
        <v>22</v>
      </c>
      <c r="G979" s="9" t="e">
        <f>VLOOKUP(B979,'Property Name List'!A$2:D$834,3,FALSE)</f>
        <v>#N/A</v>
      </c>
      <c r="H979" s="15">
        <v>46147</v>
      </c>
      <c r="I979" t="s">
        <v>14</v>
      </c>
      <c r="J979">
        <f>VLOOKUP(E979,'Room Count'!A$2:B$2616,2,FALSE)</f>
        <v>62</v>
      </c>
    </row>
    <row r="980" spans="1:10">
      <c r="A980" s="13" t="s">
        <v>49</v>
      </c>
      <c r="B980" s="13" t="s">
        <v>1048</v>
      </c>
      <c r="C980" s="26">
        <v>110205</v>
      </c>
      <c r="D980" s="13" t="s">
        <v>1048</v>
      </c>
      <c r="E980" s="13">
        <v>1023</v>
      </c>
      <c r="F980" s="13" t="s">
        <v>22</v>
      </c>
      <c r="G980" s="9" t="e">
        <f>VLOOKUP(B980,'Property Name List'!A$2:D$834,3,FALSE)</f>
        <v>#N/A</v>
      </c>
      <c r="H980" s="15">
        <v>46147</v>
      </c>
      <c r="I980" t="s">
        <v>14</v>
      </c>
      <c r="J980">
        <f>VLOOKUP(E980,'Room Count'!A$2:B$2616,2,FALSE)</f>
        <v>157</v>
      </c>
    </row>
    <row r="981" spans="1:10">
      <c r="A981" s="13" t="s">
        <v>49</v>
      </c>
      <c r="B981" s="13" t="s">
        <v>1049</v>
      </c>
      <c r="C981" s="26">
        <v>110203</v>
      </c>
      <c r="D981" s="13" t="s">
        <v>1049</v>
      </c>
      <c r="E981" s="13">
        <v>1022</v>
      </c>
      <c r="F981" s="13" t="s">
        <v>22</v>
      </c>
      <c r="G981" s="9" t="e">
        <f>VLOOKUP(B981,'Property Name List'!A$2:D$834,3,FALSE)</f>
        <v>#N/A</v>
      </c>
      <c r="H981" s="15">
        <v>46147</v>
      </c>
      <c r="I981" t="s">
        <v>14</v>
      </c>
      <c r="J981">
        <f>VLOOKUP(E981,'Room Count'!A$2:B$2616,2,FALSE)</f>
        <v>108</v>
      </c>
    </row>
    <row r="982" spans="1:10">
      <c r="A982" s="13" t="s">
        <v>49</v>
      </c>
      <c r="B982" s="13" t="s">
        <v>1050</v>
      </c>
      <c r="C982" s="26">
        <v>110201</v>
      </c>
      <c r="D982" s="13" t="s">
        <v>1050</v>
      </c>
      <c r="E982" s="13">
        <v>1021</v>
      </c>
      <c r="F982" s="13" t="s">
        <v>22</v>
      </c>
      <c r="G982" s="9" t="e">
        <f>VLOOKUP(B982,'Property Name List'!A$2:D$834,3,FALSE)</f>
        <v>#N/A</v>
      </c>
      <c r="H982" s="15">
        <v>46147</v>
      </c>
      <c r="I982" t="s">
        <v>14</v>
      </c>
      <c r="J982">
        <f>VLOOKUP(E982,'Room Count'!A$2:B$2616,2,FALSE)</f>
        <v>110</v>
      </c>
    </row>
    <row r="983" spans="1:10">
      <c r="A983" s="13" t="s">
        <v>49</v>
      </c>
      <c r="B983" s="13" t="s">
        <v>1051</v>
      </c>
      <c r="C983" s="26">
        <v>110199</v>
      </c>
      <c r="D983" s="13" t="s">
        <v>1051</v>
      </c>
      <c r="E983" s="13">
        <v>1020</v>
      </c>
      <c r="F983" s="13" t="s">
        <v>22</v>
      </c>
      <c r="G983" s="9" t="e">
        <f>VLOOKUP(B983,'Property Name List'!A$2:D$834,3,FALSE)</f>
        <v>#N/A</v>
      </c>
      <c r="H983" s="15">
        <v>46147</v>
      </c>
      <c r="I983" t="s">
        <v>14</v>
      </c>
      <c r="J983">
        <f>VLOOKUP(E983,'Room Count'!A$2:B$2616,2,FALSE)</f>
        <v>87</v>
      </c>
    </row>
    <row r="984" spans="1:10">
      <c r="A984" s="13" t="s">
        <v>49</v>
      </c>
      <c r="B984" s="13" t="s">
        <v>1052</v>
      </c>
      <c r="C984" s="26">
        <v>110197</v>
      </c>
      <c r="D984" s="13" t="s">
        <v>1052</v>
      </c>
      <c r="E984" s="13">
        <v>1019</v>
      </c>
      <c r="F984" s="13" t="s">
        <v>22</v>
      </c>
      <c r="G984" s="9" t="e">
        <f>VLOOKUP(B984,'Property Name List'!A$2:D$834,3,FALSE)</f>
        <v>#N/A</v>
      </c>
      <c r="H984" s="15">
        <v>46147</v>
      </c>
      <c r="I984" t="s">
        <v>14</v>
      </c>
      <c r="J984">
        <f>VLOOKUP(E984,'Room Count'!A$2:B$2616,2,FALSE)</f>
        <v>76</v>
      </c>
    </row>
    <row r="985" spans="1:10">
      <c r="A985" s="13" t="s">
        <v>49</v>
      </c>
      <c r="B985" s="13" t="s">
        <v>1053</v>
      </c>
      <c r="C985" s="26">
        <v>110195</v>
      </c>
      <c r="D985" s="13" t="s">
        <v>1053</v>
      </c>
      <c r="E985" s="13">
        <v>1018</v>
      </c>
      <c r="F985" s="13" t="s">
        <v>22</v>
      </c>
      <c r="G985" s="9" t="e">
        <f>VLOOKUP(B985,'Property Name List'!A$2:D$834,3,FALSE)</f>
        <v>#N/A</v>
      </c>
      <c r="H985" s="15">
        <v>46147</v>
      </c>
      <c r="I985" t="s">
        <v>14</v>
      </c>
      <c r="J985">
        <f>VLOOKUP(E985,'Room Count'!A$2:B$2616,2,FALSE)</f>
        <v>118</v>
      </c>
    </row>
    <row r="986" spans="1:10">
      <c r="A986" s="13" t="s">
        <v>49</v>
      </c>
      <c r="B986" s="13" t="s">
        <v>1054</v>
      </c>
      <c r="C986" s="26">
        <v>110193</v>
      </c>
      <c r="D986" s="13" t="s">
        <v>1054</v>
      </c>
      <c r="E986" s="13">
        <v>1017</v>
      </c>
      <c r="F986" s="13" t="s">
        <v>22</v>
      </c>
      <c r="G986" s="9" t="e">
        <f>VLOOKUP(B986,'Property Name List'!A$2:D$834,3,FALSE)</f>
        <v>#N/A</v>
      </c>
      <c r="H986" s="15">
        <v>46147</v>
      </c>
      <c r="I986" t="s">
        <v>14</v>
      </c>
      <c r="J986">
        <f>VLOOKUP(E986,'Room Count'!A$2:B$2616,2,FALSE)</f>
        <v>63</v>
      </c>
    </row>
    <row r="987" spans="1:10">
      <c r="A987" s="13" t="s">
        <v>49</v>
      </c>
      <c r="B987" s="13" t="s">
        <v>1055</v>
      </c>
      <c r="C987" s="26">
        <v>110191</v>
      </c>
      <c r="D987" s="13" t="s">
        <v>1055</v>
      </c>
      <c r="E987" s="13">
        <v>1016</v>
      </c>
      <c r="F987" s="13" t="s">
        <v>22</v>
      </c>
      <c r="G987" s="9" t="e">
        <f>VLOOKUP(B987,'Property Name List'!A$2:D$834,3,FALSE)</f>
        <v>#N/A</v>
      </c>
      <c r="H987" s="15">
        <v>46147</v>
      </c>
      <c r="I987" t="s">
        <v>14</v>
      </c>
      <c r="J987">
        <f>VLOOKUP(E987,'Room Count'!A$2:B$2616,2,FALSE)</f>
        <v>232</v>
      </c>
    </row>
    <row r="988" spans="1:10">
      <c r="A988" s="13" t="s">
        <v>49</v>
      </c>
      <c r="B988" s="13" t="s">
        <v>1056</v>
      </c>
      <c r="C988" s="26">
        <v>110189</v>
      </c>
      <c r="D988" s="13" t="s">
        <v>1056</v>
      </c>
      <c r="E988" s="13">
        <v>1015</v>
      </c>
      <c r="F988" s="13" t="s">
        <v>22</v>
      </c>
      <c r="G988" s="9" t="e">
        <f>VLOOKUP(B988,'Property Name List'!A$2:D$834,3,FALSE)</f>
        <v>#N/A</v>
      </c>
      <c r="H988" s="15">
        <v>46147</v>
      </c>
      <c r="I988" t="s">
        <v>14</v>
      </c>
      <c r="J988">
        <f>VLOOKUP(E988,'Room Count'!A$2:B$2616,2,FALSE)</f>
        <v>122</v>
      </c>
    </row>
    <row r="989" spans="1:10">
      <c r="A989" s="13" t="s">
        <v>49</v>
      </c>
      <c r="B989" s="13" t="s">
        <v>1057</v>
      </c>
      <c r="C989" s="26">
        <v>110187</v>
      </c>
      <c r="D989" s="13" t="s">
        <v>1057</v>
      </c>
      <c r="E989" s="13">
        <v>1014</v>
      </c>
      <c r="F989" s="13" t="s">
        <v>22</v>
      </c>
      <c r="G989" s="9" t="e">
        <f>VLOOKUP(B989,'Property Name List'!A$2:D$834,3,FALSE)</f>
        <v>#N/A</v>
      </c>
      <c r="H989" s="15">
        <v>46147</v>
      </c>
      <c r="I989" t="s">
        <v>14</v>
      </c>
      <c r="J989">
        <f>VLOOKUP(E989,'Room Count'!A$2:B$2616,2,FALSE)</f>
        <v>90</v>
      </c>
    </row>
    <row r="990" spans="1:10">
      <c r="A990" s="13" t="s">
        <v>49</v>
      </c>
      <c r="B990" s="13" t="s">
        <v>1058</v>
      </c>
      <c r="C990" s="26">
        <v>110185</v>
      </c>
      <c r="D990" s="13" t="s">
        <v>1058</v>
      </c>
      <c r="E990" s="13">
        <v>1013</v>
      </c>
      <c r="F990" s="13" t="s">
        <v>22</v>
      </c>
      <c r="G990" s="9" t="e">
        <f>VLOOKUP(B990,'Property Name List'!A$2:D$834,3,FALSE)</f>
        <v>#N/A</v>
      </c>
      <c r="H990" s="15">
        <v>46147</v>
      </c>
      <c r="I990" t="s">
        <v>14</v>
      </c>
      <c r="J990">
        <f>VLOOKUP(E990,'Room Count'!A$2:B$2616,2,FALSE)</f>
        <v>96</v>
      </c>
    </row>
    <row r="991" spans="1:10">
      <c r="A991" s="13" t="s">
        <v>49</v>
      </c>
      <c r="B991" s="13" t="s">
        <v>1059</v>
      </c>
      <c r="C991" s="26">
        <v>110183</v>
      </c>
      <c r="D991" s="13" t="s">
        <v>1059</v>
      </c>
      <c r="E991" s="13">
        <v>1012</v>
      </c>
      <c r="F991" s="13" t="s">
        <v>22</v>
      </c>
      <c r="G991" s="9" t="e">
        <f>VLOOKUP(B991,'Property Name List'!A$2:D$834,3,FALSE)</f>
        <v>#N/A</v>
      </c>
      <c r="H991" s="15">
        <v>46147</v>
      </c>
      <c r="I991" t="s">
        <v>14</v>
      </c>
      <c r="J991">
        <f>VLOOKUP(E991,'Room Count'!A$2:B$2616,2,FALSE)</f>
        <v>106</v>
      </c>
    </row>
    <row r="992" spans="1:10">
      <c r="A992" s="13" t="s">
        <v>49</v>
      </c>
      <c r="B992" s="13" t="s">
        <v>1060</v>
      </c>
      <c r="C992" s="26">
        <v>110179</v>
      </c>
      <c r="D992" s="13" t="s">
        <v>1060</v>
      </c>
      <c r="E992" s="13">
        <v>1010</v>
      </c>
      <c r="F992" s="13" t="s">
        <v>22</v>
      </c>
      <c r="G992" s="9" t="e">
        <f>VLOOKUP(B992,'Property Name List'!A$2:D$834,3,FALSE)</f>
        <v>#N/A</v>
      </c>
      <c r="H992" s="15">
        <v>46147</v>
      </c>
      <c r="I992" t="s">
        <v>14</v>
      </c>
      <c r="J992">
        <f>VLOOKUP(E992,'Room Count'!A$2:B$2616,2,FALSE)</f>
        <v>63</v>
      </c>
    </row>
    <row r="993" spans="1:10">
      <c r="A993" s="13" t="s">
        <v>49</v>
      </c>
      <c r="B993" s="13" t="s">
        <v>1061</v>
      </c>
      <c r="C993" s="26">
        <v>110177</v>
      </c>
      <c r="D993" s="13" t="s">
        <v>1061</v>
      </c>
      <c r="E993" s="13">
        <v>1009</v>
      </c>
      <c r="F993" s="13" t="s">
        <v>22</v>
      </c>
      <c r="G993" s="9" t="e">
        <f>VLOOKUP(B993,'Property Name List'!A$2:D$834,3,FALSE)</f>
        <v>#N/A</v>
      </c>
      <c r="H993" s="15">
        <v>46147</v>
      </c>
      <c r="I993" t="s">
        <v>14</v>
      </c>
      <c r="J993">
        <f>VLOOKUP(E993,'Room Count'!A$2:B$2616,2,FALSE)</f>
        <v>104</v>
      </c>
    </row>
    <row r="994" spans="1:10">
      <c r="A994" s="13" t="s">
        <v>49</v>
      </c>
      <c r="B994" s="13" t="s">
        <v>1062</v>
      </c>
      <c r="C994" s="26">
        <v>110175</v>
      </c>
      <c r="D994" s="13" t="s">
        <v>1062</v>
      </c>
      <c r="E994" s="13">
        <v>1008</v>
      </c>
      <c r="F994" s="13" t="s">
        <v>22</v>
      </c>
      <c r="G994" s="9" t="e">
        <f>VLOOKUP(B994,'Property Name List'!A$2:D$834,3,FALSE)</f>
        <v>#N/A</v>
      </c>
      <c r="H994" s="15">
        <v>46147</v>
      </c>
      <c r="I994" t="s">
        <v>14</v>
      </c>
      <c r="J994">
        <f>VLOOKUP(E994,'Room Count'!A$2:B$2616,2,FALSE)</f>
        <v>76</v>
      </c>
    </row>
    <row r="995" spans="1:10">
      <c r="A995" s="13" t="s">
        <v>49</v>
      </c>
      <c r="B995" s="13" t="s">
        <v>1063</v>
      </c>
      <c r="C995" s="26">
        <v>110173</v>
      </c>
      <c r="D995" s="13" t="s">
        <v>1063</v>
      </c>
      <c r="E995" s="13">
        <v>1007</v>
      </c>
      <c r="F995" s="13" t="s">
        <v>22</v>
      </c>
      <c r="G995" s="9" t="e">
        <f>VLOOKUP(B995,'Property Name List'!A$2:D$834,3,FALSE)</f>
        <v>#N/A</v>
      </c>
      <c r="H995" s="15">
        <v>46147</v>
      </c>
      <c r="I995" t="s">
        <v>14</v>
      </c>
      <c r="J995">
        <f>VLOOKUP(E995,'Room Count'!A$2:B$2616,2,FALSE)</f>
        <v>96</v>
      </c>
    </row>
    <row r="996" spans="1:10">
      <c r="A996" s="13" t="s">
        <v>49</v>
      </c>
      <c r="B996" s="13" t="s">
        <v>1064</v>
      </c>
      <c r="C996" s="26">
        <v>110171</v>
      </c>
      <c r="D996" s="13" t="s">
        <v>1064</v>
      </c>
      <c r="E996" s="13">
        <v>1006</v>
      </c>
      <c r="F996" s="13" t="s">
        <v>22</v>
      </c>
      <c r="G996" s="9" t="e">
        <f>VLOOKUP(B996,'Property Name List'!A$2:D$834,3,FALSE)</f>
        <v>#N/A</v>
      </c>
      <c r="H996" s="15">
        <v>46147</v>
      </c>
      <c r="I996" t="s">
        <v>14</v>
      </c>
      <c r="J996">
        <f>VLOOKUP(E996,'Room Count'!A$2:B$2616,2,FALSE)</f>
        <v>90</v>
      </c>
    </row>
    <row r="997" spans="1:10">
      <c r="A997" s="13" t="s">
        <v>49</v>
      </c>
      <c r="B997" s="13" t="s">
        <v>1065</v>
      </c>
      <c r="C997" s="26">
        <v>110169</v>
      </c>
      <c r="D997" s="13" t="s">
        <v>1065</v>
      </c>
      <c r="E997" s="13">
        <v>1005</v>
      </c>
      <c r="F997" s="13" t="s">
        <v>22</v>
      </c>
      <c r="G997" s="9" t="e">
        <f>VLOOKUP(B997,'Property Name List'!A$2:D$834,3,FALSE)</f>
        <v>#N/A</v>
      </c>
      <c r="H997" s="15">
        <v>46147</v>
      </c>
      <c r="I997" t="s">
        <v>14</v>
      </c>
      <c r="J997">
        <f>VLOOKUP(E997,'Room Count'!A$2:B$2616,2,FALSE)</f>
        <v>109</v>
      </c>
    </row>
    <row r="998" spans="1:10">
      <c r="A998" s="13" t="s">
        <v>49</v>
      </c>
      <c r="B998" s="13" t="s">
        <v>1066</v>
      </c>
      <c r="C998" s="26">
        <v>110167</v>
      </c>
      <c r="D998" s="13" t="s">
        <v>1066</v>
      </c>
      <c r="E998" s="13">
        <v>1004</v>
      </c>
      <c r="F998" s="13" t="s">
        <v>22</v>
      </c>
      <c r="G998" s="9" t="e">
        <f>VLOOKUP(B998,'Property Name List'!A$2:D$834,3,FALSE)</f>
        <v>#N/A</v>
      </c>
      <c r="H998" s="15">
        <v>46147</v>
      </c>
      <c r="I998" t="s">
        <v>14</v>
      </c>
      <c r="J998">
        <f>VLOOKUP(E998,'Room Count'!A$2:B$2616,2,FALSE)</f>
        <v>239</v>
      </c>
    </row>
    <row r="999" spans="1:10">
      <c r="A999" s="13" t="s">
        <v>49</v>
      </c>
      <c r="B999" s="13" t="s">
        <v>1067</v>
      </c>
      <c r="C999" s="26">
        <v>110165</v>
      </c>
      <c r="D999" s="13" t="s">
        <v>1067</v>
      </c>
      <c r="E999" s="13">
        <v>1003</v>
      </c>
      <c r="F999" s="13" t="s">
        <v>22</v>
      </c>
      <c r="G999" s="9" t="e">
        <f>VLOOKUP(B999,'Property Name List'!A$2:D$834,3,FALSE)</f>
        <v>#N/A</v>
      </c>
      <c r="H999" s="15">
        <v>46147</v>
      </c>
      <c r="I999" t="s">
        <v>14</v>
      </c>
      <c r="J999">
        <f>VLOOKUP(E999,'Room Count'!A$2:B$2616,2,FALSE)</f>
        <v>100</v>
      </c>
    </row>
    <row r="1000" spans="1:10">
      <c r="A1000" s="13" t="s">
        <v>49</v>
      </c>
      <c r="B1000" s="13" t="s">
        <v>1068</v>
      </c>
      <c r="C1000" s="26">
        <v>110163</v>
      </c>
      <c r="D1000" s="13" t="s">
        <v>1068</v>
      </c>
      <c r="E1000" s="13">
        <v>1002</v>
      </c>
      <c r="F1000" s="13" t="s">
        <v>22</v>
      </c>
      <c r="G1000" s="9" t="e">
        <f>VLOOKUP(B1000,'Property Name List'!A$2:D$834,3,FALSE)</f>
        <v>#N/A</v>
      </c>
      <c r="H1000" s="15">
        <v>46147</v>
      </c>
      <c r="I1000" t="s">
        <v>14</v>
      </c>
      <c r="J1000">
        <f>VLOOKUP(E1000,'Room Count'!A$2:B$2616,2,FALSE)</f>
        <v>102</v>
      </c>
    </row>
    <row r="1001" spans="1:10">
      <c r="A1001" s="13" t="s">
        <v>49</v>
      </c>
      <c r="B1001" s="13" t="s">
        <v>1069</v>
      </c>
      <c r="C1001" s="26">
        <v>110161</v>
      </c>
      <c r="D1001" s="13" t="s">
        <v>1069</v>
      </c>
      <c r="E1001" s="13">
        <v>1001</v>
      </c>
      <c r="F1001" s="13" t="s">
        <v>22</v>
      </c>
      <c r="G1001" s="9" t="e">
        <f>VLOOKUP(B1001,'Property Name List'!A$2:D$834,3,FALSE)</f>
        <v>#N/A</v>
      </c>
      <c r="H1001" s="15">
        <v>46147</v>
      </c>
      <c r="I1001" t="s">
        <v>14</v>
      </c>
      <c r="J1001">
        <f>VLOOKUP(E1001,'Room Count'!A$2:B$2616,2,FALSE)</f>
        <v>73</v>
      </c>
    </row>
    <row r="1002" spans="1:10">
      <c r="A1002" s="13" t="s">
        <v>49</v>
      </c>
      <c r="B1002" s="13" t="s">
        <v>1070</v>
      </c>
      <c r="C1002" s="26">
        <v>110159</v>
      </c>
      <c r="D1002" s="13" t="s">
        <v>1070</v>
      </c>
      <c r="E1002" s="13">
        <v>1000</v>
      </c>
      <c r="F1002" s="13" t="s">
        <v>22</v>
      </c>
      <c r="G1002" s="9" t="e">
        <f>VLOOKUP(B1002,'Property Name List'!A$2:D$834,3,FALSE)</f>
        <v>#N/A</v>
      </c>
      <c r="H1002" s="15">
        <v>46147</v>
      </c>
      <c r="I1002" t="s">
        <v>14</v>
      </c>
      <c r="J1002">
        <f>VLOOKUP(E1002,'Room Count'!A$2:B$2616,2,FALSE)</f>
        <v>48</v>
      </c>
    </row>
    <row r="1003" spans="1:10">
      <c r="A1003" s="13" t="s">
        <v>49</v>
      </c>
      <c r="B1003" s="13" t="s">
        <v>1071</v>
      </c>
      <c r="C1003" s="26">
        <v>110157</v>
      </c>
      <c r="D1003" s="13" t="s">
        <v>1071</v>
      </c>
      <c r="E1003" s="13">
        <v>999</v>
      </c>
      <c r="F1003" s="13" t="s">
        <v>22</v>
      </c>
      <c r="G1003" s="9" t="e">
        <f>VLOOKUP(B1003,'Property Name List'!A$2:D$834,3,FALSE)</f>
        <v>#N/A</v>
      </c>
      <c r="H1003" s="15">
        <v>46147</v>
      </c>
      <c r="I1003" t="s">
        <v>14</v>
      </c>
      <c r="J1003">
        <f>VLOOKUP(E1003,'Room Count'!A$2:B$2616,2,FALSE)</f>
        <v>189</v>
      </c>
    </row>
    <row r="1004" spans="1:10">
      <c r="A1004" s="13" t="s">
        <v>49</v>
      </c>
      <c r="B1004" s="13" t="s">
        <v>1072</v>
      </c>
      <c r="C1004" s="26">
        <v>110155</v>
      </c>
      <c r="D1004" s="13" t="s">
        <v>1072</v>
      </c>
      <c r="E1004" s="13">
        <v>998</v>
      </c>
      <c r="F1004" s="13" t="s">
        <v>22</v>
      </c>
      <c r="G1004" s="9" t="e">
        <f>VLOOKUP(B1004,'Property Name List'!A$2:D$834,3,FALSE)</f>
        <v>#N/A</v>
      </c>
      <c r="H1004" s="15">
        <v>46147</v>
      </c>
      <c r="I1004" t="s">
        <v>14</v>
      </c>
      <c r="J1004">
        <f>VLOOKUP(E1004,'Room Count'!A$2:B$2616,2,FALSE)</f>
        <v>104</v>
      </c>
    </row>
    <row r="1005" spans="1:10">
      <c r="A1005" s="13" t="s">
        <v>49</v>
      </c>
      <c r="B1005" s="13" t="s">
        <v>1073</v>
      </c>
      <c r="C1005" s="26">
        <v>110153</v>
      </c>
      <c r="D1005" s="13" t="s">
        <v>1073</v>
      </c>
      <c r="E1005" s="13">
        <v>997</v>
      </c>
      <c r="F1005" s="13" t="s">
        <v>22</v>
      </c>
      <c r="G1005" s="9" t="e">
        <f>VLOOKUP(B1005,'Property Name List'!A$2:D$834,3,FALSE)</f>
        <v>#N/A</v>
      </c>
      <c r="H1005" s="15">
        <v>46147</v>
      </c>
      <c r="I1005" t="s">
        <v>14</v>
      </c>
      <c r="J1005">
        <f>VLOOKUP(E1005,'Room Count'!A$2:B$2616,2,FALSE)</f>
        <v>93</v>
      </c>
    </row>
    <row r="1006" spans="1:10">
      <c r="A1006" s="13" t="s">
        <v>49</v>
      </c>
      <c r="B1006" s="13" t="s">
        <v>1074</v>
      </c>
      <c r="C1006" s="26">
        <v>110151</v>
      </c>
      <c r="D1006" s="13" t="s">
        <v>1074</v>
      </c>
      <c r="E1006" s="13">
        <v>996</v>
      </c>
      <c r="F1006" s="13" t="s">
        <v>22</v>
      </c>
      <c r="G1006" s="9" t="e">
        <f>VLOOKUP(B1006,'Property Name List'!A$2:D$834,3,FALSE)</f>
        <v>#N/A</v>
      </c>
      <c r="H1006" s="15">
        <v>46147</v>
      </c>
      <c r="I1006" t="s">
        <v>14</v>
      </c>
      <c r="J1006">
        <f>VLOOKUP(E1006,'Room Count'!A$2:B$2616,2,FALSE)</f>
        <v>103</v>
      </c>
    </row>
    <row r="1007" spans="1:10">
      <c r="A1007" s="13" t="s">
        <v>49</v>
      </c>
      <c r="B1007" s="13" t="s">
        <v>1075</v>
      </c>
      <c r="C1007" s="26">
        <v>110149</v>
      </c>
      <c r="D1007" s="13" t="s">
        <v>1075</v>
      </c>
      <c r="E1007" s="13">
        <v>995</v>
      </c>
      <c r="F1007" s="13" t="s">
        <v>22</v>
      </c>
      <c r="G1007" s="9" t="e">
        <f>VLOOKUP(B1007,'Property Name List'!A$2:D$834,3,FALSE)</f>
        <v>#N/A</v>
      </c>
      <c r="H1007" s="15">
        <v>46147</v>
      </c>
      <c r="I1007" t="s">
        <v>14</v>
      </c>
      <c r="J1007">
        <f>VLOOKUP(E1007,'Room Count'!A$2:B$2616,2,FALSE)</f>
        <v>125</v>
      </c>
    </row>
    <row r="1008" spans="1:10">
      <c r="A1008" s="13" t="s">
        <v>49</v>
      </c>
      <c r="B1008" s="13" t="s">
        <v>1076</v>
      </c>
      <c r="C1008" s="26">
        <v>110147</v>
      </c>
      <c r="D1008" s="13" t="s">
        <v>1076</v>
      </c>
      <c r="E1008" s="13">
        <v>994</v>
      </c>
      <c r="F1008" s="13" t="s">
        <v>22</v>
      </c>
      <c r="G1008" s="9" t="e">
        <f>VLOOKUP(B1008,'Property Name List'!A$2:D$834,3,FALSE)</f>
        <v>#N/A</v>
      </c>
      <c r="H1008" s="15">
        <v>46147</v>
      </c>
      <c r="I1008" t="s">
        <v>14</v>
      </c>
      <c r="J1008">
        <f>VLOOKUP(E1008,'Room Count'!A$2:B$2616,2,FALSE)</f>
        <v>74</v>
      </c>
    </row>
    <row r="1009" spans="1:10">
      <c r="A1009" s="13" t="s">
        <v>49</v>
      </c>
      <c r="B1009" s="13" t="s">
        <v>1077</v>
      </c>
      <c r="C1009" s="26">
        <v>110145</v>
      </c>
      <c r="D1009" s="13" t="s">
        <v>1077</v>
      </c>
      <c r="E1009" s="13">
        <v>993</v>
      </c>
      <c r="F1009" s="13" t="s">
        <v>22</v>
      </c>
      <c r="G1009" s="9" t="e">
        <f>VLOOKUP(B1009,'Property Name List'!A$2:D$834,3,FALSE)</f>
        <v>#N/A</v>
      </c>
      <c r="H1009" s="15">
        <v>46147</v>
      </c>
      <c r="I1009" t="s">
        <v>14</v>
      </c>
      <c r="J1009">
        <f>VLOOKUP(E1009,'Room Count'!A$2:B$2616,2,FALSE)</f>
        <v>127</v>
      </c>
    </row>
    <row r="1010" spans="1:10">
      <c r="A1010" s="13" t="s">
        <v>49</v>
      </c>
      <c r="B1010" s="13" t="s">
        <v>1078</v>
      </c>
      <c r="C1010" s="26">
        <v>110143</v>
      </c>
      <c r="D1010" s="13" t="s">
        <v>1078</v>
      </c>
      <c r="E1010" s="13">
        <v>992</v>
      </c>
      <c r="F1010" s="13" t="s">
        <v>22</v>
      </c>
      <c r="G1010" s="9" t="e">
        <f>VLOOKUP(B1010,'Property Name List'!A$2:D$834,3,FALSE)</f>
        <v>#N/A</v>
      </c>
      <c r="H1010" s="15">
        <v>46147</v>
      </c>
      <c r="I1010" t="s">
        <v>14</v>
      </c>
      <c r="J1010">
        <f>VLOOKUP(E1010,'Room Count'!A$2:B$2616,2,FALSE)</f>
        <v>204</v>
      </c>
    </row>
    <row r="1011" spans="1:10">
      <c r="A1011" s="13" t="s">
        <v>49</v>
      </c>
      <c r="B1011" s="13" t="s">
        <v>1079</v>
      </c>
      <c r="C1011" s="26">
        <v>110141</v>
      </c>
      <c r="D1011" s="13" t="s">
        <v>1079</v>
      </c>
      <c r="E1011" s="13">
        <v>991</v>
      </c>
      <c r="F1011" s="13" t="s">
        <v>22</v>
      </c>
      <c r="G1011" s="9" t="e">
        <f>VLOOKUP(B1011,'Property Name List'!A$2:D$834,3,FALSE)</f>
        <v>#N/A</v>
      </c>
      <c r="H1011" s="15">
        <v>46147</v>
      </c>
      <c r="I1011" t="s">
        <v>14</v>
      </c>
      <c r="J1011">
        <f>VLOOKUP(E1011,'Room Count'!A$2:B$2616,2,FALSE)</f>
        <v>133</v>
      </c>
    </row>
    <row r="1012" spans="1:10">
      <c r="A1012" s="13" t="s">
        <v>49</v>
      </c>
      <c r="B1012" s="13" t="s">
        <v>1080</v>
      </c>
      <c r="C1012" s="26">
        <v>110139</v>
      </c>
      <c r="D1012" s="13" t="s">
        <v>1080</v>
      </c>
      <c r="E1012" s="13">
        <v>990</v>
      </c>
      <c r="F1012" s="13" t="s">
        <v>22</v>
      </c>
      <c r="G1012" s="9" t="e">
        <f>VLOOKUP(B1012,'Property Name List'!A$2:D$834,3,FALSE)</f>
        <v>#N/A</v>
      </c>
      <c r="H1012" s="15">
        <v>46147</v>
      </c>
      <c r="I1012" t="s">
        <v>14</v>
      </c>
      <c r="J1012">
        <f>VLOOKUP(E1012,'Room Count'!A$2:B$2616,2,FALSE)</f>
        <v>95</v>
      </c>
    </row>
    <row r="1013" spans="1:10">
      <c r="A1013" s="13" t="s">
        <v>49</v>
      </c>
      <c r="B1013" s="13" t="s">
        <v>1081</v>
      </c>
      <c r="C1013" s="26">
        <v>110137</v>
      </c>
      <c r="D1013" s="13" t="s">
        <v>1081</v>
      </c>
      <c r="E1013" s="13">
        <v>989</v>
      </c>
      <c r="F1013" s="13" t="s">
        <v>22</v>
      </c>
      <c r="G1013" s="9" t="e">
        <f>VLOOKUP(B1013,'Property Name List'!A$2:D$834,3,FALSE)</f>
        <v>#N/A</v>
      </c>
      <c r="H1013" s="15">
        <v>46147</v>
      </c>
      <c r="I1013" t="s">
        <v>14</v>
      </c>
      <c r="J1013">
        <f>VLOOKUP(E1013,'Room Count'!A$2:B$2616,2,FALSE)</f>
        <v>90</v>
      </c>
    </row>
    <row r="1014" spans="1:10">
      <c r="A1014" s="13" t="s">
        <v>49</v>
      </c>
      <c r="B1014" s="13" t="s">
        <v>1082</v>
      </c>
      <c r="C1014" s="26">
        <v>110135</v>
      </c>
      <c r="D1014" s="13" t="s">
        <v>1082</v>
      </c>
      <c r="E1014" s="13">
        <v>988</v>
      </c>
      <c r="F1014" s="13" t="s">
        <v>22</v>
      </c>
      <c r="G1014" s="9" t="e">
        <f>VLOOKUP(B1014,'Property Name List'!A$2:D$834,3,FALSE)</f>
        <v>#N/A</v>
      </c>
      <c r="H1014" s="15">
        <v>46147</v>
      </c>
      <c r="I1014" t="s">
        <v>14</v>
      </c>
      <c r="J1014">
        <f>VLOOKUP(E1014,'Room Count'!A$2:B$2616,2,FALSE)</f>
        <v>113</v>
      </c>
    </row>
    <row r="1015" spans="1:10">
      <c r="A1015" s="13" t="s">
        <v>49</v>
      </c>
      <c r="B1015" s="13" t="s">
        <v>1083</v>
      </c>
      <c r="C1015" s="26">
        <v>110133</v>
      </c>
      <c r="D1015" s="13" t="s">
        <v>1083</v>
      </c>
      <c r="E1015" s="13">
        <v>987</v>
      </c>
      <c r="F1015" s="13" t="s">
        <v>22</v>
      </c>
      <c r="G1015" s="9" t="e">
        <f>VLOOKUP(B1015,'Property Name List'!A$2:D$834,3,FALSE)</f>
        <v>#N/A</v>
      </c>
      <c r="H1015" s="15">
        <v>46147</v>
      </c>
      <c r="I1015" t="s">
        <v>14</v>
      </c>
      <c r="J1015">
        <f>VLOOKUP(E1015,'Room Count'!A$2:B$2616,2,FALSE)</f>
        <v>83</v>
      </c>
    </row>
    <row r="1016" spans="1:10">
      <c r="A1016" s="13" t="s">
        <v>49</v>
      </c>
      <c r="B1016" s="13" t="s">
        <v>1084</v>
      </c>
      <c r="C1016" s="26">
        <v>110131</v>
      </c>
      <c r="D1016" s="13" t="s">
        <v>1084</v>
      </c>
      <c r="E1016" s="13">
        <v>986</v>
      </c>
      <c r="F1016" s="13" t="s">
        <v>22</v>
      </c>
      <c r="G1016" s="9" t="e">
        <f>VLOOKUP(B1016,'Property Name List'!A$2:D$834,3,FALSE)</f>
        <v>#N/A</v>
      </c>
      <c r="H1016" s="15">
        <v>46147</v>
      </c>
      <c r="I1016" t="s">
        <v>14</v>
      </c>
      <c r="J1016">
        <f>VLOOKUP(E1016,'Room Count'!A$2:B$2616,2,FALSE)</f>
        <v>90</v>
      </c>
    </row>
    <row r="1017" spans="1:10">
      <c r="A1017" s="13" t="s">
        <v>49</v>
      </c>
      <c r="B1017" s="13" t="s">
        <v>1085</v>
      </c>
      <c r="C1017" s="26">
        <v>110129</v>
      </c>
      <c r="D1017" s="13" t="s">
        <v>1085</v>
      </c>
      <c r="E1017" s="13">
        <v>985</v>
      </c>
      <c r="F1017" s="13" t="s">
        <v>22</v>
      </c>
      <c r="G1017" s="9" t="e">
        <f>VLOOKUP(B1017,'Property Name List'!A$2:D$834,3,FALSE)</f>
        <v>#N/A</v>
      </c>
      <c r="H1017" s="15">
        <v>46147</v>
      </c>
      <c r="I1017" t="s">
        <v>14</v>
      </c>
      <c r="J1017">
        <f>VLOOKUP(E1017,'Room Count'!A$2:B$2616,2,FALSE)</f>
        <v>102</v>
      </c>
    </row>
    <row r="1018" spans="1:10">
      <c r="A1018" s="13" t="s">
        <v>49</v>
      </c>
      <c r="B1018" s="13" t="s">
        <v>1086</v>
      </c>
      <c r="C1018" s="26">
        <v>110127</v>
      </c>
      <c r="D1018" s="13" t="s">
        <v>1086</v>
      </c>
      <c r="E1018" s="13">
        <v>984</v>
      </c>
      <c r="F1018" s="13" t="s">
        <v>22</v>
      </c>
      <c r="G1018" s="9" t="e">
        <f>VLOOKUP(B1018,'Property Name List'!A$2:D$834,3,FALSE)</f>
        <v>#N/A</v>
      </c>
      <c r="H1018" s="15">
        <v>46147</v>
      </c>
      <c r="I1018" t="s">
        <v>14</v>
      </c>
      <c r="J1018">
        <f>VLOOKUP(E1018,'Room Count'!A$2:B$2616,2,FALSE)</f>
        <v>171</v>
      </c>
    </row>
    <row r="1019" spans="1:10">
      <c r="A1019" s="13" t="s">
        <v>49</v>
      </c>
      <c r="B1019" s="13" t="s">
        <v>1087</v>
      </c>
      <c r="C1019" s="26">
        <v>110125</v>
      </c>
      <c r="D1019" s="13" t="s">
        <v>1087</v>
      </c>
      <c r="E1019" s="13">
        <v>983</v>
      </c>
      <c r="F1019" s="13" t="s">
        <v>22</v>
      </c>
      <c r="G1019" s="9" t="e">
        <f>VLOOKUP(B1019,'Property Name List'!A$2:D$834,3,FALSE)</f>
        <v>#N/A</v>
      </c>
      <c r="H1019" s="15">
        <v>46147</v>
      </c>
      <c r="I1019" t="s">
        <v>14</v>
      </c>
      <c r="J1019">
        <f>VLOOKUP(E1019,'Room Count'!A$2:B$2616,2,FALSE)</f>
        <v>157</v>
      </c>
    </row>
    <row r="1020" spans="1:10">
      <c r="A1020" s="13" t="s">
        <v>49</v>
      </c>
      <c r="B1020" s="13" t="s">
        <v>1088</v>
      </c>
      <c r="C1020" s="26">
        <v>110123</v>
      </c>
      <c r="D1020" s="13" t="s">
        <v>1088</v>
      </c>
      <c r="E1020" s="13">
        <v>982</v>
      </c>
      <c r="F1020" s="13" t="s">
        <v>22</v>
      </c>
      <c r="G1020" s="9" t="e">
        <f>VLOOKUP(B1020,'Property Name List'!A$2:D$834,3,FALSE)</f>
        <v>#N/A</v>
      </c>
      <c r="H1020" s="15">
        <v>46147</v>
      </c>
      <c r="I1020" t="s">
        <v>14</v>
      </c>
      <c r="J1020">
        <f>VLOOKUP(E1020,'Room Count'!A$2:B$2616,2,FALSE)</f>
        <v>125</v>
      </c>
    </row>
    <row r="1021" spans="1:10">
      <c r="A1021" s="13" t="s">
        <v>49</v>
      </c>
      <c r="B1021" s="13" t="s">
        <v>1089</v>
      </c>
      <c r="C1021" s="26">
        <v>110121</v>
      </c>
      <c r="D1021" s="13" t="s">
        <v>1089</v>
      </c>
      <c r="E1021" s="13">
        <v>981</v>
      </c>
      <c r="F1021" s="13" t="s">
        <v>22</v>
      </c>
      <c r="G1021" s="9" t="e">
        <f>VLOOKUP(B1021,'Property Name List'!A$2:D$834,3,FALSE)</f>
        <v>#N/A</v>
      </c>
      <c r="H1021" s="15">
        <v>46147</v>
      </c>
      <c r="I1021" t="s">
        <v>14</v>
      </c>
      <c r="J1021">
        <f>VLOOKUP(E1021,'Room Count'!A$2:B$2616,2,FALSE)</f>
        <v>103</v>
      </c>
    </row>
    <row r="1022" spans="1:10">
      <c r="A1022" s="13" t="s">
        <v>49</v>
      </c>
      <c r="B1022" s="13" t="s">
        <v>1090</v>
      </c>
      <c r="C1022" s="26">
        <v>110119</v>
      </c>
      <c r="D1022" s="13" t="s">
        <v>1090</v>
      </c>
      <c r="E1022" s="13">
        <v>980</v>
      </c>
      <c r="F1022" s="13" t="s">
        <v>22</v>
      </c>
      <c r="G1022" s="9" t="e">
        <f>VLOOKUP(B1022,'Property Name List'!A$2:D$834,3,FALSE)</f>
        <v>#N/A</v>
      </c>
      <c r="H1022" s="15">
        <v>46147</v>
      </c>
      <c r="I1022" t="s">
        <v>14</v>
      </c>
      <c r="J1022">
        <f>VLOOKUP(E1022,'Room Count'!A$2:B$2616,2,FALSE)</f>
        <v>60</v>
      </c>
    </row>
    <row r="1023" spans="1:10">
      <c r="A1023" s="13" t="s">
        <v>49</v>
      </c>
      <c r="B1023" s="13" t="s">
        <v>1091</v>
      </c>
      <c r="C1023" s="26">
        <v>110117</v>
      </c>
      <c r="D1023" s="13" t="s">
        <v>1091</v>
      </c>
      <c r="E1023" s="13">
        <v>979</v>
      </c>
      <c r="F1023" s="13" t="s">
        <v>22</v>
      </c>
      <c r="G1023" s="9" t="e">
        <f>VLOOKUP(B1023,'Property Name List'!A$2:D$834,3,FALSE)</f>
        <v>#N/A</v>
      </c>
      <c r="H1023" s="15">
        <v>46147</v>
      </c>
      <c r="I1023" t="s">
        <v>14</v>
      </c>
      <c r="J1023">
        <f>VLOOKUP(E1023,'Room Count'!A$2:B$2616,2,FALSE)</f>
        <v>84</v>
      </c>
    </row>
    <row r="1024" spans="1:10">
      <c r="A1024" s="13" t="s">
        <v>49</v>
      </c>
      <c r="B1024" s="13" t="s">
        <v>1092</v>
      </c>
      <c r="C1024" s="26">
        <v>110115</v>
      </c>
      <c r="D1024" s="13" t="s">
        <v>1092</v>
      </c>
      <c r="E1024" s="13">
        <v>978</v>
      </c>
      <c r="F1024" s="13" t="s">
        <v>22</v>
      </c>
      <c r="G1024" s="9" t="e">
        <f>VLOOKUP(B1024,'Property Name List'!A$2:D$834,3,FALSE)</f>
        <v>#N/A</v>
      </c>
      <c r="H1024" s="15">
        <v>46147</v>
      </c>
      <c r="I1024" t="s">
        <v>14</v>
      </c>
      <c r="J1024">
        <f>VLOOKUP(E1024,'Room Count'!A$2:B$2616,2,FALSE)</f>
        <v>111</v>
      </c>
    </row>
    <row r="1025" spans="1:10">
      <c r="A1025" s="13" t="s">
        <v>49</v>
      </c>
      <c r="B1025" s="13" t="s">
        <v>1093</v>
      </c>
      <c r="C1025" s="26">
        <v>110113</v>
      </c>
      <c r="D1025" s="13" t="s">
        <v>1093</v>
      </c>
      <c r="E1025" s="13">
        <v>977</v>
      </c>
      <c r="F1025" s="13" t="s">
        <v>22</v>
      </c>
      <c r="G1025" s="9" t="e">
        <f>VLOOKUP(B1025,'Property Name List'!A$2:D$834,3,FALSE)</f>
        <v>#N/A</v>
      </c>
      <c r="H1025" s="15">
        <v>46147</v>
      </c>
      <c r="I1025" t="s">
        <v>14</v>
      </c>
      <c r="J1025">
        <f>VLOOKUP(E1025,'Room Count'!A$2:B$2616,2,FALSE)</f>
        <v>198</v>
      </c>
    </row>
    <row r="1026" spans="1:10">
      <c r="A1026" s="13" t="s">
        <v>49</v>
      </c>
      <c r="B1026" s="13" t="s">
        <v>1094</v>
      </c>
      <c r="C1026" s="26">
        <v>110111</v>
      </c>
      <c r="D1026" s="13" t="s">
        <v>1094</v>
      </c>
      <c r="E1026" s="13">
        <v>976</v>
      </c>
      <c r="F1026" s="13" t="s">
        <v>22</v>
      </c>
      <c r="G1026" s="9" t="e">
        <f>VLOOKUP(B1026,'Property Name List'!A$2:D$834,3,FALSE)</f>
        <v>#N/A</v>
      </c>
      <c r="H1026" s="15">
        <v>46147</v>
      </c>
      <c r="I1026" t="s">
        <v>14</v>
      </c>
      <c r="J1026">
        <f>VLOOKUP(E1026,'Room Count'!A$2:B$2616,2,FALSE)</f>
        <v>88</v>
      </c>
    </row>
    <row r="1027" spans="1:10">
      <c r="A1027" s="13" t="s">
        <v>49</v>
      </c>
      <c r="B1027" s="13" t="s">
        <v>1095</v>
      </c>
      <c r="C1027" s="26">
        <v>110109</v>
      </c>
      <c r="D1027" s="13" t="s">
        <v>1095</v>
      </c>
      <c r="E1027" s="13">
        <v>975</v>
      </c>
      <c r="F1027" s="13" t="s">
        <v>22</v>
      </c>
      <c r="G1027" s="9" t="e">
        <f>VLOOKUP(B1027,'Property Name List'!A$2:D$834,3,FALSE)</f>
        <v>#N/A</v>
      </c>
      <c r="H1027" s="15">
        <v>46147</v>
      </c>
      <c r="I1027" t="s">
        <v>14</v>
      </c>
      <c r="J1027">
        <f>VLOOKUP(E1027,'Room Count'!A$2:B$2616,2,FALSE)</f>
        <v>82</v>
      </c>
    </row>
    <row r="1028" spans="1:10">
      <c r="A1028" s="13" t="s">
        <v>49</v>
      </c>
      <c r="B1028" s="13" t="s">
        <v>1096</v>
      </c>
      <c r="C1028" s="26">
        <v>110107</v>
      </c>
      <c r="D1028" s="13" t="s">
        <v>1096</v>
      </c>
      <c r="E1028" s="13">
        <v>974</v>
      </c>
      <c r="F1028" s="13" t="s">
        <v>22</v>
      </c>
      <c r="G1028" s="9" t="e">
        <f>VLOOKUP(B1028,'Property Name List'!A$2:D$834,3,FALSE)</f>
        <v>#N/A</v>
      </c>
      <c r="H1028" s="15">
        <v>46147</v>
      </c>
      <c r="I1028" t="s">
        <v>14</v>
      </c>
      <c r="J1028">
        <f>VLOOKUP(E1028,'Room Count'!A$2:B$2616,2,FALSE)</f>
        <v>84</v>
      </c>
    </row>
    <row r="1029" spans="1:10">
      <c r="A1029" s="13" t="s">
        <v>49</v>
      </c>
      <c r="B1029" s="13" t="s">
        <v>1097</v>
      </c>
      <c r="C1029" s="26">
        <v>110105</v>
      </c>
      <c r="D1029" s="13" t="s">
        <v>1097</v>
      </c>
      <c r="E1029" s="13">
        <v>973</v>
      </c>
      <c r="F1029" s="13" t="s">
        <v>22</v>
      </c>
      <c r="G1029" s="9" t="e">
        <f>VLOOKUP(B1029,'Property Name List'!A$2:D$834,3,FALSE)</f>
        <v>#N/A</v>
      </c>
      <c r="H1029" s="15">
        <v>46147</v>
      </c>
      <c r="I1029" t="s">
        <v>14</v>
      </c>
      <c r="J1029">
        <f>VLOOKUP(E1029,'Room Count'!A$2:B$2616,2,FALSE)</f>
        <v>88</v>
      </c>
    </row>
    <row r="1030" spans="1:10">
      <c r="A1030" s="13" t="s">
        <v>49</v>
      </c>
      <c r="B1030" s="13" t="s">
        <v>1098</v>
      </c>
      <c r="C1030" s="26">
        <v>110103</v>
      </c>
      <c r="D1030" s="13" t="s">
        <v>1098</v>
      </c>
      <c r="E1030" s="13">
        <v>972</v>
      </c>
      <c r="F1030" s="13" t="s">
        <v>22</v>
      </c>
      <c r="G1030" s="9" t="e">
        <f>VLOOKUP(B1030,'Property Name List'!A$2:D$834,3,FALSE)</f>
        <v>#N/A</v>
      </c>
      <c r="H1030" s="15">
        <v>46147</v>
      </c>
      <c r="I1030" t="s">
        <v>14</v>
      </c>
      <c r="J1030">
        <f>VLOOKUP(E1030,'Room Count'!A$2:B$2616,2,FALSE)</f>
        <v>62</v>
      </c>
    </row>
    <row r="1031" spans="1:10">
      <c r="A1031" s="13" t="s">
        <v>49</v>
      </c>
      <c r="B1031" s="13" t="s">
        <v>1099</v>
      </c>
      <c r="C1031" s="26">
        <v>110101</v>
      </c>
      <c r="D1031" s="13" t="s">
        <v>1099</v>
      </c>
      <c r="E1031" s="13">
        <v>971</v>
      </c>
      <c r="F1031" s="13" t="s">
        <v>22</v>
      </c>
      <c r="G1031" s="9" t="e">
        <f>VLOOKUP(B1031,'Property Name List'!A$2:D$834,3,FALSE)</f>
        <v>#N/A</v>
      </c>
      <c r="H1031" s="15">
        <v>46147</v>
      </c>
      <c r="I1031" t="s">
        <v>14</v>
      </c>
      <c r="J1031">
        <f>VLOOKUP(E1031,'Room Count'!A$2:B$2616,2,FALSE)</f>
        <v>153</v>
      </c>
    </row>
    <row r="1032" spans="1:10">
      <c r="A1032" s="13" t="s">
        <v>49</v>
      </c>
      <c r="B1032" s="13" t="s">
        <v>1100</v>
      </c>
      <c r="C1032" s="26">
        <v>110099</v>
      </c>
      <c r="D1032" s="13" t="s">
        <v>1100</v>
      </c>
      <c r="E1032" s="13">
        <v>970</v>
      </c>
      <c r="F1032" s="13" t="s">
        <v>22</v>
      </c>
      <c r="G1032" s="9" t="e">
        <f>VLOOKUP(B1032,'Property Name List'!A$2:D$834,3,FALSE)</f>
        <v>#N/A</v>
      </c>
      <c r="H1032" s="15">
        <v>46147</v>
      </c>
      <c r="I1032" t="s">
        <v>14</v>
      </c>
      <c r="J1032">
        <f>VLOOKUP(E1032,'Room Count'!A$2:B$2616,2,FALSE)</f>
        <v>128</v>
      </c>
    </row>
    <row r="1033" spans="1:10">
      <c r="A1033" s="13" t="s">
        <v>49</v>
      </c>
      <c r="B1033" s="13" t="s">
        <v>1101</v>
      </c>
      <c r="C1033" s="26">
        <v>110097</v>
      </c>
      <c r="D1033" s="13" t="s">
        <v>1101</v>
      </c>
      <c r="E1033" s="13">
        <v>969</v>
      </c>
      <c r="F1033" s="13" t="s">
        <v>22</v>
      </c>
      <c r="G1033" s="9" t="e">
        <f>VLOOKUP(B1033,'Property Name List'!A$2:D$834,3,FALSE)</f>
        <v>#N/A</v>
      </c>
      <c r="H1033" s="15">
        <v>46147</v>
      </c>
      <c r="I1033" t="s">
        <v>14</v>
      </c>
      <c r="J1033">
        <f>VLOOKUP(E1033,'Room Count'!A$2:B$2616,2,FALSE)</f>
        <v>74</v>
      </c>
    </row>
    <row r="1034" spans="1:10">
      <c r="A1034" s="13" t="s">
        <v>49</v>
      </c>
      <c r="B1034" s="13" t="s">
        <v>1102</v>
      </c>
      <c r="C1034" s="26">
        <v>110095</v>
      </c>
      <c r="D1034" s="13" t="s">
        <v>1102</v>
      </c>
      <c r="E1034" s="13">
        <v>968</v>
      </c>
      <c r="F1034" s="13" t="s">
        <v>22</v>
      </c>
      <c r="G1034" s="9" t="e">
        <f>VLOOKUP(B1034,'Property Name List'!A$2:D$834,3,FALSE)</f>
        <v>#N/A</v>
      </c>
      <c r="H1034" s="15">
        <v>46147</v>
      </c>
      <c r="I1034" t="s">
        <v>14</v>
      </c>
      <c r="J1034">
        <f>VLOOKUP(E1034,'Room Count'!A$2:B$2616,2,FALSE)</f>
        <v>150</v>
      </c>
    </row>
    <row r="1035" spans="1:10">
      <c r="A1035" s="13" t="s">
        <v>49</v>
      </c>
      <c r="B1035" s="13" t="s">
        <v>1103</v>
      </c>
      <c r="C1035" s="26">
        <v>110093</v>
      </c>
      <c r="D1035" s="13" t="s">
        <v>1103</v>
      </c>
      <c r="E1035" s="13">
        <v>967</v>
      </c>
      <c r="F1035" s="13" t="s">
        <v>22</v>
      </c>
      <c r="G1035" s="9" t="e">
        <f>VLOOKUP(B1035,'Property Name List'!A$2:D$834,3,FALSE)</f>
        <v>#N/A</v>
      </c>
      <c r="H1035" s="15">
        <v>46147</v>
      </c>
      <c r="I1035" t="s">
        <v>14</v>
      </c>
      <c r="J1035">
        <f>VLOOKUP(E1035,'Room Count'!A$2:B$2616,2,FALSE)</f>
        <v>81</v>
      </c>
    </row>
    <row r="1036" spans="1:10">
      <c r="A1036" s="13" t="s">
        <v>49</v>
      </c>
      <c r="B1036" s="13" t="s">
        <v>1104</v>
      </c>
      <c r="C1036" s="26">
        <v>110091</v>
      </c>
      <c r="D1036" s="13" t="s">
        <v>1104</v>
      </c>
      <c r="E1036" s="13">
        <v>966</v>
      </c>
      <c r="F1036" s="13" t="s">
        <v>22</v>
      </c>
      <c r="G1036" s="9" t="e">
        <f>VLOOKUP(B1036,'Property Name List'!A$2:D$834,3,FALSE)</f>
        <v>#N/A</v>
      </c>
      <c r="H1036" s="15">
        <v>46147</v>
      </c>
      <c r="I1036" t="s">
        <v>14</v>
      </c>
      <c r="J1036">
        <f>VLOOKUP(E1036,'Room Count'!A$2:B$2616,2,FALSE)</f>
        <v>81</v>
      </c>
    </row>
    <row r="1037" spans="1:10">
      <c r="A1037" s="13" t="s">
        <v>49</v>
      </c>
      <c r="B1037" s="13" t="s">
        <v>1105</v>
      </c>
      <c r="C1037" s="26">
        <v>110089</v>
      </c>
      <c r="D1037" s="13" t="s">
        <v>1105</v>
      </c>
      <c r="E1037" s="13">
        <v>965</v>
      </c>
      <c r="F1037" s="13" t="s">
        <v>22</v>
      </c>
      <c r="G1037" s="9" t="e">
        <f>VLOOKUP(B1037,'Property Name List'!A$2:D$834,3,FALSE)</f>
        <v>#N/A</v>
      </c>
      <c r="H1037" s="15">
        <v>46147</v>
      </c>
      <c r="I1037" t="s">
        <v>14</v>
      </c>
      <c r="J1037">
        <f>VLOOKUP(E1037,'Room Count'!A$2:B$2616,2,FALSE)</f>
        <v>76</v>
      </c>
    </row>
    <row r="1038" spans="1:10">
      <c r="A1038" s="13" t="s">
        <v>49</v>
      </c>
      <c r="B1038" s="13" t="s">
        <v>1106</v>
      </c>
      <c r="C1038" s="26">
        <v>110087</v>
      </c>
      <c r="D1038" s="13" t="s">
        <v>1106</v>
      </c>
      <c r="E1038" s="13">
        <v>964</v>
      </c>
      <c r="F1038" s="13" t="s">
        <v>22</v>
      </c>
      <c r="G1038" s="9" t="e">
        <f>VLOOKUP(B1038,'Property Name List'!A$2:D$834,3,FALSE)</f>
        <v>#N/A</v>
      </c>
      <c r="H1038" s="15">
        <v>46147</v>
      </c>
      <c r="I1038" t="s">
        <v>14</v>
      </c>
      <c r="J1038">
        <f>VLOOKUP(E1038,'Room Count'!A$2:B$2616,2,FALSE)</f>
        <v>90</v>
      </c>
    </row>
    <row r="1039" spans="1:10">
      <c r="A1039" s="13" t="s">
        <v>49</v>
      </c>
      <c r="B1039" s="13" t="s">
        <v>1107</v>
      </c>
      <c r="C1039" s="26">
        <v>110085</v>
      </c>
      <c r="D1039" s="13" t="s">
        <v>1107</v>
      </c>
      <c r="E1039" s="13">
        <v>963</v>
      </c>
      <c r="F1039" s="13" t="s">
        <v>22</v>
      </c>
      <c r="G1039" s="9" t="e">
        <f>VLOOKUP(B1039,'Property Name List'!A$2:D$834,3,FALSE)</f>
        <v>#N/A</v>
      </c>
      <c r="H1039" s="15">
        <v>46147</v>
      </c>
      <c r="I1039" t="s">
        <v>14</v>
      </c>
      <c r="J1039">
        <f>VLOOKUP(E1039,'Room Count'!A$2:B$2616,2,FALSE)</f>
        <v>88</v>
      </c>
    </row>
    <row r="1040" spans="1:10">
      <c r="A1040" s="13" t="s">
        <v>49</v>
      </c>
      <c r="B1040" s="13" t="s">
        <v>1108</v>
      </c>
      <c r="C1040" s="26">
        <v>110083</v>
      </c>
      <c r="D1040" s="13" t="s">
        <v>1108</v>
      </c>
      <c r="E1040" s="13">
        <v>962</v>
      </c>
      <c r="F1040" s="13" t="s">
        <v>22</v>
      </c>
      <c r="G1040" s="9" t="e">
        <f>VLOOKUP(B1040,'Property Name List'!A$2:D$834,3,FALSE)</f>
        <v>#N/A</v>
      </c>
      <c r="H1040" s="15">
        <v>46147</v>
      </c>
      <c r="I1040" t="s">
        <v>14</v>
      </c>
      <c r="J1040">
        <f>VLOOKUP(E1040,'Room Count'!A$2:B$2616,2,FALSE)</f>
        <v>120</v>
      </c>
    </row>
    <row r="1041" spans="1:10">
      <c r="A1041" s="13" t="s">
        <v>49</v>
      </c>
      <c r="B1041" s="13" t="s">
        <v>1109</v>
      </c>
      <c r="C1041" s="26">
        <v>110081</v>
      </c>
      <c r="D1041" s="13" t="s">
        <v>1109</v>
      </c>
      <c r="E1041" s="13">
        <v>961</v>
      </c>
      <c r="F1041" s="13" t="s">
        <v>22</v>
      </c>
      <c r="G1041" s="9" t="e">
        <f>VLOOKUP(B1041,'Property Name List'!A$2:D$834,3,FALSE)</f>
        <v>#N/A</v>
      </c>
      <c r="H1041" s="15">
        <v>46147</v>
      </c>
      <c r="I1041" t="s">
        <v>14</v>
      </c>
      <c r="J1041">
        <f>VLOOKUP(E1041,'Room Count'!A$2:B$2616,2,FALSE)</f>
        <v>63</v>
      </c>
    </row>
    <row r="1042" spans="1:10">
      <c r="A1042" s="13" t="s">
        <v>49</v>
      </c>
      <c r="B1042" s="13" t="s">
        <v>1110</v>
      </c>
      <c r="C1042" s="26">
        <v>110079</v>
      </c>
      <c r="D1042" s="13" t="s">
        <v>1110</v>
      </c>
      <c r="E1042" s="13">
        <v>960</v>
      </c>
      <c r="F1042" s="13" t="s">
        <v>22</v>
      </c>
      <c r="G1042" s="9" t="e">
        <f>VLOOKUP(B1042,'Property Name List'!A$2:D$834,3,FALSE)</f>
        <v>#N/A</v>
      </c>
      <c r="H1042" s="15">
        <v>46147</v>
      </c>
      <c r="I1042" t="s">
        <v>14</v>
      </c>
      <c r="J1042">
        <f>VLOOKUP(E1042,'Room Count'!A$2:B$2616,2,FALSE)</f>
        <v>220</v>
      </c>
    </row>
    <row r="1043" spans="1:10">
      <c r="A1043" s="13" t="s">
        <v>49</v>
      </c>
      <c r="B1043" s="13" t="s">
        <v>1111</v>
      </c>
      <c r="C1043" s="26">
        <v>110077</v>
      </c>
      <c r="D1043" s="13" t="s">
        <v>1111</v>
      </c>
      <c r="E1043" s="13">
        <v>959</v>
      </c>
      <c r="F1043" s="13" t="s">
        <v>22</v>
      </c>
      <c r="G1043" s="9" t="e">
        <f>VLOOKUP(B1043,'Property Name List'!A$2:D$834,3,FALSE)</f>
        <v>#N/A</v>
      </c>
      <c r="H1043" s="15">
        <v>46147</v>
      </c>
      <c r="I1043" t="s">
        <v>14</v>
      </c>
      <c r="J1043">
        <f>VLOOKUP(E1043,'Room Count'!A$2:B$2616,2,FALSE)</f>
        <v>81</v>
      </c>
    </row>
    <row r="1044" spans="1:10">
      <c r="A1044" s="13" t="s">
        <v>49</v>
      </c>
      <c r="B1044" s="13" t="s">
        <v>1112</v>
      </c>
      <c r="C1044" s="26">
        <v>110075</v>
      </c>
      <c r="D1044" s="13" t="s">
        <v>1112</v>
      </c>
      <c r="E1044" s="13">
        <v>958</v>
      </c>
      <c r="F1044" s="13" t="s">
        <v>22</v>
      </c>
      <c r="G1044" s="9" t="e">
        <f>VLOOKUP(B1044,'Property Name List'!A$2:D$834,3,FALSE)</f>
        <v>#N/A</v>
      </c>
      <c r="H1044" s="15">
        <v>46147</v>
      </c>
      <c r="I1044" t="s">
        <v>14</v>
      </c>
      <c r="J1044">
        <f>VLOOKUP(E1044,'Room Count'!A$2:B$2616,2,FALSE)</f>
        <v>56</v>
      </c>
    </row>
    <row r="1045" spans="1:10">
      <c r="A1045" s="13" t="s">
        <v>49</v>
      </c>
      <c r="B1045" s="13" t="s">
        <v>1113</v>
      </c>
      <c r="C1045" s="26">
        <v>110073</v>
      </c>
      <c r="D1045" s="13" t="s">
        <v>1113</v>
      </c>
      <c r="E1045" s="13">
        <v>957</v>
      </c>
      <c r="F1045" s="13" t="s">
        <v>22</v>
      </c>
      <c r="G1045" s="9" t="e">
        <f>VLOOKUP(B1045,'Property Name List'!A$2:D$834,3,FALSE)</f>
        <v>#N/A</v>
      </c>
      <c r="H1045" s="15">
        <v>46147</v>
      </c>
      <c r="I1045" t="s">
        <v>14</v>
      </c>
      <c r="J1045">
        <f>VLOOKUP(E1045,'Room Count'!A$2:B$2616,2,FALSE)</f>
        <v>110</v>
      </c>
    </row>
    <row r="1046" spans="1:10">
      <c r="A1046" s="13" t="s">
        <v>49</v>
      </c>
      <c r="B1046" s="13" t="s">
        <v>1114</v>
      </c>
      <c r="C1046" s="26">
        <v>110071</v>
      </c>
      <c r="D1046" s="13" t="s">
        <v>1114</v>
      </c>
      <c r="E1046" s="13">
        <v>956</v>
      </c>
      <c r="F1046" s="13" t="s">
        <v>22</v>
      </c>
      <c r="G1046" s="9" t="e">
        <f>VLOOKUP(B1046,'Property Name List'!A$2:D$834,3,FALSE)</f>
        <v>#N/A</v>
      </c>
      <c r="H1046" s="15">
        <v>46147</v>
      </c>
      <c r="I1046" t="s">
        <v>14</v>
      </c>
      <c r="J1046">
        <f>VLOOKUP(E1046,'Room Count'!A$2:B$2616,2,FALSE)</f>
        <v>105</v>
      </c>
    </row>
    <row r="1047" spans="1:10">
      <c r="A1047" s="13" t="s">
        <v>49</v>
      </c>
      <c r="B1047" s="13" t="s">
        <v>1115</v>
      </c>
      <c r="C1047" s="26">
        <v>110069</v>
      </c>
      <c r="D1047" s="13" t="s">
        <v>1115</v>
      </c>
      <c r="E1047" s="13">
        <v>955</v>
      </c>
      <c r="F1047" s="13" t="s">
        <v>22</v>
      </c>
      <c r="G1047" s="9" t="e">
        <f>VLOOKUP(B1047,'Property Name List'!A$2:D$834,3,FALSE)</f>
        <v>#N/A</v>
      </c>
      <c r="H1047" s="15">
        <v>46147</v>
      </c>
      <c r="I1047" t="s">
        <v>14</v>
      </c>
      <c r="J1047">
        <f>VLOOKUP(E1047,'Room Count'!A$2:B$2616,2,FALSE)</f>
        <v>78</v>
      </c>
    </row>
    <row r="1048" spans="1:10">
      <c r="A1048" s="13" t="s">
        <v>49</v>
      </c>
      <c r="B1048" s="13" t="s">
        <v>1116</v>
      </c>
      <c r="C1048" s="26">
        <v>110067</v>
      </c>
      <c r="D1048" s="13" t="s">
        <v>1116</v>
      </c>
      <c r="E1048" s="13">
        <v>954</v>
      </c>
      <c r="F1048" s="13" t="s">
        <v>22</v>
      </c>
      <c r="G1048" s="9" t="e">
        <f>VLOOKUP(B1048,'Property Name List'!A$2:D$834,3,FALSE)</f>
        <v>#N/A</v>
      </c>
      <c r="H1048" s="15">
        <v>46147</v>
      </c>
      <c r="I1048" t="s">
        <v>14</v>
      </c>
      <c r="J1048">
        <f>VLOOKUP(E1048,'Room Count'!A$2:B$2616,2,FALSE)</f>
        <v>125</v>
      </c>
    </row>
    <row r="1049" spans="1:10">
      <c r="A1049" s="13" t="s">
        <v>49</v>
      </c>
      <c r="B1049" s="13" t="s">
        <v>1117</v>
      </c>
      <c r="C1049" s="26">
        <v>110065</v>
      </c>
      <c r="D1049" s="13" t="s">
        <v>1117</v>
      </c>
      <c r="E1049" s="13">
        <v>953</v>
      </c>
      <c r="F1049" s="13" t="s">
        <v>22</v>
      </c>
      <c r="G1049" s="9" t="e">
        <f>VLOOKUP(B1049,'Property Name List'!A$2:D$834,3,FALSE)</f>
        <v>#N/A</v>
      </c>
      <c r="H1049" s="15">
        <v>46147</v>
      </c>
      <c r="I1049" t="s">
        <v>14</v>
      </c>
      <c r="J1049">
        <f>VLOOKUP(E1049,'Room Count'!A$2:B$2616,2,FALSE)</f>
        <v>90</v>
      </c>
    </row>
    <row r="1050" spans="1:10">
      <c r="A1050" s="13" t="s">
        <v>49</v>
      </c>
      <c r="B1050" s="13" t="s">
        <v>1118</v>
      </c>
      <c r="C1050" s="26">
        <v>110063</v>
      </c>
      <c r="D1050" s="13" t="s">
        <v>1118</v>
      </c>
      <c r="E1050" s="13">
        <v>952</v>
      </c>
      <c r="F1050" s="13" t="s">
        <v>22</v>
      </c>
      <c r="G1050" s="9" t="e">
        <f>VLOOKUP(B1050,'Property Name List'!A$2:D$834,3,FALSE)</f>
        <v>#N/A</v>
      </c>
      <c r="H1050" s="15">
        <v>46147</v>
      </c>
      <c r="I1050" t="s">
        <v>14</v>
      </c>
      <c r="J1050">
        <f>VLOOKUP(E1050,'Room Count'!A$2:B$2616,2,FALSE)</f>
        <v>108</v>
      </c>
    </row>
    <row r="1051" spans="1:10">
      <c r="A1051" s="13" t="s">
        <v>49</v>
      </c>
      <c r="B1051" s="13" t="s">
        <v>1119</v>
      </c>
      <c r="C1051" s="26">
        <v>110061</v>
      </c>
      <c r="D1051" s="13" t="s">
        <v>1119</v>
      </c>
      <c r="E1051" s="13">
        <v>951</v>
      </c>
      <c r="F1051" s="13" t="s">
        <v>22</v>
      </c>
      <c r="G1051" s="9" t="e">
        <f>VLOOKUP(B1051,'Property Name List'!A$2:D$834,3,FALSE)</f>
        <v>#N/A</v>
      </c>
      <c r="H1051" s="15">
        <v>46147</v>
      </c>
      <c r="I1051" t="s">
        <v>14</v>
      </c>
      <c r="J1051">
        <f>VLOOKUP(E1051,'Room Count'!A$2:B$2616,2,FALSE)</f>
        <v>145</v>
      </c>
    </row>
    <row r="1052" spans="1:10">
      <c r="A1052" s="13" t="s">
        <v>49</v>
      </c>
      <c r="B1052" s="13" t="s">
        <v>1120</v>
      </c>
      <c r="C1052" s="26">
        <v>110059</v>
      </c>
      <c r="D1052" s="13" t="s">
        <v>1120</v>
      </c>
      <c r="E1052" s="13">
        <v>950</v>
      </c>
      <c r="F1052" s="13" t="s">
        <v>22</v>
      </c>
      <c r="G1052" s="9" t="e">
        <f>VLOOKUP(B1052,'Property Name List'!A$2:D$834,3,FALSE)</f>
        <v>#N/A</v>
      </c>
      <c r="H1052" s="15">
        <v>46147</v>
      </c>
      <c r="I1052" t="s">
        <v>14</v>
      </c>
      <c r="J1052">
        <f>VLOOKUP(E1052,'Room Count'!A$2:B$2616,2,FALSE)</f>
        <v>98</v>
      </c>
    </row>
    <row r="1053" spans="1:10">
      <c r="A1053" s="13" t="s">
        <v>49</v>
      </c>
      <c r="B1053" s="13" t="s">
        <v>1121</v>
      </c>
      <c r="C1053" s="26">
        <v>110057</v>
      </c>
      <c r="D1053" s="13" t="s">
        <v>1121</v>
      </c>
      <c r="E1053" s="13">
        <v>949</v>
      </c>
      <c r="F1053" s="13" t="s">
        <v>22</v>
      </c>
      <c r="G1053" s="9" t="e">
        <f>VLOOKUP(B1053,'Property Name List'!A$2:D$834,3,FALSE)</f>
        <v>#N/A</v>
      </c>
      <c r="H1053" s="15">
        <v>46147</v>
      </c>
      <c r="I1053" t="s">
        <v>14</v>
      </c>
      <c r="J1053">
        <f>VLOOKUP(E1053,'Room Count'!A$2:B$2616,2,FALSE)</f>
        <v>92</v>
      </c>
    </row>
    <row r="1054" spans="1:10">
      <c r="A1054" s="13" t="s">
        <v>49</v>
      </c>
      <c r="B1054" s="13" t="s">
        <v>1122</v>
      </c>
      <c r="C1054" s="26">
        <v>110055</v>
      </c>
      <c r="D1054" s="13" t="s">
        <v>1122</v>
      </c>
      <c r="E1054" s="13">
        <v>948</v>
      </c>
      <c r="F1054" s="13" t="s">
        <v>22</v>
      </c>
      <c r="G1054" s="9" t="e">
        <f>VLOOKUP(B1054,'Property Name List'!A$2:D$834,3,FALSE)</f>
        <v>#N/A</v>
      </c>
      <c r="H1054" s="15">
        <v>46147</v>
      </c>
      <c r="I1054" t="s">
        <v>14</v>
      </c>
      <c r="J1054">
        <f>VLOOKUP(E1054,'Room Count'!A$2:B$2616,2,FALSE)</f>
        <v>105</v>
      </c>
    </row>
    <row r="1055" spans="1:10">
      <c r="A1055" s="13" t="s">
        <v>49</v>
      </c>
      <c r="B1055" s="13" t="s">
        <v>1123</v>
      </c>
      <c r="C1055" s="26">
        <v>110053</v>
      </c>
      <c r="D1055" s="13" t="s">
        <v>1123</v>
      </c>
      <c r="E1055" s="13">
        <v>947</v>
      </c>
      <c r="F1055" s="13" t="s">
        <v>22</v>
      </c>
      <c r="G1055" s="9" t="e">
        <f>VLOOKUP(B1055,'Property Name List'!A$2:D$834,3,FALSE)</f>
        <v>#N/A</v>
      </c>
      <c r="H1055" s="15">
        <v>46147</v>
      </c>
      <c r="I1055" t="s">
        <v>14</v>
      </c>
      <c r="J1055">
        <f>VLOOKUP(E1055,'Room Count'!A$2:B$2616,2,FALSE)</f>
        <v>156</v>
      </c>
    </row>
    <row r="1056" spans="1:10">
      <c r="A1056" s="13" t="s">
        <v>49</v>
      </c>
      <c r="B1056" s="13" t="s">
        <v>1124</v>
      </c>
      <c r="C1056" s="26">
        <v>110049</v>
      </c>
      <c r="D1056" s="13" t="s">
        <v>1124</v>
      </c>
      <c r="E1056" s="13">
        <v>945</v>
      </c>
      <c r="F1056" s="13" t="s">
        <v>22</v>
      </c>
      <c r="G1056" s="9" t="e">
        <f>VLOOKUP(B1056,'Property Name List'!A$2:D$834,3,FALSE)</f>
        <v>#N/A</v>
      </c>
      <c r="H1056" s="15">
        <v>46147</v>
      </c>
      <c r="I1056" t="s">
        <v>14</v>
      </c>
      <c r="J1056">
        <f>VLOOKUP(E1056,'Room Count'!A$2:B$2616,2,FALSE)</f>
        <v>97</v>
      </c>
    </row>
    <row r="1057" spans="1:10">
      <c r="A1057" s="13" t="s">
        <v>49</v>
      </c>
      <c r="B1057" s="13" t="s">
        <v>1125</v>
      </c>
      <c r="C1057" s="26">
        <v>110047</v>
      </c>
      <c r="D1057" s="13" t="s">
        <v>1125</v>
      </c>
      <c r="E1057" s="13">
        <v>944</v>
      </c>
      <c r="F1057" s="13" t="s">
        <v>22</v>
      </c>
      <c r="G1057" s="9" t="e">
        <f>VLOOKUP(B1057,'Property Name List'!A$2:D$834,3,FALSE)</f>
        <v>#N/A</v>
      </c>
      <c r="H1057" s="15">
        <v>46147</v>
      </c>
      <c r="I1057" t="s">
        <v>14</v>
      </c>
      <c r="J1057">
        <f>VLOOKUP(E1057,'Room Count'!A$2:B$2616,2,FALSE)</f>
        <v>103</v>
      </c>
    </row>
    <row r="1058" spans="1:10">
      <c r="A1058" s="13" t="s">
        <v>49</v>
      </c>
      <c r="B1058" s="13" t="s">
        <v>1126</v>
      </c>
      <c r="C1058" s="26">
        <v>110045</v>
      </c>
      <c r="D1058" s="13" t="s">
        <v>1126</v>
      </c>
      <c r="E1058" s="13">
        <v>943</v>
      </c>
      <c r="F1058" s="13" t="s">
        <v>22</v>
      </c>
      <c r="G1058" s="9" t="e">
        <f>VLOOKUP(B1058,'Property Name List'!A$2:D$834,3,FALSE)</f>
        <v>#N/A</v>
      </c>
      <c r="H1058" s="15">
        <v>46147</v>
      </c>
      <c r="I1058" t="s">
        <v>14</v>
      </c>
      <c r="J1058">
        <f>VLOOKUP(E1058,'Room Count'!A$2:B$2616,2,FALSE)</f>
        <v>82</v>
      </c>
    </row>
    <row r="1059" spans="1:10">
      <c r="A1059" s="13" t="s">
        <v>49</v>
      </c>
      <c r="B1059" s="13" t="s">
        <v>1127</v>
      </c>
      <c r="C1059" s="26">
        <v>110043</v>
      </c>
      <c r="D1059" s="13" t="s">
        <v>1127</v>
      </c>
      <c r="E1059" s="13">
        <v>942</v>
      </c>
      <c r="F1059" s="13" t="s">
        <v>22</v>
      </c>
      <c r="G1059" s="9" t="e">
        <f>VLOOKUP(B1059,'Property Name List'!A$2:D$834,3,FALSE)</f>
        <v>#N/A</v>
      </c>
      <c r="H1059" s="15">
        <v>46147</v>
      </c>
      <c r="I1059" t="s">
        <v>14</v>
      </c>
      <c r="J1059">
        <f>VLOOKUP(E1059,'Room Count'!A$2:B$2616,2,FALSE)</f>
        <v>130</v>
      </c>
    </row>
    <row r="1060" spans="1:10">
      <c r="A1060" s="13" t="s">
        <v>49</v>
      </c>
      <c r="B1060" s="13" t="s">
        <v>1128</v>
      </c>
      <c r="C1060" s="26">
        <v>110041</v>
      </c>
      <c r="D1060" s="13" t="s">
        <v>1128</v>
      </c>
      <c r="E1060" s="13">
        <v>941</v>
      </c>
      <c r="F1060" s="13" t="s">
        <v>22</v>
      </c>
      <c r="G1060" s="9" t="e">
        <f>VLOOKUP(B1060,'Property Name List'!A$2:D$834,3,FALSE)</f>
        <v>#N/A</v>
      </c>
      <c r="H1060" s="15">
        <v>46147</v>
      </c>
      <c r="I1060" t="s">
        <v>14</v>
      </c>
      <c r="J1060">
        <f>VLOOKUP(E1060,'Room Count'!A$2:B$2616,2,FALSE)</f>
        <v>103</v>
      </c>
    </row>
    <row r="1061" spans="1:10">
      <c r="A1061" s="13" t="s">
        <v>49</v>
      </c>
      <c r="B1061" s="13" t="s">
        <v>1129</v>
      </c>
      <c r="C1061" s="26">
        <v>110039</v>
      </c>
      <c r="D1061" s="13" t="s">
        <v>1129</v>
      </c>
      <c r="E1061" s="13">
        <v>940</v>
      </c>
      <c r="F1061" s="13" t="s">
        <v>22</v>
      </c>
      <c r="G1061" s="9" t="e">
        <f>VLOOKUP(B1061,'Property Name List'!A$2:D$834,3,FALSE)</f>
        <v>#N/A</v>
      </c>
      <c r="H1061" s="15">
        <v>46147</v>
      </c>
      <c r="I1061" t="s">
        <v>14</v>
      </c>
      <c r="J1061">
        <f>VLOOKUP(E1061,'Room Count'!A$2:B$2616,2,FALSE)</f>
        <v>103</v>
      </c>
    </row>
    <row r="1062" spans="1:10">
      <c r="A1062" s="13" t="s">
        <v>49</v>
      </c>
      <c r="B1062" s="13" t="s">
        <v>1130</v>
      </c>
      <c r="C1062" s="26">
        <v>110037</v>
      </c>
      <c r="D1062" s="13" t="s">
        <v>1130</v>
      </c>
      <c r="E1062" s="13">
        <v>939</v>
      </c>
      <c r="F1062" s="13" t="s">
        <v>22</v>
      </c>
      <c r="G1062" s="9" t="e">
        <f>VLOOKUP(B1062,'Property Name List'!A$2:D$834,3,FALSE)</f>
        <v>#N/A</v>
      </c>
      <c r="H1062" s="15">
        <v>46147</v>
      </c>
      <c r="I1062" t="s">
        <v>14</v>
      </c>
      <c r="J1062">
        <f>VLOOKUP(E1062,'Room Count'!A$2:B$2616,2,FALSE)</f>
        <v>81</v>
      </c>
    </row>
    <row r="1063" spans="1:10">
      <c r="A1063" s="13" t="s">
        <v>49</v>
      </c>
      <c r="B1063" s="13" t="s">
        <v>1131</v>
      </c>
      <c r="C1063" s="26">
        <v>110035</v>
      </c>
      <c r="D1063" s="13" t="s">
        <v>1131</v>
      </c>
      <c r="E1063" s="13">
        <v>938</v>
      </c>
      <c r="F1063" s="13" t="s">
        <v>22</v>
      </c>
      <c r="G1063" s="9" t="e">
        <f>VLOOKUP(B1063,'Property Name List'!A$2:D$834,3,FALSE)</f>
        <v>#N/A</v>
      </c>
      <c r="H1063" s="15">
        <v>46147</v>
      </c>
      <c r="I1063" t="s">
        <v>14</v>
      </c>
      <c r="J1063">
        <f>VLOOKUP(E1063,'Room Count'!A$2:B$2616,2,FALSE)</f>
        <v>100</v>
      </c>
    </row>
    <row r="1064" spans="1:10">
      <c r="A1064" s="13" t="s">
        <v>49</v>
      </c>
      <c r="B1064" s="13" t="s">
        <v>1132</v>
      </c>
      <c r="C1064" s="26">
        <v>110033</v>
      </c>
      <c r="D1064" s="13" t="s">
        <v>1132</v>
      </c>
      <c r="E1064" s="13">
        <v>937</v>
      </c>
      <c r="F1064" s="13" t="s">
        <v>22</v>
      </c>
      <c r="G1064" s="9" t="e">
        <f>VLOOKUP(B1064,'Property Name List'!A$2:D$834,3,FALSE)</f>
        <v>#N/A</v>
      </c>
      <c r="H1064" s="15">
        <v>46147</v>
      </c>
      <c r="I1064" t="s">
        <v>14</v>
      </c>
      <c r="J1064">
        <f>VLOOKUP(E1064,'Room Count'!A$2:B$2616,2,FALSE)</f>
        <v>77</v>
      </c>
    </row>
    <row r="1065" spans="1:10">
      <c r="A1065" s="13" t="s">
        <v>49</v>
      </c>
      <c r="B1065" s="13" t="s">
        <v>1133</v>
      </c>
      <c r="C1065" s="26">
        <v>110031</v>
      </c>
      <c r="D1065" s="13" t="s">
        <v>1133</v>
      </c>
      <c r="E1065" s="13">
        <v>936</v>
      </c>
      <c r="F1065" s="13" t="s">
        <v>22</v>
      </c>
      <c r="G1065" s="9" t="e">
        <f>VLOOKUP(B1065,'Property Name List'!A$2:D$834,3,FALSE)</f>
        <v>#N/A</v>
      </c>
      <c r="H1065" s="15">
        <v>46147</v>
      </c>
      <c r="I1065" t="s">
        <v>14</v>
      </c>
      <c r="J1065">
        <f>VLOOKUP(E1065,'Room Count'!A$2:B$2616,2,FALSE)</f>
        <v>98</v>
      </c>
    </row>
    <row r="1066" spans="1:10">
      <c r="A1066" s="13" t="s">
        <v>49</v>
      </c>
      <c r="B1066" s="13" t="s">
        <v>1134</v>
      </c>
      <c r="C1066" s="26">
        <v>110029</v>
      </c>
      <c r="D1066" s="13" t="s">
        <v>1134</v>
      </c>
      <c r="E1066" s="13">
        <v>935</v>
      </c>
      <c r="F1066" s="13" t="s">
        <v>22</v>
      </c>
      <c r="G1066" s="9" t="e">
        <f>VLOOKUP(B1066,'Property Name List'!A$2:D$834,3,FALSE)</f>
        <v>#N/A</v>
      </c>
      <c r="H1066" s="15">
        <v>46147</v>
      </c>
      <c r="I1066" t="s">
        <v>14</v>
      </c>
      <c r="J1066">
        <f>VLOOKUP(E1066,'Room Count'!A$2:B$2616,2,FALSE)</f>
        <v>98</v>
      </c>
    </row>
    <row r="1067" spans="1:10">
      <c r="A1067" s="13" t="s">
        <v>49</v>
      </c>
      <c r="B1067" s="13" t="s">
        <v>1135</v>
      </c>
      <c r="C1067" s="26">
        <v>110027</v>
      </c>
      <c r="D1067" s="13" t="s">
        <v>1135</v>
      </c>
      <c r="E1067" s="13">
        <v>934</v>
      </c>
      <c r="F1067" s="13" t="s">
        <v>22</v>
      </c>
      <c r="G1067" s="9" t="e">
        <f>VLOOKUP(B1067,'Property Name List'!A$2:D$834,3,FALSE)</f>
        <v>#N/A</v>
      </c>
      <c r="H1067" s="15">
        <v>46147</v>
      </c>
      <c r="I1067" t="s">
        <v>14</v>
      </c>
      <c r="J1067">
        <f>VLOOKUP(E1067,'Room Count'!A$2:B$2616,2,FALSE)</f>
        <v>119</v>
      </c>
    </row>
    <row r="1068" spans="1:10">
      <c r="A1068" s="13" t="s">
        <v>49</v>
      </c>
      <c r="B1068" s="13" t="s">
        <v>1136</v>
      </c>
      <c r="C1068" s="26">
        <v>110025</v>
      </c>
      <c r="D1068" s="13" t="s">
        <v>1136</v>
      </c>
      <c r="E1068" s="13">
        <v>933</v>
      </c>
      <c r="F1068" s="13" t="s">
        <v>22</v>
      </c>
      <c r="G1068" s="9" t="e">
        <f>VLOOKUP(B1068,'Property Name List'!A$2:D$834,3,FALSE)</f>
        <v>#N/A</v>
      </c>
      <c r="H1068" s="15">
        <v>46147</v>
      </c>
      <c r="I1068" t="s">
        <v>14</v>
      </c>
      <c r="J1068">
        <f>VLOOKUP(E1068,'Room Count'!A$2:B$2616,2,FALSE)</f>
        <v>78</v>
      </c>
    </row>
    <row r="1069" spans="1:10">
      <c r="A1069" s="13" t="s">
        <v>49</v>
      </c>
      <c r="B1069" s="13" t="s">
        <v>1137</v>
      </c>
      <c r="C1069" s="26">
        <v>110023</v>
      </c>
      <c r="D1069" s="13" t="s">
        <v>1137</v>
      </c>
      <c r="E1069" s="13">
        <v>932</v>
      </c>
      <c r="F1069" s="13" t="s">
        <v>22</v>
      </c>
      <c r="G1069" s="9" t="e">
        <f>VLOOKUP(B1069,'Property Name List'!A$2:D$834,3,FALSE)</f>
        <v>#N/A</v>
      </c>
      <c r="H1069" s="15">
        <v>46147</v>
      </c>
      <c r="I1069" t="s">
        <v>14</v>
      </c>
      <c r="J1069">
        <f>VLOOKUP(E1069,'Room Count'!A$2:B$2616,2,FALSE)</f>
        <v>104</v>
      </c>
    </row>
    <row r="1070" spans="1:10">
      <c r="A1070" s="13" t="s">
        <v>49</v>
      </c>
      <c r="B1070" s="13" t="s">
        <v>1138</v>
      </c>
      <c r="C1070" s="26">
        <v>110021</v>
      </c>
      <c r="D1070" s="13" t="s">
        <v>1138</v>
      </c>
      <c r="E1070" s="13">
        <v>931</v>
      </c>
      <c r="F1070" s="13" t="s">
        <v>22</v>
      </c>
      <c r="G1070" s="9" t="e">
        <f>VLOOKUP(B1070,'Property Name List'!A$2:D$834,3,FALSE)</f>
        <v>#N/A</v>
      </c>
      <c r="H1070" s="15">
        <v>46147</v>
      </c>
      <c r="I1070" t="s">
        <v>14</v>
      </c>
      <c r="J1070">
        <f>VLOOKUP(E1070,'Room Count'!A$2:B$2616,2,FALSE)</f>
        <v>116</v>
      </c>
    </row>
    <row r="1071" spans="1:10">
      <c r="A1071" s="13" t="s">
        <v>49</v>
      </c>
      <c r="B1071" s="13" t="s">
        <v>1139</v>
      </c>
      <c r="C1071" s="26">
        <v>110019</v>
      </c>
      <c r="D1071" s="13" t="s">
        <v>1139</v>
      </c>
      <c r="E1071" s="13">
        <v>930</v>
      </c>
      <c r="F1071" s="13" t="s">
        <v>22</v>
      </c>
      <c r="G1071" s="9" t="e">
        <f>VLOOKUP(B1071,'Property Name List'!A$2:D$834,3,FALSE)</f>
        <v>#N/A</v>
      </c>
      <c r="H1071" s="15">
        <v>46147</v>
      </c>
      <c r="I1071" t="s">
        <v>14</v>
      </c>
      <c r="J1071">
        <f>VLOOKUP(E1071,'Room Count'!A$2:B$2616,2,FALSE)</f>
        <v>83</v>
      </c>
    </row>
    <row r="1072" spans="1:10">
      <c r="A1072" s="13" t="s">
        <v>49</v>
      </c>
      <c r="B1072" s="13" t="s">
        <v>1140</v>
      </c>
      <c r="C1072" s="26">
        <v>110017</v>
      </c>
      <c r="D1072" s="13" t="s">
        <v>1140</v>
      </c>
      <c r="E1072" s="13">
        <v>929</v>
      </c>
      <c r="F1072" s="13" t="s">
        <v>22</v>
      </c>
      <c r="G1072" s="9" t="e">
        <f>VLOOKUP(B1072,'Property Name List'!A$2:D$834,3,FALSE)</f>
        <v>#N/A</v>
      </c>
      <c r="H1072" s="15">
        <v>46147</v>
      </c>
      <c r="I1072" t="s">
        <v>14</v>
      </c>
      <c r="J1072">
        <f>VLOOKUP(E1072,'Room Count'!A$2:B$2616,2,FALSE)</f>
        <v>90</v>
      </c>
    </row>
    <row r="1073" spans="1:10">
      <c r="A1073" s="13" t="s">
        <v>49</v>
      </c>
      <c r="B1073" s="13" t="s">
        <v>1141</v>
      </c>
      <c r="C1073" s="26">
        <v>110015</v>
      </c>
      <c r="D1073" s="13" t="s">
        <v>1141</v>
      </c>
      <c r="E1073" s="13">
        <v>928</v>
      </c>
      <c r="F1073" s="13" t="s">
        <v>22</v>
      </c>
      <c r="G1073" s="9" t="e">
        <f>VLOOKUP(B1073,'Property Name List'!A$2:D$834,3,FALSE)</f>
        <v>#N/A</v>
      </c>
      <c r="H1073" s="15">
        <v>46147</v>
      </c>
      <c r="I1073" t="s">
        <v>14</v>
      </c>
      <c r="J1073">
        <f>VLOOKUP(E1073,'Room Count'!A$2:B$2616,2,FALSE)</f>
        <v>123</v>
      </c>
    </row>
    <row r="1074" spans="1:10">
      <c r="A1074" s="13" t="s">
        <v>49</v>
      </c>
      <c r="B1074" s="13" t="s">
        <v>1142</v>
      </c>
      <c r="C1074" s="26">
        <v>110013</v>
      </c>
      <c r="D1074" s="13" t="s">
        <v>1142</v>
      </c>
      <c r="E1074" s="13">
        <v>927</v>
      </c>
      <c r="F1074" s="13" t="s">
        <v>22</v>
      </c>
      <c r="G1074" s="9" t="e">
        <f>VLOOKUP(B1074,'Property Name List'!A$2:D$834,3,FALSE)</f>
        <v>#N/A</v>
      </c>
      <c r="H1074" s="15">
        <v>46147</v>
      </c>
      <c r="I1074" t="s">
        <v>14</v>
      </c>
      <c r="J1074">
        <f>VLOOKUP(E1074,'Room Count'!A$2:B$2616,2,FALSE)</f>
        <v>121</v>
      </c>
    </row>
    <row r="1075" spans="1:10">
      <c r="A1075" s="13" t="s">
        <v>49</v>
      </c>
      <c r="B1075" s="13" t="s">
        <v>1143</v>
      </c>
      <c r="C1075" s="26">
        <v>110011</v>
      </c>
      <c r="D1075" s="13" t="s">
        <v>1143</v>
      </c>
      <c r="E1075" s="13">
        <v>926</v>
      </c>
      <c r="F1075" s="13" t="s">
        <v>22</v>
      </c>
      <c r="G1075" s="9" t="e">
        <f>VLOOKUP(B1075,'Property Name List'!A$2:D$834,3,FALSE)</f>
        <v>#N/A</v>
      </c>
      <c r="H1075" s="15">
        <v>46147</v>
      </c>
      <c r="I1075" t="s">
        <v>14</v>
      </c>
      <c r="J1075">
        <f>VLOOKUP(E1075,'Room Count'!A$2:B$2616,2,FALSE)</f>
        <v>146</v>
      </c>
    </row>
    <row r="1076" spans="1:10">
      <c r="A1076" s="13" t="s">
        <v>49</v>
      </c>
      <c r="B1076" s="13" t="s">
        <v>1144</v>
      </c>
      <c r="C1076" s="26">
        <v>110009</v>
      </c>
      <c r="D1076" s="13" t="s">
        <v>1144</v>
      </c>
      <c r="E1076" s="13">
        <v>925</v>
      </c>
      <c r="F1076" s="13" t="s">
        <v>22</v>
      </c>
      <c r="G1076" s="9" t="e">
        <f>VLOOKUP(B1076,'Property Name List'!A$2:D$834,3,FALSE)</f>
        <v>#N/A</v>
      </c>
      <c r="H1076" s="15">
        <v>46147</v>
      </c>
      <c r="I1076" t="s">
        <v>14</v>
      </c>
      <c r="J1076">
        <f>VLOOKUP(E1076,'Room Count'!A$2:B$2616,2,FALSE)</f>
        <v>100</v>
      </c>
    </row>
    <row r="1077" spans="1:10">
      <c r="A1077" s="13" t="s">
        <v>49</v>
      </c>
      <c r="B1077" s="13" t="s">
        <v>1145</v>
      </c>
      <c r="C1077" s="26">
        <v>110007</v>
      </c>
      <c r="D1077" s="13" t="s">
        <v>1145</v>
      </c>
      <c r="E1077" s="13">
        <v>924</v>
      </c>
      <c r="F1077" s="13" t="s">
        <v>22</v>
      </c>
      <c r="G1077" s="9" t="e">
        <f>VLOOKUP(B1077,'Property Name List'!A$2:D$834,3,FALSE)</f>
        <v>#N/A</v>
      </c>
      <c r="H1077" s="15">
        <v>46147</v>
      </c>
      <c r="I1077" t="s">
        <v>14</v>
      </c>
      <c r="J1077">
        <f>VLOOKUP(E1077,'Room Count'!A$2:B$2616,2,FALSE)</f>
        <v>93</v>
      </c>
    </row>
    <row r="1078" spans="1:10">
      <c r="A1078" s="13" t="s">
        <v>49</v>
      </c>
      <c r="B1078" s="13" t="s">
        <v>1146</v>
      </c>
      <c r="C1078" s="26">
        <v>110005</v>
      </c>
      <c r="D1078" s="13" t="s">
        <v>1146</v>
      </c>
      <c r="E1078" s="13">
        <v>923</v>
      </c>
      <c r="F1078" s="13" t="s">
        <v>22</v>
      </c>
      <c r="G1078" s="9" t="e">
        <f>VLOOKUP(B1078,'Property Name List'!A$2:D$834,3,FALSE)</f>
        <v>#N/A</v>
      </c>
      <c r="H1078" s="15">
        <v>46147</v>
      </c>
      <c r="I1078" t="s">
        <v>14</v>
      </c>
      <c r="J1078">
        <f>VLOOKUP(E1078,'Room Count'!A$2:B$2616,2,FALSE)</f>
        <v>150</v>
      </c>
    </row>
    <row r="1079" spans="1:10">
      <c r="A1079" s="13" t="s">
        <v>49</v>
      </c>
      <c r="B1079" s="13" t="s">
        <v>1147</v>
      </c>
      <c r="C1079" s="26">
        <v>110003</v>
      </c>
      <c r="D1079" s="13" t="s">
        <v>1147</v>
      </c>
      <c r="E1079" s="13">
        <v>922</v>
      </c>
      <c r="F1079" s="13" t="s">
        <v>22</v>
      </c>
      <c r="G1079" s="9" t="e">
        <f>VLOOKUP(B1079,'Property Name List'!A$2:D$834,3,FALSE)</f>
        <v>#N/A</v>
      </c>
      <c r="H1079" s="15">
        <v>46147</v>
      </c>
      <c r="I1079" t="s">
        <v>14</v>
      </c>
      <c r="J1079">
        <f>VLOOKUP(E1079,'Room Count'!A$2:B$2616,2,FALSE)</f>
        <v>78</v>
      </c>
    </row>
    <row r="1080" spans="1:10">
      <c r="A1080" s="13" t="s">
        <v>49</v>
      </c>
      <c r="B1080" s="13" t="s">
        <v>1148</v>
      </c>
      <c r="C1080" s="26">
        <v>110001</v>
      </c>
      <c r="D1080" s="13" t="s">
        <v>1148</v>
      </c>
      <c r="E1080" s="13">
        <v>921</v>
      </c>
      <c r="F1080" s="13" t="s">
        <v>22</v>
      </c>
      <c r="G1080" s="9" t="e">
        <f>VLOOKUP(B1080,'Property Name List'!A$2:D$834,3,FALSE)</f>
        <v>#N/A</v>
      </c>
      <c r="H1080" s="15">
        <v>46147</v>
      </c>
      <c r="I1080" t="s">
        <v>14</v>
      </c>
      <c r="J1080">
        <f>VLOOKUP(E1080,'Room Count'!A$2:B$2616,2,FALSE)</f>
        <v>91</v>
      </c>
    </row>
    <row r="1081" spans="1:10" hidden="1">
      <c r="A1081" s="13" t="s">
        <v>33</v>
      </c>
      <c r="B1081" s="13" t="s">
        <v>1149</v>
      </c>
      <c r="C1081" s="26">
        <v>110369</v>
      </c>
      <c r="D1081" s="13" t="s">
        <v>1149</v>
      </c>
      <c r="E1081" s="13">
        <v>1177</v>
      </c>
      <c r="F1081" s="13" t="s">
        <v>22</v>
      </c>
      <c r="G1081" s="9" t="e">
        <f>VLOOKUP(B1081,'Property Name List'!A$2:D$834,3,FALSE)</f>
        <v>#N/A</v>
      </c>
      <c r="H1081" s="15">
        <v>46154</v>
      </c>
      <c r="I1081" t="s">
        <v>14</v>
      </c>
      <c r="J1081">
        <f>VLOOKUP(E1081,'Room Count'!A$2:B$2616,2,FALSE)</f>
        <v>93</v>
      </c>
    </row>
    <row r="1082" spans="1:10" hidden="1">
      <c r="A1082" s="13" t="s">
        <v>33</v>
      </c>
      <c r="B1082" s="13" t="s">
        <v>1150</v>
      </c>
      <c r="C1082" s="26">
        <v>110367</v>
      </c>
      <c r="D1082" s="13" t="s">
        <v>1150</v>
      </c>
      <c r="E1082" s="13">
        <v>1176</v>
      </c>
      <c r="F1082" s="13" t="s">
        <v>22</v>
      </c>
      <c r="G1082" s="9" t="e">
        <f>VLOOKUP(B1082,'Property Name List'!A$2:D$834,3,FALSE)</f>
        <v>#N/A</v>
      </c>
      <c r="H1082" s="15">
        <v>46154</v>
      </c>
      <c r="I1082" t="s">
        <v>14</v>
      </c>
      <c r="J1082">
        <f>VLOOKUP(E1082,'Room Count'!A$2:B$2616,2,FALSE)</f>
        <v>130</v>
      </c>
    </row>
    <row r="1083" spans="1:10" hidden="1">
      <c r="A1083" s="13" t="s">
        <v>33</v>
      </c>
      <c r="B1083" s="13" t="s">
        <v>1151</v>
      </c>
      <c r="C1083" s="26">
        <v>110365</v>
      </c>
      <c r="D1083" s="13" t="s">
        <v>1151</v>
      </c>
      <c r="E1083" s="13">
        <v>1175</v>
      </c>
      <c r="F1083" s="13" t="s">
        <v>22</v>
      </c>
      <c r="G1083" s="9" t="e">
        <f>VLOOKUP(B1083,'Property Name List'!A$2:D$834,3,FALSE)</f>
        <v>#N/A</v>
      </c>
      <c r="H1083" s="15">
        <v>46154</v>
      </c>
      <c r="I1083" t="s">
        <v>14</v>
      </c>
      <c r="J1083">
        <f>VLOOKUP(E1083,'Room Count'!A$2:B$2616,2,FALSE)</f>
        <v>162</v>
      </c>
    </row>
    <row r="1084" spans="1:10">
      <c r="A1084" s="28" t="s">
        <v>9</v>
      </c>
      <c r="B1084" t="str">
        <f>VLOOKUP(D1084,Sheet1!D$2:H$15,2,FALSE)</f>
        <v>ATLMO</v>
      </c>
      <c r="C1084">
        <f>VLOOKUP(D1084,Sheet1!D$2:H$15,3,FALSE)</f>
        <v>100959</v>
      </c>
      <c r="D1084" s="29" t="s">
        <v>1152</v>
      </c>
      <c r="E1084">
        <f>VLOOKUP(D1084,Sheet1!D$2:H$15,4,FALSE)</f>
        <v>1648</v>
      </c>
      <c r="F1084" s="13" t="s">
        <v>12</v>
      </c>
      <c r="G1084" t="str">
        <f>VLOOKUP(D1084,Sheet1!D$2:H$15,5,FALSE)</f>
        <v>Fairfield by Marriott Inn &amp; Suites Morrow</v>
      </c>
      <c r="H1084" s="15">
        <v>46126</v>
      </c>
      <c r="I1084" t="s">
        <v>1153</v>
      </c>
      <c r="J1084">
        <f>VLOOKUP(E1084,'Room Count'!A$2:B$2616,2,FALSE)</f>
        <v>92</v>
      </c>
    </row>
    <row r="1085" spans="1:10">
      <c r="A1085" s="28" t="s">
        <v>9</v>
      </c>
      <c r="B1085" t="str">
        <f>VLOOKUP(D1085,Sheet1!D$2:H$15,2,FALSE)</f>
        <v>LNKYF</v>
      </c>
      <c r="C1085">
        <f>VLOOKUP(D1085,Sheet1!D$2:H$15,3,FALSE)</f>
        <v>200901</v>
      </c>
      <c r="D1085" s="29" t="s">
        <v>1154</v>
      </c>
      <c r="E1085">
        <f>VLOOKUP(D1085,Sheet1!D$2:H$15,4,FALSE)</f>
        <v>1653</v>
      </c>
      <c r="F1085" s="13" t="s">
        <v>20</v>
      </c>
      <c r="G1085" t="str">
        <f>VLOOKUP(D1085,Sheet1!D$2:H$15,5,FALSE)</f>
        <v>Fairfield by Marriott Inn &amp; Suites York</v>
      </c>
      <c r="H1085" s="15">
        <v>46128</v>
      </c>
      <c r="I1085" t="s">
        <v>1153</v>
      </c>
      <c r="J1085">
        <f>VLOOKUP(E1085,'Room Count'!A$2:B$2616,2,FALSE)</f>
        <v>79</v>
      </c>
    </row>
    <row r="1086" spans="1:10">
      <c r="A1086" s="28" t="s">
        <v>9</v>
      </c>
      <c r="B1086" t="str">
        <f>VLOOKUP(D1086,Sheet1!D$2:H$15,2,FALSE)</f>
        <v>INDLF</v>
      </c>
      <c r="C1086">
        <f>VLOOKUP(D1086,Sheet1!D$2:H$15,3,FALSE)</f>
        <v>100973</v>
      </c>
      <c r="D1086" s="29" t="s">
        <v>1155</v>
      </c>
      <c r="E1086">
        <f>VLOOKUP(D1086,Sheet1!D$2:H$15,4,FALSE)</f>
        <v>1831</v>
      </c>
      <c r="F1086" s="13" t="s">
        <v>12</v>
      </c>
      <c r="G1086" t="str">
        <f>VLOOKUP(D1086,Sheet1!D$2:H$15,5,FALSE)</f>
        <v>Fairfield by Marriott Inn &amp; Suites Lebanon</v>
      </c>
      <c r="H1086" s="15">
        <v>46154</v>
      </c>
      <c r="I1086" t="s">
        <v>1153</v>
      </c>
      <c r="J1086">
        <f>VLOOKUP(E1086,'Room Count'!A$2:B$2616,2,FALSE)</f>
        <v>92</v>
      </c>
    </row>
    <row r="1087" spans="1:10">
      <c r="A1087" s="28" t="s">
        <v>9</v>
      </c>
      <c r="B1087" t="str">
        <f>VLOOKUP(D1087,Sheet1!D$2:H$15,2,FALSE)</f>
        <v>ABQLF</v>
      </c>
      <c r="C1087">
        <f>VLOOKUP(D1087,Sheet1!D$2:H$15,3,FALSE)</f>
        <v>200903</v>
      </c>
      <c r="D1087" s="29" t="s">
        <v>1156</v>
      </c>
      <c r="E1087">
        <f>VLOOKUP(D1087,Sheet1!D$2:H$15,4,FALSE)</f>
        <v>1654</v>
      </c>
      <c r="F1087" s="13" t="s">
        <v>20</v>
      </c>
      <c r="G1087" t="str">
        <f>VLOOKUP(D1087,Sheet1!D$2:H$15,5,FALSE)</f>
        <v>Fairfield by Marriott Inn &amp; Suites Los Lunas</v>
      </c>
      <c r="H1087" s="15">
        <v>46156</v>
      </c>
      <c r="I1087" t="s">
        <v>1153</v>
      </c>
      <c r="J1087" t="e">
        <f>VLOOKUP(E1087,'Room Count'!A$2:B$2616,2,FALSE)</f>
        <v>#N/A</v>
      </c>
    </row>
    <row r="1088" spans="1:10">
      <c r="A1088" s="28" t="s">
        <v>9</v>
      </c>
      <c r="B1088" t="str">
        <f>VLOOKUP(D1088,Sheet1!D$2:H$15,2,FALSE)</f>
        <v>YOWOX</v>
      </c>
      <c r="C1088">
        <f>VLOOKUP(D1088,Sheet1!D$2:H$15,3,FALSE)</f>
        <v>100963</v>
      </c>
      <c r="D1088" s="29" t="s">
        <v>1157</v>
      </c>
      <c r="E1088">
        <f>VLOOKUP(D1088,Sheet1!D$2:H$15,4,FALSE)</f>
        <v>1650</v>
      </c>
      <c r="F1088" s="13" t="s">
        <v>12</v>
      </c>
      <c r="G1088" t="str">
        <f>VLOOKUP(D1088,Sheet1!D$2:H$15,5,FALSE)</f>
        <v>Moxy Ottawa Downtown</v>
      </c>
      <c r="H1088" s="15">
        <v>46161</v>
      </c>
      <c r="I1088" t="s">
        <v>1153</v>
      </c>
      <c r="J1088" t="e">
        <f>VLOOKUP(E1088,'Room Count'!A$2:B$2616,2,FALSE)</f>
        <v>#N/A</v>
      </c>
    </row>
    <row r="1089" spans="1:10">
      <c r="A1089" s="28" t="s">
        <v>9</v>
      </c>
      <c r="B1089" t="str">
        <f>VLOOKUP(D1089,Sheet1!D$2:H$15,2,FALSE)</f>
        <v>SAVPA</v>
      </c>
      <c r="C1089">
        <f>VLOOKUP(D1089,Sheet1!D$2:H$15,3,FALSE)</f>
        <v>100969</v>
      </c>
      <c r="D1089" s="29" t="s">
        <v>1158</v>
      </c>
      <c r="E1089">
        <f>VLOOKUP(D1089,Sheet1!D$2:H$15,4,FALSE)</f>
        <v>1656</v>
      </c>
      <c r="F1089" s="13" t="s">
        <v>12</v>
      </c>
      <c r="G1089" t="str">
        <f>VLOOKUP(D1089,Sheet1!D$2:H$15,5,FALSE)</f>
        <v>Four Points by Sheraton Savannah Airport</v>
      </c>
      <c r="H1089" s="15">
        <v>46170</v>
      </c>
      <c r="I1089" t="s">
        <v>1153</v>
      </c>
      <c r="J1089" t="e">
        <f>VLOOKUP(E1089,'Room Count'!A$2:B$2616,2,FALSE)</f>
        <v>#N/A</v>
      </c>
    </row>
    <row r="1090" spans="1:10">
      <c r="A1090" s="28" t="s">
        <v>9</v>
      </c>
      <c r="B1090" t="str">
        <f>VLOOKUP(D1090,Sheet1!D$2:H$15,2,FALSE)</f>
        <v>BOSSF</v>
      </c>
      <c r="C1090">
        <f>VLOOKUP(D1090,Sheet1!D$2:H$15,3,FALSE)</f>
        <v>100955</v>
      </c>
      <c r="D1090" s="29" t="s">
        <v>1159</v>
      </c>
      <c r="E1090">
        <f>VLOOKUP(D1090,Sheet1!D$2:H$15,4,FALSE)</f>
        <v>1624</v>
      </c>
      <c r="F1090" s="13" t="s">
        <v>12</v>
      </c>
      <c r="G1090" t="str">
        <f>VLOOKUP(D1090,Sheet1!D$2:H$15,5,FALSE)</f>
        <v>Fairfield by Marriott Inn &amp; Suites Stoughton</v>
      </c>
      <c r="H1090" s="15">
        <v>46176</v>
      </c>
      <c r="I1090" t="s">
        <v>1153</v>
      </c>
      <c r="J1090" t="e">
        <f>VLOOKUP(E1090,'Room Count'!A$2:B$2616,2,FALSE)</f>
        <v>#N/A</v>
      </c>
    </row>
    <row r="1091" spans="1:10">
      <c r="A1091" s="28" t="s">
        <v>9</v>
      </c>
      <c r="B1091" t="str">
        <f>VLOOKUP(D1091,Sheet1!D$2:H$15,2,FALSE)</f>
        <v>DENNC</v>
      </c>
      <c r="C1091">
        <f>VLOOKUP(D1091,Sheet1!D$2:H$15,3,FALSE)</f>
        <v>200897</v>
      </c>
      <c r="D1091" s="29" t="s">
        <v>1160</v>
      </c>
      <c r="E1091">
        <f>VLOOKUP(D1091,Sheet1!D$2:H$15,4,FALSE)</f>
        <v>1621</v>
      </c>
      <c r="F1091" s="13" t="s">
        <v>20</v>
      </c>
      <c r="G1091" t="str">
        <f>VLOOKUP(D1091,Sheet1!D$2:H$15,5,FALSE)</f>
        <v>AC Hotel Denver RiNo</v>
      </c>
      <c r="H1091" s="15">
        <v>46191</v>
      </c>
      <c r="I1091" t="s">
        <v>1153</v>
      </c>
      <c r="J1091" t="e">
        <f>VLOOKUP(E1091,'Room Count'!A$2:B$2616,2,FALSE)</f>
        <v>#N/A</v>
      </c>
    </row>
    <row r="1092" spans="1:10">
      <c r="A1092" s="28" t="s">
        <v>9</v>
      </c>
      <c r="B1092" t="str">
        <f>VLOOKUP(D1092,Sheet1!D$2:H$15,2,FALSE)</f>
        <v>CLESU</v>
      </c>
      <c r="C1092">
        <f>VLOOKUP(D1092,Sheet1!D$2:H$15,3,FALSE)</f>
        <v>100957</v>
      </c>
      <c r="D1092" s="29" t="s">
        <v>1161</v>
      </c>
      <c r="E1092">
        <f>VLOOKUP(D1092,Sheet1!D$2:H$15,4,FALSE)</f>
        <v>1625</v>
      </c>
      <c r="F1092" s="13" t="s">
        <v>12</v>
      </c>
      <c r="G1092" t="str">
        <f>VLOOKUP(D1092,Sheet1!D$2:H$15,5,FALSE)</f>
        <v>SpringHill Suites by Marriott Sandusky</v>
      </c>
      <c r="H1092" s="15">
        <v>46196</v>
      </c>
      <c r="I1092" t="s">
        <v>1153</v>
      </c>
      <c r="J1092" t="e">
        <f>VLOOKUP(E1092,'Room Count'!A$2:B$2616,2,FALSE)</f>
        <v>#N/A</v>
      </c>
    </row>
    <row r="1093" spans="1:10">
      <c r="A1093" s="28" t="s">
        <v>9</v>
      </c>
      <c r="B1093" t="str">
        <f>VLOOKUP(D1093,Sheet1!D$2:H$15,2,FALSE)</f>
        <v>SMFDA</v>
      </c>
      <c r="C1093">
        <f>VLOOKUP(D1093,Sheet1!D$2:H$15,3,FALSE)</f>
        <v>200899</v>
      </c>
      <c r="D1093" s="29" t="s">
        <v>1162</v>
      </c>
      <c r="E1093">
        <f>VLOOKUP(D1093,Sheet1!D$2:H$15,4,FALSE)</f>
        <v>1623</v>
      </c>
      <c r="F1093" s="13" t="s">
        <v>20</v>
      </c>
      <c r="G1093" t="str">
        <f>VLOOKUP(D1093,Sheet1!D$2:H$15,5,FALSE)</f>
        <v>Aloft El Dorado Hills</v>
      </c>
      <c r="H1093" s="15">
        <v>46198</v>
      </c>
      <c r="I1093" t="s">
        <v>1153</v>
      </c>
      <c r="J1093" t="e">
        <f>VLOOKUP(E1093,'Room Count'!A$2:B$2616,2,FALSE)</f>
        <v>#N/A</v>
      </c>
    </row>
    <row r="1094" spans="1:10">
      <c r="A1094" s="28" t="s">
        <v>9</v>
      </c>
      <c r="B1094" t="str">
        <f>VLOOKUP(D1094,Sheet1!D$2:H$15,2,FALSE)</f>
        <v>YYZBF</v>
      </c>
      <c r="C1094">
        <f>VLOOKUP(D1094,Sheet1!D$2:H$15,3,FALSE)</f>
        <v>100975</v>
      </c>
      <c r="D1094" s="29" t="s">
        <v>1163</v>
      </c>
      <c r="E1094">
        <f>VLOOKUP(D1094,Sheet1!D$2:H$15,4,FALSE)</f>
        <v>1835</v>
      </c>
      <c r="F1094" s="13" t="s">
        <v>12</v>
      </c>
      <c r="G1094" t="str">
        <f>VLOOKUP(D1094,Sheet1!D$2:H$15,5,FALSE)</f>
        <v>Fairfield by Marriott Inn &amp; Suites Bradford</v>
      </c>
      <c r="H1094" s="15">
        <v>46203</v>
      </c>
      <c r="I1094" t="s">
        <v>1153</v>
      </c>
      <c r="J1094" t="e">
        <f>VLOOKUP(E1094,'Room Count'!A$2:B$2616,2,FALSE)</f>
        <v>#N/A</v>
      </c>
    </row>
    <row r="1095" spans="1:10">
      <c r="A1095" s="28" t="s">
        <v>9</v>
      </c>
      <c r="B1095" t="str">
        <f>VLOOKUP(D1095,Sheet1!D$2:H$15,2,FALSE)</f>
        <v>DAYFS</v>
      </c>
      <c r="C1095">
        <f>VLOOKUP(D1095,Sheet1!D$2:H$15,3,FALSE)</f>
        <v>100961</v>
      </c>
      <c r="D1095" s="29" t="s">
        <v>1164</v>
      </c>
      <c r="E1095">
        <f>VLOOKUP(D1095,Sheet1!D$2:H$15,4,FALSE)</f>
        <v>1649</v>
      </c>
      <c r="F1095" s="13" t="s">
        <v>12</v>
      </c>
      <c r="G1095" t="str">
        <f>VLOOKUP(D1095,Sheet1!D$2:H$15,5,FALSE)</f>
        <v>Fairfield by Marriott Inn &amp; Suites Sidney</v>
      </c>
      <c r="H1095" s="15">
        <v>46237</v>
      </c>
      <c r="I1095" t="s">
        <v>1153</v>
      </c>
      <c r="J1095" t="e">
        <f>VLOOKUP(E1095,'Room Count'!A$2:B$2616,2,FALSE)</f>
        <v>#N/A</v>
      </c>
    </row>
    <row r="1096" spans="1:10">
      <c r="A1096" s="28" t="s">
        <v>9</v>
      </c>
      <c r="B1096" t="str">
        <f>VLOOKUP(D1096,Sheet1!D$2:H$15,2,FALSE)</f>
        <v>DALMN</v>
      </c>
      <c r="C1096">
        <f>VLOOKUP(D1096,Sheet1!D$2:H$15,3,FALSE)</f>
        <v>200905</v>
      </c>
      <c r="D1096" s="29" t="s">
        <v>1165</v>
      </c>
      <c r="E1096">
        <f>VLOOKUP(D1096,Sheet1!D$2:H$15,4,FALSE)</f>
        <v>1655</v>
      </c>
      <c r="F1096" s="13" t="s">
        <v>20</v>
      </c>
      <c r="G1096" t="str">
        <f>VLOOKUP(D1096,Sheet1!D$2:H$15,5,FALSE)</f>
        <v>AC Hotel McKinney</v>
      </c>
      <c r="H1096" s="15">
        <v>46240</v>
      </c>
      <c r="I1096" t="s">
        <v>1153</v>
      </c>
      <c r="J1096" t="e">
        <f>VLOOKUP(E1096,'Room Count'!A$2:B$2616,2,FALSE)</f>
        <v>#N/A</v>
      </c>
    </row>
    <row r="1097" spans="1:10">
      <c r="A1097" s="28" t="s">
        <v>9</v>
      </c>
      <c r="B1097" t="e">
        <f>VLOOKUP(D1097,Sheet1!D$2:H$15,2,FALSE)</f>
        <v>#N/A</v>
      </c>
      <c r="C1097" t="e">
        <f>VLOOKUP(D1097,Sheet1!D$2:H$15,3,FALSE)</f>
        <v>#N/A</v>
      </c>
      <c r="D1097" s="29" t="s">
        <v>1166</v>
      </c>
      <c r="E1097" t="e">
        <f>VLOOKUP(D1097,Sheet1!D$2:H$15,4,FALSE)</f>
        <v>#N/A</v>
      </c>
      <c r="G1097" t="e">
        <f>VLOOKUP(D1097,Sheet1!D$2:H$15,5,FALSE)</f>
        <v>#N/A</v>
      </c>
      <c r="H1097" s="15">
        <v>46253</v>
      </c>
      <c r="I1097" t="s">
        <v>1153</v>
      </c>
      <c r="J1097" t="e">
        <f>VLOOKUP(E1097,'Room Count'!A$2:B$2616,2,FALSE)</f>
        <v>#N/A</v>
      </c>
    </row>
    <row r="1098" spans="1:10">
      <c r="A1098" s="28" t="s">
        <v>9</v>
      </c>
      <c r="B1098" t="str">
        <f>VLOOKUP(D1098,Sheet1!D$2:H$15,2,FALSE)</f>
        <v>DTWSH</v>
      </c>
      <c r="C1098">
        <f>VLOOKUP(D1098,Sheet1!D$2:H$15,3,FALSE)</f>
        <v>100965</v>
      </c>
      <c r="D1098" s="29" t="s">
        <v>1167</v>
      </c>
      <c r="E1098">
        <f>VLOOKUP(D1098,Sheet1!D$2:H$15,4,FALSE)</f>
        <v>1651</v>
      </c>
      <c r="F1098" s="13" t="s">
        <v>12</v>
      </c>
      <c r="G1098" t="str">
        <f>VLOOKUP(D1098,Sheet1!D$2:H$15,5,FALSE)</f>
        <v>Fairfield by Marriott Inn &amp; Suites Detroit Sterling Heights</v>
      </c>
      <c r="H1098" s="15">
        <v>46261</v>
      </c>
      <c r="I1098" t="s">
        <v>1153</v>
      </c>
      <c r="J1098" t="e">
        <f>VLOOKUP(E1098,'Room Count'!A$2:B$2616,2,FALSE)</f>
        <v>#N/A</v>
      </c>
    </row>
    <row r="1099" spans="1:10">
      <c r="A1099" s="28" t="s">
        <v>9</v>
      </c>
      <c r="B1099" t="e">
        <f>VLOOKUP(D1099,Sheet1!D$2:H$15,2,FALSE)</f>
        <v>#N/A</v>
      </c>
      <c r="C1099" t="e">
        <f>VLOOKUP(D1099,Sheet1!D$2:H$15,3,FALSE)</f>
        <v>#N/A</v>
      </c>
      <c r="D1099" s="29" t="s">
        <v>1168</v>
      </c>
      <c r="E1099" t="e">
        <f>VLOOKUP(D1099,Sheet1!D$2:H$15,4,FALSE)</f>
        <v>#N/A</v>
      </c>
      <c r="G1099" t="e">
        <f>VLOOKUP(D1099,Sheet1!D$2:H$15,5,FALSE)</f>
        <v>#N/A</v>
      </c>
      <c r="H1099" s="15">
        <v>46541</v>
      </c>
      <c r="I1099" t="s">
        <v>1153</v>
      </c>
      <c r="J1099" t="e">
        <f>VLOOKUP(E1099,'Room Count'!A$2:B$2616,2,FALSE)</f>
        <v>#N/A</v>
      </c>
    </row>
    <row r="1100" spans="1:10" hidden="1">
      <c r="A1100" t="s">
        <v>43</v>
      </c>
      <c r="B1100" t="s">
        <v>1169</v>
      </c>
      <c r="C1100">
        <v>111001</v>
      </c>
      <c r="D1100" t="s">
        <v>1169</v>
      </c>
      <c r="E1100">
        <v>1181</v>
      </c>
      <c r="F1100" t="s">
        <v>23</v>
      </c>
      <c r="G1100" t="s">
        <v>1170</v>
      </c>
      <c r="H1100" s="18">
        <v>46161</v>
      </c>
      <c r="I1100" t="s">
        <v>14</v>
      </c>
      <c r="J1100">
        <f>VLOOKUP(E1100,'Room Count'!A$2:B$2616,2,FALSE)</f>
        <v>224</v>
      </c>
    </row>
    <row r="1101" spans="1:10" hidden="1">
      <c r="A1101" t="s">
        <v>43</v>
      </c>
      <c r="B1101" t="s">
        <v>1171</v>
      </c>
      <c r="C1101">
        <v>111001</v>
      </c>
      <c r="D1101" t="s">
        <v>1171</v>
      </c>
      <c r="E1101">
        <v>1185</v>
      </c>
      <c r="F1101" t="s">
        <v>23</v>
      </c>
      <c r="G1101" t="s">
        <v>1172</v>
      </c>
      <c r="H1101" s="18">
        <v>46161</v>
      </c>
      <c r="I1101" t="s">
        <v>14</v>
      </c>
      <c r="J1101">
        <f>VLOOKUP(E1101,'Room Count'!A$2:B$2616,2,FALSE)</f>
        <v>114</v>
      </c>
    </row>
    <row r="1102" spans="1:10" hidden="1">
      <c r="A1102" t="s">
        <v>43</v>
      </c>
      <c r="B1102" t="s">
        <v>1173</v>
      </c>
      <c r="C1102">
        <v>111003</v>
      </c>
      <c r="D1102" t="s">
        <v>1173</v>
      </c>
      <c r="E1102">
        <v>1182</v>
      </c>
      <c r="F1102" t="s">
        <v>23</v>
      </c>
      <c r="G1102" t="s">
        <v>1174</v>
      </c>
      <c r="H1102" s="18">
        <v>46161</v>
      </c>
      <c r="I1102" t="s">
        <v>14</v>
      </c>
      <c r="J1102">
        <f>VLOOKUP(E1102,'Room Count'!A$2:B$2616,2,FALSE)</f>
        <v>62</v>
      </c>
    </row>
    <row r="1103" spans="1:10" hidden="1">
      <c r="A1103" t="s">
        <v>43</v>
      </c>
      <c r="B1103" t="s">
        <v>1175</v>
      </c>
      <c r="C1103">
        <v>111005</v>
      </c>
      <c r="D1103" t="s">
        <v>1175</v>
      </c>
      <c r="E1103">
        <v>1183</v>
      </c>
      <c r="F1103" t="s">
        <v>23</v>
      </c>
      <c r="G1103" t="s">
        <v>1176</v>
      </c>
      <c r="H1103" s="18">
        <v>46161</v>
      </c>
      <c r="I1103" t="s">
        <v>14</v>
      </c>
      <c r="J1103">
        <f>VLOOKUP(E1103,'Room Count'!A$2:B$2616,2,FALSE)</f>
        <v>92</v>
      </c>
    </row>
    <row r="1104" spans="1:10" hidden="1">
      <c r="A1104" t="s">
        <v>43</v>
      </c>
      <c r="B1104" t="s">
        <v>1177</v>
      </c>
      <c r="C1104">
        <v>111007</v>
      </c>
      <c r="D1104" t="s">
        <v>1177</v>
      </c>
      <c r="E1104">
        <v>1184</v>
      </c>
      <c r="F1104" t="s">
        <v>23</v>
      </c>
      <c r="G1104" t="s">
        <v>1178</v>
      </c>
      <c r="H1104" s="18">
        <v>46161</v>
      </c>
      <c r="I1104" t="s">
        <v>14</v>
      </c>
      <c r="J1104">
        <f>VLOOKUP(E1104,'Room Count'!A$2:B$2616,2,FALSE)</f>
        <v>78</v>
      </c>
    </row>
    <row r="1105" spans="1:10" hidden="1">
      <c r="A1105" t="s">
        <v>43</v>
      </c>
      <c r="B1105" t="s">
        <v>1179</v>
      </c>
      <c r="C1105">
        <v>111009</v>
      </c>
      <c r="D1105" t="s">
        <v>1179</v>
      </c>
      <c r="E1105">
        <v>1186</v>
      </c>
      <c r="F1105" t="s">
        <v>23</v>
      </c>
      <c r="G1105" t="s">
        <v>1180</v>
      </c>
      <c r="H1105" s="18">
        <v>46161</v>
      </c>
      <c r="I1105" t="s">
        <v>14</v>
      </c>
      <c r="J1105">
        <f>VLOOKUP(E1105,'Room Count'!A$2:B$2616,2,FALSE)</f>
        <v>132</v>
      </c>
    </row>
    <row r="1106" spans="1:10" hidden="1">
      <c r="A1106" t="s">
        <v>43</v>
      </c>
      <c r="B1106" t="s">
        <v>1181</v>
      </c>
      <c r="C1106">
        <v>111011</v>
      </c>
      <c r="D1106" t="s">
        <v>1181</v>
      </c>
      <c r="E1106">
        <v>1187</v>
      </c>
      <c r="F1106" t="s">
        <v>23</v>
      </c>
      <c r="G1106" t="s">
        <v>1182</v>
      </c>
      <c r="H1106" s="18">
        <v>46161</v>
      </c>
      <c r="I1106" t="s">
        <v>14</v>
      </c>
      <c r="J1106">
        <f>VLOOKUP(E1106,'Room Count'!A$2:B$2616,2,FALSE)</f>
        <v>109</v>
      </c>
    </row>
    <row r="1107" spans="1:10" hidden="1">
      <c r="A1107" t="s">
        <v>43</v>
      </c>
      <c r="B1107" t="s">
        <v>1183</v>
      </c>
      <c r="C1107">
        <v>111013</v>
      </c>
      <c r="D1107" t="s">
        <v>1183</v>
      </c>
      <c r="E1107">
        <v>1188</v>
      </c>
      <c r="F1107" t="s">
        <v>23</v>
      </c>
      <c r="G1107" t="s">
        <v>1184</v>
      </c>
      <c r="H1107" s="18">
        <v>46161</v>
      </c>
      <c r="I1107" t="s">
        <v>14</v>
      </c>
      <c r="J1107">
        <f>VLOOKUP(E1107,'Room Count'!A$2:B$2616,2,FALSE)</f>
        <v>124</v>
      </c>
    </row>
    <row r="1108" spans="1:10" hidden="1">
      <c r="A1108" t="s">
        <v>43</v>
      </c>
      <c r="B1108" t="s">
        <v>1185</v>
      </c>
      <c r="C1108">
        <v>111015</v>
      </c>
      <c r="D1108" t="s">
        <v>1185</v>
      </c>
      <c r="E1108">
        <v>1190</v>
      </c>
      <c r="F1108" t="s">
        <v>23</v>
      </c>
      <c r="G1108" t="s">
        <v>1186</v>
      </c>
      <c r="H1108" s="18">
        <v>46161</v>
      </c>
      <c r="I1108" t="s">
        <v>14</v>
      </c>
      <c r="J1108">
        <f>VLOOKUP(E1108,'Room Count'!A$2:B$2616,2,FALSE)</f>
        <v>109</v>
      </c>
    </row>
    <row r="1109" spans="1:10" hidden="1">
      <c r="A1109" t="s">
        <v>43</v>
      </c>
      <c r="B1109" t="s">
        <v>1187</v>
      </c>
      <c r="C1109">
        <v>111017</v>
      </c>
      <c r="D1109" t="s">
        <v>1187</v>
      </c>
      <c r="E1109">
        <v>1191</v>
      </c>
      <c r="F1109" t="s">
        <v>23</v>
      </c>
      <c r="G1109" t="s">
        <v>1188</v>
      </c>
      <c r="H1109" s="18">
        <v>46161</v>
      </c>
      <c r="I1109" t="s">
        <v>14</v>
      </c>
      <c r="J1109">
        <f>VLOOKUP(E1109,'Room Count'!A$2:B$2616,2,FALSE)</f>
        <v>98</v>
      </c>
    </row>
    <row r="1110" spans="1:10" hidden="1">
      <c r="A1110" t="s">
        <v>43</v>
      </c>
      <c r="B1110" t="s">
        <v>1189</v>
      </c>
      <c r="C1110">
        <v>111019</v>
      </c>
      <c r="D1110" t="s">
        <v>1189</v>
      </c>
      <c r="E1110">
        <v>1192</v>
      </c>
      <c r="F1110" t="s">
        <v>23</v>
      </c>
      <c r="G1110" t="s">
        <v>1190</v>
      </c>
      <c r="H1110" s="18">
        <v>46161</v>
      </c>
      <c r="I1110" t="s">
        <v>14</v>
      </c>
      <c r="J1110">
        <f>VLOOKUP(E1110,'Room Count'!A$2:B$2616,2,FALSE)</f>
        <v>98</v>
      </c>
    </row>
    <row r="1111" spans="1:10" hidden="1">
      <c r="A1111" t="s">
        <v>43</v>
      </c>
      <c r="B1111" t="s">
        <v>1191</v>
      </c>
      <c r="C1111">
        <v>111021</v>
      </c>
      <c r="D1111" t="s">
        <v>1191</v>
      </c>
      <c r="E1111">
        <v>1193</v>
      </c>
      <c r="F1111" t="s">
        <v>23</v>
      </c>
      <c r="G1111" t="s">
        <v>1192</v>
      </c>
      <c r="H1111" s="18">
        <v>46161</v>
      </c>
      <c r="I1111" t="s">
        <v>14</v>
      </c>
      <c r="J1111">
        <f>VLOOKUP(E1111,'Room Count'!A$2:B$2616,2,FALSE)</f>
        <v>103</v>
      </c>
    </row>
    <row r="1112" spans="1:10" hidden="1">
      <c r="A1112" t="s">
        <v>43</v>
      </c>
      <c r="B1112" t="s">
        <v>1193</v>
      </c>
      <c r="C1112">
        <v>111023</v>
      </c>
      <c r="D1112" t="s">
        <v>1193</v>
      </c>
      <c r="E1112">
        <v>1194</v>
      </c>
      <c r="F1112" t="s">
        <v>23</v>
      </c>
      <c r="G1112" t="s">
        <v>1194</v>
      </c>
      <c r="H1112" s="18">
        <v>46161</v>
      </c>
      <c r="I1112" t="s">
        <v>14</v>
      </c>
      <c r="J1112">
        <f>VLOOKUP(E1112,'Room Count'!A$2:B$2616,2,FALSE)</f>
        <v>125</v>
      </c>
    </row>
    <row r="1113" spans="1:10" hidden="1">
      <c r="A1113" t="s">
        <v>43</v>
      </c>
      <c r="B1113" t="s">
        <v>1195</v>
      </c>
      <c r="C1113">
        <v>111025</v>
      </c>
      <c r="D1113" t="s">
        <v>1195</v>
      </c>
      <c r="E1113">
        <v>1195</v>
      </c>
      <c r="F1113" t="s">
        <v>23</v>
      </c>
      <c r="G1113" t="s">
        <v>1196</v>
      </c>
      <c r="H1113" s="18">
        <v>46161</v>
      </c>
      <c r="I1113" t="s">
        <v>14</v>
      </c>
      <c r="J1113">
        <f>VLOOKUP(E1113,'Room Count'!A$2:B$2616,2,FALSE)</f>
        <v>163</v>
      </c>
    </row>
    <row r="1114" spans="1:10" hidden="1">
      <c r="A1114" t="s">
        <v>43</v>
      </c>
      <c r="B1114" t="s">
        <v>1197</v>
      </c>
      <c r="C1114">
        <v>111027</v>
      </c>
      <c r="D1114" t="s">
        <v>1197</v>
      </c>
      <c r="E1114">
        <v>1196</v>
      </c>
      <c r="F1114" t="s">
        <v>23</v>
      </c>
      <c r="G1114" t="s">
        <v>1198</v>
      </c>
      <c r="H1114" s="18">
        <v>46161</v>
      </c>
      <c r="I1114" t="s">
        <v>14</v>
      </c>
      <c r="J1114">
        <f>VLOOKUP(E1114,'Room Count'!A$2:B$2616,2,FALSE)</f>
        <v>119</v>
      </c>
    </row>
    <row r="1115" spans="1:10" hidden="1">
      <c r="A1115" t="s">
        <v>43</v>
      </c>
      <c r="B1115" t="s">
        <v>1199</v>
      </c>
      <c r="C1115">
        <v>111029</v>
      </c>
      <c r="D1115" t="s">
        <v>1199</v>
      </c>
      <c r="E1115">
        <v>1197</v>
      </c>
      <c r="F1115" t="s">
        <v>23</v>
      </c>
      <c r="G1115" t="s">
        <v>1200</v>
      </c>
      <c r="H1115" s="18">
        <v>46161</v>
      </c>
      <c r="I1115" t="s">
        <v>14</v>
      </c>
      <c r="J1115">
        <f>VLOOKUP(E1115,'Room Count'!A$2:B$2616,2,FALSE)</f>
        <v>110</v>
      </c>
    </row>
    <row r="1116" spans="1:10" hidden="1">
      <c r="A1116" t="s">
        <v>43</v>
      </c>
      <c r="B1116" t="s">
        <v>1201</v>
      </c>
      <c r="C1116">
        <v>111031</v>
      </c>
      <c r="D1116" t="s">
        <v>1201</v>
      </c>
      <c r="E1116">
        <v>1198</v>
      </c>
      <c r="F1116" t="s">
        <v>23</v>
      </c>
      <c r="G1116" t="s">
        <v>1202</v>
      </c>
      <c r="H1116" s="18">
        <v>46161</v>
      </c>
      <c r="I1116" t="s">
        <v>14</v>
      </c>
      <c r="J1116">
        <f>VLOOKUP(E1116,'Room Count'!A$2:B$2616,2,FALSE)</f>
        <v>159</v>
      </c>
    </row>
    <row r="1117" spans="1:10" hidden="1">
      <c r="A1117" t="s">
        <v>43</v>
      </c>
      <c r="B1117" t="s">
        <v>1203</v>
      </c>
      <c r="C1117">
        <v>111033</v>
      </c>
      <c r="D1117" t="s">
        <v>1203</v>
      </c>
      <c r="E1117">
        <v>1199</v>
      </c>
      <c r="F1117" t="s">
        <v>23</v>
      </c>
      <c r="G1117" t="s">
        <v>1204</v>
      </c>
      <c r="H1117" s="18">
        <v>46161</v>
      </c>
      <c r="I1117" t="s">
        <v>14</v>
      </c>
      <c r="J1117">
        <f>VLOOKUP(E1117,'Room Count'!A$2:B$2616,2,FALSE)</f>
        <v>149</v>
      </c>
    </row>
    <row r="1118" spans="1:10" hidden="1">
      <c r="A1118" t="s">
        <v>43</v>
      </c>
      <c r="B1118" t="s">
        <v>1205</v>
      </c>
      <c r="C1118">
        <v>111035</v>
      </c>
      <c r="D1118" t="s">
        <v>1205</v>
      </c>
      <c r="E1118">
        <v>1200</v>
      </c>
      <c r="F1118" t="s">
        <v>23</v>
      </c>
      <c r="G1118" t="s">
        <v>1206</v>
      </c>
      <c r="H1118" s="18">
        <v>46161</v>
      </c>
      <c r="I1118" t="s">
        <v>14</v>
      </c>
      <c r="J1118">
        <f>VLOOKUP(E1118,'Room Count'!A$2:B$2616,2,FALSE)</f>
        <v>227</v>
      </c>
    </row>
    <row r="1119" spans="1:10" hidden="1">
      <c r="A1119" t="s">
        <v>43</v>
      </c>
      <c r="B1119" t="s">
        <v>1207</v>
      </c>
      <c r="C1119">
        <v>111037</v>
      </c>
      <c r="D1119" t="s">
        <v>1207</v>
      </c>
      <c r="E1119">
        <v>1201</v>
      </c>
      <c r="F1119" t="s">
        <v>23</v>
      </c>
      <c r="G1119" t="s">
        <v>1208</v>
      </c>
      <c r="H1119" s="18">
        <v>46161</v>
      </c>
      <c r="I1119" t="s">
        <v>14</v>
      </c>
      <c r="J1119">
        <f>VLOOKUP(E1119,'Room Count'!A$2:B$2616,2,FALSE)</f>
        <v>111</v>
      </c>
    </row>
    <row r="1120" spans="1:10" hidden="1">
      <c r="A1120" t="s">
        <v>43</v>
      </c>
      <c r="B1120" t="s">
        <v>1209</v>
      </c>
      <c r="C1120">
        <v>111039</v>
      </c>
      <c r="D1120" t="s">
        <v>1209</v>
      </c>
      <c r="E1120">
        <v>1202</v>
      </c>
      <c r="F1120" t="s">
        <v>23</v>
      </c>
      <c r="G1120" t="s">
        <v>1210</v>
      </c>
      <c r="H1120" s="18">
        <v>46161</v>
      </c>
      <c r="I1120" t="s">
        <v>14</v>
      </c>
      <c r="J1120">
        <f>VLOOKUP(E1120,'Room Count'!A$2:B$2616,2,FALSE)</f>
        <v>89</v>
      </c>
    </row>
    <row r="1121" spans="1:10" hidden="1">
      <c r="A1121" t="s">
        <v>43</v>
      </c>
      <c r="B1121" t="s">
        <v>1211</v>
      </c>
      <c r="C1121">
        <v>111041</v>
      </c>
      <c r="D1121" t="s">
        <v>1211</v>
      </c>
      <c r="E1121">
        <v>1203</v>
      </c>
      <c r="F1121" t="s">
        <v>23</v>
      </c>
      <c r="G1121" t="s">
        <v>1212</v>
      </c>
      <c r="H1121" s="18">
        <v>46161</v>
      </c>
      <c r="I1121" t="s">
        <v>14</v>
      </c>
      <c r="J1121">
        <f>VLOOKUP(E1121,'Room Count'!A$2:B$2616,2,FALSE)</f>
        <v>115</v>
      </c>
    </row>
    <row r="1122" spans="1:10" hidden="1">
      <c r="A1122" t="s">
        <v>43</v>
      </c>
      <c r="B1122" t="s">
        <v>1213</v>
      </c>
      <c r="C1122">
        <v>111043</v>
      </c>
      <c r="D1122" t="s">
        <v>1213</v>
      </c>
      <c r="E1122">
        <v>1228</v>
      </c>
      <c r="F1122" t="s">
        <v>23</v>
      </c>
      <c r="G1122" t="s">
        <v>1214</v>
      </c>
      <c r="H1122" s="18">
        <v>46161</v>
      </c>
      <c r="I1122" t="s">
        <v>14</v>
      </c>
      <c r="J1122">
        <f>VLOOKUP(E1122,'Room Count'!A$2:B$2616,2,FALSE)</f>
        <v>133</v>
      </c>
    </row>
    <row r="1123" spans="1:10" hidden="1">
      <c r="A1123" t="s">
        <v>43</v>
      </c>
      <c r="B1123" t="s">
        <v>1215</v>
      </c>
      <c r="C1123">
        <v>111043</v>
      </c>
      <c r="D1123" t="s">
        <v>1215</v>
      </c>
      <c r="E1123">
        <v>1204</v>
      </c>
      <c r="F1123" t="s">
        <v>23</v>
      </c>
      <c r="G1123" t="s">
        <v>1216</v>
      </c>
      <c r="H1123" s="18">
        <v>46161</v>
      </c>
      <c r="I1123" t="s">
        <v>14</v>
      </c>
      <c r="J1123">
        <f>VLOOKUP(E1123,'Room Count'!A$2:B$2616,2,FALSE)</f>
        <v>155</v>
      </c>
    </row>
    <row r="1124" spans="1:10" hidden="1">
      <c r="A1124" t="s">
        <v>43</v>
      </c>
      <c r="B1124" t="s">
        <v>1217</v>
      </c>
      <c r="C1124">
        <v>111045</v>
      </c>
      <c r="D1124" t="s">
        <v>1217</v>
      </c>
      <c r="E1124">
        <v>1205</v>
      </c>
      <c r="F1124" t="s">
        <v>23</v>
      </c>
      <c r="G1124" t="s">
        <v>1218</v>
      </c>
      <c r="H1124" s="18">
        <v>46161</v>
      </c>
      <c r="I1124" t="s">
        <v>14</v>
      </c>
      <c r="J1124">
        <f>VLOOKUP(E1124,'Room Count'!A$2:B$2616,2,FALSE)</f>
        <v>149</v>
      </c>
    </row>
    <row r="1125" spans="1:10" hidden="1">
      <c r="A1125" t="s">
        <v>43</v>
      </c>
      <c r="B1125" t="s">
        <v>1219</v>
      </c>
      <c r="C1125">
        <v>111047</v>
      </c>
      <c r="D1125" t="s">
        <v>1219</v>
      </c>
      <c r="E1125">
        <v>1206</v>
      </c>
      <c r="F1125" t="s">
        <v>23</v>
      </c>
      <c r="G1125" t="s">
        <v>1220</v>
      </c>
      <c r="H1125" s="18">
        <v>46161</v>
      </c>
      <c r="I1125" t="s">
        <v>14</v>
      </c>
      <c r="J1125">
        <f>VLOOKUP(E1125,'Room Count'!A$2:B$2616,2,FALSE)</f>
        <v>140</v>
      </c>
    </row>
    <row r="1126" spans="1:10" hidden="1">
      <c r="A1126" t="s">
        <v>43</v>
      </c>
      <c r="B1126" t="s">
        <v>1221</v>
      </c>
      <c r="C1126">
        <v>111049</v>
      </c>
      <c r="D1126" t="s">
        <v>1221</v>
      </c>
      <c r="E1126">
        <v>1207</v>
      </c>
      <c r="F1126" t="s">
        <v>23</v>
      </c>
      <c r="G1126" t="s">
        <v>1222</v>
      </c>
      <c r="H1126" s="18">
        <v>46161</v>
      </c>
      <c r="I1126" t="s">
        <v>14</v>
      </c>
      <c r="J1126">
        <f>VLOOKUP(E1126,'Room Count'!A$2:B$2616,2,FALSE)</f>
        <v>100</v>
      </c>
    </row>
    <row r="1127" spans="1:10" hidden="1">
      <c r="A1127" t="s">
        <v>43</v>
      </c>
      <c r="B1127" t="s">
        <v>1223</v>
      </c>
      <c r="C1127">
        <v>111051</v>
      </c>
      <c r="D1127" t="s">
        <v>1223</v>
      </c>
      <c r="E1127">
        <v>1208</v>
      </c>
      <c r="F1127" t="s">
        <v>23</v>
      </c>
      <c r="G1127" t="s">
        <v>1224</v>
      </c>
      <c r="H1127" s="18">
        <v>46161</v>
      </c>
      <c r="I1127" t="s">
        <v>14</v>
      </c>
      <c r="J1127">
        <f>VLOOKUP(E1127,'Room Count'!A$2:B$2616,2,FALSE)</f>
        <v>126</v>
      </c>
    </row>
    <row r="1128" spans="1:10" hidden="1">
      <c r="A1128" t="s">
        <v>43</v>
      </c>
      <c r="B1128" t="s">
        <v>1225</v>
      </c>
      <c r="C1128">
        <v>111053</v>
      </c>
      <c r="D1128" t="s">
        <v>1225</v>
      </c>
      <c r="E1128">
        <v>1209</v>
      </c>
      <c r="F1128" t="s">
        <v>23</v>
      </c>
      <c r="G1128" t="s">
        <v>1226</v>
      </c>
      <c r="H1128" s="18">
        <v>46161</v>
      </c>
      <c r="I1128" t="s">
        <v>14</v>
      </c>
      <c r="J1128">
        <f>VLOOKUP(E1128,'Room Count'!A$2:B$2616,2,FALSE)</f>
        <v>165</v>
      </c>
    </row>
    <row r="1129" spans="1:10" hidden="1">
      <c r="A1129" t="s">
        <v>43</v>
      </c>
      <c r="B1129" t="s">
        <v>1227</v>
      </c>
      <c r="C1129">
        <v>111055</v>
      </c>
      <c r="D1129" t="s">
        <v>1227</v>
      </c>
      <c r="E1129">
        <v>1210</v>
      </c>
      <c r="F1129" t="s">
        <v>23</v>
      </c>
      <c r="G1129" t="s">
        <v>1228</v>
      </c>
      <c r="H1129" s="18">
        <v>46161</v>
      </c>
      <c r="I1129" t="s">
        <v>14</v>
      </c>
      <c r="J1129">
        <f>VLOOKUP(E1129,'Room Count'!A$2:B$2616,2,FALSE)</f>
        <v>115</v>
      </c>
    </row>
    <row r="1130" spans="1:10" hidden="1">
      <c r="A1130" t="s">
        <v>43</v>
      </c>
      <c r="B1130" t="s">
        <v>1229</v>
      </c>
      <c r="C1130">
        <v>111057</v>
      </c>
      <c r="D1130" t="s">
        <v>1229</v>
      </c>
      <c r="E1130">
        <v>1211</v>
      </c>
      <c r="F1130" t="s">
        <v>23</v>
      </c>
      <c r="G1130" t="s">
        <v>1230</v>
      </c>
      <c r="H1130" s="18">
        <v>46161</v>
      </c>
      <c r="I1130" t="s">
        <v>14</v>
      </c>
      <c r="J1130">
        <f>VLOOKUP(E1130,'Room Count'!A$2:B$2616,2,FALSE)</f>
        <v>119</v>
      </c>
    </row>
    <row r="1131" spans="1:10" hidden="1">
      <c r="A1131" t="s">
        <v>43</v>
      </c>
      <c r="B1131" t="s">
        <v>1231</v>
      </c>
      <c r="C1131">
        <v>111059</v>
      </c>
      <c r="D1131" t="s">
        <v>1231</v>
      </c>
      <c r="E1131">
        <v>1212</v>
      </c>
      <c r="F1131" t="s">
        <v>23</v>
      </c>
      <c r="G1131" t="s">
        <v>1232</v>
      </c>
      <c r="H1131" s="18">
        <v>46161</v>
      </c>
      <c r="I1131" t="s">
        <v>14</v>
      </c>
      <c r="J1131">
        <f>VLOOKUP(E1131,'Room Count'!A$2:B$2616,2,FALSE)</f>
        <v>143</v>
      </c>
    </row>
    <row r="1132" spans="1:10" hidden="1">
      <c r="A1132" t="s">
        <v>43</v>
      </c>
      <c r="B1132" t="s">
        <v>1233</v>
      </c>
      <c r="C1132">
        <v>111061</v>
      </c>
      <c r="D1132" t="s">
        <v>1233</v>
      </c>
      <c r="E1132">
        <v>1213</v>
      </c>
      <c r="F1132" t="s">
        <v>23</v>
      </c>
      <c r="G1132" t="s">
        <v>1234</v>
      </c>
      <c r="H1132" s="18">
        <v>46161</v>
      </c>
      <c r="I1132" t="s">
        <v>14</v>
      </c>
      <c r="J1132">
        <f>VLOOKUP(E1132,'Room Count'!A$2:B$2616,2,FALSE)</f>
        <v>139</v>
      </c>
    </row>
    <row r="1133" spans="1:10" hidden="1">
      <c r="A1133" t="s">
        <v>43</v>
      </c>
      <c r="B1133" t="s">
        <v>1235</v>
      </c>
      <c r="C1133">
        <v>111063</v>
      </c>
      <c r="D1133" t="s">
        <v>1235</v>
      </c>
      <c r="E1133">
        <v>1214</v>
      </c>
      <c r="F1133" t="s">
        <v>23</v>
      </c>
      <c r="G1133" t="s">
        <v>1236</v>
      </c>
      <c r="H1133" s="18">
        <v>46161</v>
      </c>
      <c r="I1133" t="s">
        <v>14</v>
      </c>
      <c r="J1133">
        <f>VLOOKUP(E1133,'Room Count'!A$2:B$2616,2,FALSE)</f>
        <v>152</v>
      </c>
    </row>
    <row r="1134" spans="1:10" hidden="1">
      <c r="A1134" t="s">
        <v>43</v>
      </c>
      <c r="B1134" t="s">
        <v>1237</v>
      </c>
      <c r="C1134">
        <v>111065</v>
      </c>
      <c r="D1134" t="s">
        <v>1237</v>
      </c>
      <c r="E1134">
        <v>1215</v>
      </c>
      <c r="F1134" t="s">
        <v>23</v>
      </c>
      <c r="G1134" t="s">
        <v>1238</v>
      </c>
      <c r="H1134" s="18">
        <v>46161</v>
      </c>
      <c r="I1134" t="s">
        <v>14</v>
      </c>
      <c r="J1134">
        <f>VLOOKUP(E1134,'Room Count'!A$2:B$2616,2,FALSE)</f>
        <v>150</v>
      </c>
    </row>
    <row r="1135" spans="1:10" hidden="1">
      <c r="A1135" t="s">
        <v>43</v>
      </c>
      <c r="B1135" t="s">
        <v>1239</v>
      </c>
      <c r="C1135">
        <v>111067</v>
      </c>
      <c r="D1135" t="s">
        <v>1239</v>
      </c>
      <c r="E1135">
        <v>1216</v>
      </c>
      <c r="F1135" t="s">
        <v>23</v>
      </c>
      <c r="G1135" t="s">
        <v>1240</v>
      </c>
      <c r="H1135" s="18">
        <v>46161</v>
      </c>
      <c r="I1135" t="s">
        <v>14</v>
      </c>
      <c r="J1135">
        <f>VLOOKUP(E1135,'Room Count'!A$2:B$2616,2,FALSE)</f>
        <v>286</v>
      </c>
    </row>
    <row r="1136" spans="1:10" hidden="1">
      <c r="A1136" t="s">
        <v>43</v>
      </c>
      <c r="B1136" t="s">
        <v>1241</v>
      </c>
      <c r="C1136">
        <v>111069</v>
      </c>
      <c r="D1136" t="s">
        <v>1241</v>
      </c>
      <c r="E1136">
        <v>1217</v>
      </c>
      <c r="F1136" t="s">
        <v>23</v>
      </c>
      <c r="G1136" t="s">
        <v>1242</v>
      </c>
      <c r="H1136" s="18">
        <v>46161</v>
      </c>
      <c r="I1136" t="s">
        <v>14</v>
      </c>
      <c r="J1136">
        <f>VLOOKUP(E1136,'Room Count'!A$2:B$2616,2,FALSE)</f>
        <v>82</v>
      </c>
    </row>
    <row r="1137" spans="1:10" hidden="1">
      <c r="A1137" t="s">
        <v>43</v>
      </c>
      <c r="B1137" t="s">
        <v>1243</v>
      </c>
      <c r="C1137">
        <v>111071</v>
      </c>
      <c r="D1137" t="s">
        <v>1243</v>
      </c>
      <c r="E1137">
        <v>1218</v>
      </c>
      <c r="F1137" t="s">
        <v>23</v>
      </c>
      <c r="G1137" t="s">
        <v>1244</v>
      </c>
      <c r="H1137" s="18">
        <v>46161</v>
      </c>
      <c r="I1137" t="s">
        <v>14</v>
      </c>
      <c r="J1137">
        <f>VLOOKUP(E1137,'Room Count'!A$2:B$2616,2,FALSE)</f>
        <v>102</v>
      </c>
    </row>
    <row r="1138" spans="1:10" hidden="1">
      <c r="A1138" t="s">
        <v>43</v>
      </c>
      <c r="B1138" t="s">
        <v>1245</v>
      </c>
      <c r="C1138">
        <v>111073</v>
      </c>
      <c r="D1138" t="s">
        <v>1245</v>
      </c>
      <c r="E1138">
        <v>1219</v>
      </c>
      <c r="F1138" t="s">
        <v>23</v>
      </c>
      <c r="G1138" t="s">
        <v>1246</v>
      </c>
      <c r="H1138" s="18">
        <v>46161</v>
      </c>
      <c r="I1138" t="s">
        <v>14</v>
      </c>
      <c r="J1138">
        <f>VLOOKUP(E1138,'Room Count'!A$2:B$2616,2,FALSE)</f>
        <v>117</v>
      </c>
    </row>
    <row r="1139" spans="1:10" hidden="1">
      <c r="A1139" t="s">
        <v>43</v>
      </c>
      <c r="B1139" t="s">
        <v>1247</v>
      </c>
      <c r="C1139">
        <v>111075</v>
      </c>
      <c r="D1139" t="s">
        <v>1247</v>
      </c>
      <c r="E1139">
        <v>1220</v>
      </c>
      <c r="F1139" t="s">
        <v>23</v>
      </c>
      <c r="G1139" t="s">
        <v>1248</v>
      </c>
      <c r="H1139" s="18">
        <v>46161</v>
      </c>
      <c r="I1139" t="s">
        <v>14</v>
      </c>
      <c r="J1139">
        <f>VLOOKUP(E1139,'Room Count'!A$2:B$2616,2,FALSE)</f>
        <v>108</v>
      </c>
    </row>
    <row r="1140" spans="1:10" hidden="1">
      <c r="A1140" t="s">
        <v>43</v>
      </c>
      <c r="B1140" t="s">
        <v>1249</v>
      </c>
      <c r="C1140">
        <v>111077</v>
      </c>
      <c r="D1140" t="s">
        <v>1249</v>
      </c>
      <c r="E1140">
        <v>1221</v>
      </c>
      <c r="F1140" t="s">
        <v>23</v>
      </c>
      <c r="G1140" t="s">
        <v>1250</v>
      </c>
      <c r="H1140" s="18">
        <v>46161</v>
      </c>
      <c r="I1140" t="s">
        <v>14</v>
      </c>
      <c r="J1140">
        <f>VLOOKUP(E1140,'Room Count'!A$2:B$2616,2,FALSE)</f>
        <v>159</v>
      </c>
    </row>
    <row r="1141" spans="1:10" hidden="1">
      <c r="A1141" t="s">
        <v>43</v>
      </c>
      <c r="B1141" t="s">
        <v>1251</v>
      </c>
      <c r="C1141">
        <v>111079</v>
      </c>
      <c r="D1141" t="s">
        <v>1251</v>
      </c>
      <c r="E1141">
        <v>1222</v>
      </c>
      <c r="F1141" t="s">
        <v>23</v>
      </c>
      <c r="G1141" t="s">
        <v>1252</v>
      </c>
      <c r="H1141" s="18">
        <v>46161</v>
      </c>
      <c r="I1141" t="s">
        <v>14</v>
      </c>
      <c r="J1141">
        <f>VLOOKUP(E1141,'Room Count'!A$2:B$2616,2,FALSE)</f>
        <v>146</v>
      </c>
    </row>
    <row r="1142" spans="1:10" hidden="1">
      <c r="A1142" t="s">
        <v>43</v>
      </c>
      <c r="B1142" t="s">
        <v>1253</v>
      </c>
      <c r="C1142">
        <v>111081</v>
      </c>
      <c r="D1142" t="s">
        <v>1253</v>
      </c>
      <c r="E1142">
        <v>1223</v>
      </c>
      <c r="F1142" t="s">
        <v>23</v>
      </c>
      <c r="G1142" t="s">
        <v>1254</v>
      </c>
      <c r="H1142" s="18">
        <v>46161</v>
      </c>
      <c r="I1142" t="s">
        <v>14</v>
      </c>
      <c r="J1142">
        <f>VLOOKUP(E1142,'Room Count'!A$2:B$2616,2,FALSE)</f>
        <v>99</v>
      </c>
    </row>
    <row r="1143" spans="1:10" hidden="1">
      <c r="A1143" t="s">
        <v>43</v>
      </c>
      <c r="B1143" t="s">
        <v>1255</v>
      </c>
      <c r="C1143">
        <v>111083</v>
      </c>
      <c r="D1143" t="s">
        <v>1255</v>
      </c>
      <c r="E1143">
        <v>1224</v>
      </c>
      <c r="F1143" t="s">
        <v>23</v>
      </c>
      <c r="G1143" t="s">
        <v>1256</v>
      </c>
      <c r="H1143" s="18">
        <v>46161</v>
      </c>
      <c r="I1143" t="s">
        <v>14</v>
      </c>
      <c r="J1143">
        <f>VLOOKUP(E1143,'Room Count'!A$2:B$2616,2,FALSE)</f>
        <v>104</v>
      </c>
    </row>
    <row r="1144" spans="1:10" hidden="1">
      <c r="A1144" t="s">
        <v>43</v>
      </c>
      <c r="B1144" t="s">
        <v>1257</v>
      </c>
      <c r="C1144">
        <v>111085</v>
      </c>
      <c r="D1144" t="s">
        <v>1257</v>
      </c>
      <c r="E1144">
        <v>1225</v>
      </c>
      <c r="F1144" t="s">
        <v>23</v>
      </c>
      <c r="G1144" t="s">
        <v>1258</v>
      </c>
      <c r="H1144" s="18">
        <v>46161</v>
      </c>
      <c r="I1144" t="s">
        <v>14</v>
      </c>
      <c r="J1144">
        <f>VLOOKUP(E1144,'Room Count'!A$2:B$2616,2,FALSE)</f>
        <v>152</v>
      </c>
    </row>
    <row r="1145" spans="1:10" hidden="1">
      <c r="A1145" t="s">
        <v>43</v>
      </c>
      <c r="B1145" t="s">
        <v>1259</v>
      </c>
      <c r="C1145">
        <v>111087</v>
      </c>
      <c r="D1145" t="s">
        <v>1259</v>
      </c>
      <c r="E1145">
        <v>1226</v>
      </c>
      <c r="F1145" t="s">
        <v>23</v>
      </c>
      <c r="G1145" t="s">
        <v>1260</v>
      </c>
      <c r="H1145" s="18">
        <v>46161</v>
      </c>
      <c r="I1145" t="s">
        <v>14</v>
      </c>
      <c r="J1145">
        <f>VLOOKUP(E1145,'Room Count'!A$2:B$2616,2,FALSE)</f>
        <v>85</v>
      </c>
    </row>
    <row r="1146" spans="1:10" hidden="1">
      <c r="A1146" t="s">
        <v>43</v>
      </c>
      <c r="B1146" t="s">
        <v>1261</v>
      </c>
      <c r="C1146">
        <v>111089</v>
      </c>
      <c r="D1146" t="s">
        <v>1261</v>
      </c>
      <c r="E1146">
        <v>1227</v>
      </c>
      <c r="F1146" t="s">
        <v>23</v>
      </c>
      <c r="G1146" t="s">
        <v>1262</v>
      </c>
      <c r="H1146" s="18">
        <v>46161</v>
      </c>
      <c r="I1146" t="s">
        <v>14</v>
      </c>
      <c r="J1146">
        <f>VLOOKUP(E1146,'Room Count'!A$2:B$2616,2,FALSE)</f>
        <v>100</v>
      </c>
    </row>
    <row r="1147" spans="1:10" hidden="1">
      <c r="A1147" t="s">
        <v>43</v>
      </c>
      <c r="B1147" t="s">
        <v>1263</v>
      </c>
      <c r="C1147">
        <v>111091</v>
      </c>
      <c r="D1147" t="s">
        <v>1263</v>
      </c>
      <c r="E1147">
        <v>1229</v>
      </c>
      <c r="F1147" t="s">
        <v>23</v>
      </c>
      <c r="G1147" t="s">
        <v>1264</v>
      </c>
      <c r="H1147" s="18">
        <v>46161</v>
      </c>
      <c r="I1147" t="s">
        <v>14</v>
      </c>
      <c r="J1147">
        <f>VLOOKUP(E1147,'Room Count'!A$2:B$2616,2,FALSE)</f>
        <v>133</v>
      </c>
    </row>
    <row r="1148" spans="1:10" hidden="1">
      <c r="A1148" t="s">
        <v>43</v>
      </c>
      <c r="B1148" t="s">
        <v>1265</v>
      </c>
      <c r="C1148">
        <v>111093</v>
      </c>
      <c r="D1148" t="s">
        <v>1265</v>
      </c>
      <c r="E1148">
        <v>1230</v>
      </c>
      <c r="F1148" t="s">
        <v>23</v>
      </c>
      <c r="G1148" t="s">
        <v>1266</v>
      </c>
      <c r="H1148" s="18">
        <v>46161</v>
      </c>
      <c r="I1148" t="s">
        <v>14</v>
      </c>
      <c r="J1148">
        <f>VLOOKUP(E1148,'Room Count'!A$2:B$2616,2,FALSE)</f>
        <v>86</v>
      </c>
    </row>
    <row r="1149" spans="1:10" hidden="1">
      <c r="A1149" t="s">
        <v>43</v>
      </c>
      <c r="B1149" t="s">
        <v>1267</v>
      </c>
      <c r="C1149">
        <v>111095</v>
      </c>
      <c r="D1149" t="s">
        <v>1267</v>
      </c>
      <c r="E1149">
        <v>1231</v>
      </c>
      <c r="F1149" t="s">
        <v>23</v>
      </c>
      <c r="G1149" t="s">
        <v>1268</v>
      </c>
      <c r="H1149" s="18">
        <v>46161</v>
      </c>
      <c r="I1149" t="s">
        <v>14</v>
      </c>
      <c r="J1149">
        <f>VLOOKUP(E1149,'Room Count'!A$2:B$2616,2,FALSE)</f>
        <v>95</v>
      </c>
    </row>
    <row r="1150" spans="1:10" hidden="1">
      <c r="A1150" t="s">
        <v>43</v>
      </c>
      <c r="B1150" t="s">
        <v>1269</v>
      </c>
      <c r="C1150">
        <v>111097</v>
      </c>
      <c r="D1150" t="s">
        <v>1269</v>
      </c>
      <c r="E1150">
        <v>1232</v>
      </c>
      <c r="F1150" t="s">
        <v>23</v>
      </c>
      <c r="G1150" t="s">
        <v>1270</v>
      </c>
      <c r="H1150" s="18">
        <v>46161</v>
      </c>
      <c r="I1150" t="s">
        <v>14</v>
      </c>
      <c r="J1150">
        <f>VLOOKUP(E1150,'Room Count'!A$2:B$2616,2,FALSE)</f>
        <v>125</v>
      </c>
    </row>
    <row r="1151" spans="1:10" hidden="1">
      <c r="A1151" t="s">
        <v>43</v>
      </c>
      <c r="B1151" t="s">
        <v>1271</v>
      </c>
      <c r="C1151">
        <v>111099</v>
      </c>
      <c r="D1151" t="s">
        <v>1271</v>
      </c>
      <c r="E1151">
        <v>1233</v>
      </c>
      <c r="F1151" t="s">
        <v>23</v>
      </c>
      <c r="G1151" t="s">
        <v>1272</v>
      </c>
      <c r="H1151" s="18">
        <v>46161</v>
      </c>
      <c r="I1151" t="s">
        <v>14</v>
      </c>
      <c r="J1151">
        <f>VLOOKUP(E1151,'Room Count'!A$2:B$2616,2,FALSE)</f>
        <v>290</v>
      </c>
    </row>
    <row r="1152" spans="1:10" hidden="1">
      <c r="A1152" t="s">
        <v>43</v>
      </c>
      <c r="B1152" t="s">
        <v>1273</v>
      </c>
      <c r="C1152">
        <v>111101</v>
      </c>
      <c r="D1152" t="s">
        <v>1273</v>
      </c>
      <c r="E1152">
        <v>1234</v>
      </c>
      <c r="F1152" t="s">
        <v>23</v>
      </c>
      <c r="G1152" t="s">
        <v>1274</v>
      </c>
      <c r="H1152" s="18">
        <v>46161</v>
      </c>
      <c r="I1152" t="s">
        <v>14</v>
      </c>
      <c r="J1152">
        <f>VLOOKUP(E1152,'Room Count'!A$2:B$2616,2,FALSE)</f>
        <v>176</v>
      </c>
    </row>
    <row r="1153" spans="1:10" hidden="1">
      <c r="A1153" t="s">
        <v>43</v>
      </c>
      <c r="B1153" t="s">
        <v>1275</v>
      </c>
      <c r="C1153">
        <v>111103</v>
      </c>
      <c r="D1153" t="s">
        <v>1275</v>
      </c>
      <c r="E1153">
        <v>1235</v>
      </c>
      <c r="F1153" t="s">
        <v>23</v>
      </c>
      <c r="G1153" t="s">
        <v>1276</v>
      </c>
      <c r="H1153" s="18">
        <v>46161</v>
      </c>
      <c r="I1153" t="s">
        <v>14</v>
      </c>
      <c r="J1153">
        <f>VLOOKUP(E1153,'Room Count'!A$2:B$2616,2,FALSE)</f>
        <v>112</v>
      </c>
    </row>
    <row r="1154" spans="1:10" hidden="1">
      <c r="A1154" t="s">
        <v>43</v>
      </c>
      <c r="B1154" t="s">
        <v>1277</v>
      </c>
      <c r="C1154">
        <v>111105</v>
      </c>
      <c r="D1154" t="s">
        <v>1277</v>
      </c>
      <c r="E1154">
        <v>1236</v>
      </c>
      <c r="F1154" t="s">
        <v>23</v>
      </c>
      <c r="G1154" t="s">
        <v>1278</v>
      </c>
      <c r="H1154" s="18">
        <v>46161</v>
      </c>
      <c r="I1154" t="s">
        <v>14</v>
      </c>
      <c r="J1154">
        <f>VLOOKUP(E1154,'Room Count'!A$2:B$2616,2,FALSE)</f>
        <v>130</v>
      </c>
    </row>
    <row r="1155" spans="1:10" hidden="1">
      <c r="A1155" t="s">
        <v>43</v>
      </c>
      <c r="B1155" t="s">
        <v>1279</v>
      </c>
      <c r="C1155">
        <v>111107</v>
      </c>
      <c r="D1155" t="s">
        <v>1279</v>
      </c>
      <c r="E1155">
        <v>1237</v>
      </c>
      <c r="F1155" t="s">
        <v>23</v>
      </c>
      <c r="G1155" t="s">
        <v>1280</v>
      </c>
      <c r="H1155" s="18">
        <v>46161</v>
      </c>
      <c r="I1155" t="s">
        <v>14</v>
      </c>
      <c r="J1155">
        <f>VLOOKUP(E1155,'Room Count'!A$2:B$2616,2,FALSE)</f>
        <v>303</v>
      </c>
    </row>
    <row r="1156" spans="1:10" hidden="1">
      <c r="A1156" t="s">
        <v>43</v>
      </c>
      <c r="B1156" t="s">
        <v>1281</v>
      </c>
      <c r="C1156">
        <v>111109</v>
      </c>
      <c r="D1156" t="s">
        <v>1281</v>
      </c>
      <c r="E1156">
        <v>1238</v>
      </c>
      <c r="F1156" t="s">
        <v>23</v>
      </c>
      <c r="G1156" t="s">
        <v>1282</v>
      </c>
      <c r="H1156" s="18">
        <v>46161</v>
      </c>
      <c r="I1156" t="s">
        <v>14</v>
      </c>
      <c r="J1156">
        <f>VLOOKUP(E1156,'Room Count'!A$2:B$2616,2,FALSE)</f>
        <v>127</v>
      </c>
    </row>
    <row r="1157" spans="1:10" hidden="1">
      <c r="A1157" t="s">
        <v>43</v>
      </c>
      <c r="B1157" t="s">
        <v>1283</v>
      </c>
      <c r="C1157">
        <v>111111</v>
      </c>
      <c r="D1157" t="s">
        <v>1283</v>
      </c>
      <c r="E1157">
        <v>1239</v>
      </c>
      <c r="F1157" t="s">
        <v>23</v>
      </c>
      <c r="G1157" t="s">
        <v>1284</v>
      </c>
      <c r="H1157" s="18">
        <v>46161</v>
      </c>
      <c r="I1157" t="s">
        <v>14</v>
      </c>
      <c r="J1157">
        <f>VLOOKUP(E1157,'Room Count'!A$2:B$2616,2,FALSE)</f>
        <v>101</v>
      </c>
    </row>
    <row r="1158" spans="1:10" hidden="1">
      <c r="A1158" t="s">
        <v>43</v>
      </c>
      <c r="B1158" t="s">
        <v>1285</v>
      </c>
      <c r="C1158">
        <v>111113</v>
      </c>
      <c r="D1158" t="s">
        <v>1285</v>
      </c>
      <c r="E1158">
        <v>1240</v>
      </c>
      <c r="F1158" t="s">
        <v>23</v>
      </c>
      <c r="G1158" t="s">
        <v>1286</v>
      </c>
      <c r="H1158" s="18">
        <v>46161</v>
      </c>
      <c r="I1158" t="s">
        <v>14</v>
      </c>
      <c r="J1158">
        <f>VLOOKUP(E1158,'Room Count'!A$2:B$2616,2,FALSE)</f>
        <v>103</v>
      </c>
    </row>
    <row r="1159" spans="1:10" hidden="1">
      <c r="A1159" t="s">
        <v>43</v>
      </c>
      <c r="B1159" t="s">
        <v>1287</v>
      </c>
      <c r="C1159">
        <v>111115</v>
      </c>
      <c r="D1159" t="s">
        <v>1287</v>
      </c>
      <c r="E1159">
        <v>1241</v>
      </c>
      <c r="F1159" t="s">
        <v>23</v>
      </c>
      <c r="G1159" t="s">
        <v>1288</v>
      </c>
      <c r="H1159" s="18">
        <v>46161</v>
      </c>
      <c r="I1159" t="s">
        <v>14</v>
      </c>
      <c r="J1159">
        <f>VLOOKUP(E1159,'Room Count'!A$2:B$2616,2,FALSE)</f>
        <v>130</v>
      </c>
    </row>
    <row r="1160" spans="1:10" hidden="1">
      <c r="A1160" t="s">
        <v>43</v>
      </c>
      <c r="B1160" t="s">
        <v>1289</v>
      </c>
      <c r="C1160">
        <v>111117</v>
      </c>
      <c r="D1160" t="s">
        <v>1289</v>
      </c>
      <c r="E1160">
        <v>1242</v>
      </c>
      <c r="F1160" t="s">
        <v>23</v>
      </c>
      <c r="G1160" t="s">
        <v>1290</v>
      </c>
      <c r="H1160" s="18">
        <v>46161</v>
      </c>
      <c r="I1160" t="s">
        <v>14</v>
      </c>
      <c r="J1160">
        <f>VLOOKUP(E1160,'Room Count'!A$2:B$2616,2,FALSE)</f>
        <v>399</v>
      </c>
    </row>
    <row r="1161" spans="1:10" hidden="1">
      <c r="A1161" t="s">
        <v>43</v>
      </c>
      <c r="B1161" t="s">
        <v>1291</v>
      </c>
      <c r="C1161">
        <v>111119</v>
      </c>
      <c r="D1161" t="s">
        <v>1291</v>
      </c>
      <c r="E1161">
        <v>1243</v>
      </c>
      <c r="F1161" t="s">
        <v>23</v>
      </c>
      <c r="G1161" t="s">
        <v>1292</v>
      </c>
      <c r="H1161" s="18">
        <v>46161</v>
      </c>
      <c r="I1161" t="s">
        <v>14</v>
      </c>
      <c r="J1161">
        <f>VLOOKUP(E1161,'Room Count'!A$2:B$2616,2,FALSE)</f>
        <v>79</v>
      </c>
    </row>
    <row r="1162" spans="1:10" hidden="1">
      <c r="A1162" t="s">
        <v>43</v>
      </c>
      <c r="B1162" t="s">
        <v>1293</v>
      </c>
      <c r="C1162">
        <v>111121</v>
      </c>
      <c r="D1162" t="s">
        <v>1293</v>
      </c>
      <c r="E1162">
        <v>1244</v>
      </c>
      <c r="F1162" t="s">
        <v>23</v>
      </c>
      <c r="G1162" t="s">
        <v>1294</v>
      </c>
      <c r="H1162" s="18">
        <v>46161</v>
      </c>
      <c r="I1162" t="s">
        <v>14</v>
      </c>
      <c r="J1162">
        <f>VLOOKUP(E1162,'Room Count'!A$2:B$2616,2,FALSE)</f>
        <v>122</v>
      </c>
    </row>
    <row r="1163" spans="1:10" hidden="1">
      <c r="A1163" t="s">
        <v>43</v>
      </c>
      <c r="B1163" t="s">
        <v>1295</v>
      </c>
      <c r="C1163">
        <v>111123</v>
      </c>
      <c r="D1163" t="s">
        <v>1295</v>
      </c>
      <c r="E1163">
        <v>1245</v>
      </c>
      <c r="F1163" t="s">
        <v>23</v>
      </c>
      <c r="G1163" t="s">
        <v>1296</v>
      </c>
      <c r="H1163" s="18">
        <v>46161</v>
      </c>
      <c r="I1163" t="s">
        <v>14</v>
      </c>
      <c r="J1163">
        <f>VLOOKUP(E1163,'Room Count'!A$2:B$2616,2,FALSE)</f>
        <v>164</v>
      </c>
    </row>
    <row r="1164" spans="1:10" hidden="1">
      <c r="A1164" t="s">
        <v>43</v>
      </c>
      <c r="B1164" t="s">
        <v>1297</v>
      </c>
      <c r="C1164">
        <v>111125</v>
      </c>
      <c r="D1164" t="s">
        <v>1297</v>
      </c>
      <c r="E1164">
        <v>1246</v>
      </c>
      <c r="F1164" t="s">
        <v>23</v>
      </c>
      <c r="G1164" t="s">
        <v>1298</v>
      </c>
      <c r="H1164" s="18">
        <v>46161</v>
      </c>
      <c r="I1164" t="s">
        <v>14</v>
      </c>
      <c r="J1164">
        <f>VLOOKUP(E1164,'Room Count'!A$2:B$2616,2,FALSE)</f>
        <v>196</v>
      </c>
    </row>
    <row r="1165" spans="1:10" hidden="1">
      <c r="A1165" t="s">
        <v>43</v>
      </c>
      <c r="B1165" t="s">
        <v>1299</v>
      </c>
      <c r="C1165">
        <v>111127</v>
      </c>
      <c r="D1165" t="s">
        <v>1299</v>
      </c>
      <c r="E1165">
        <v>1247</v>
      </c>
      <c r="F1165" t="s">
        <v>23</v>
      </c>
      <c r="G1165" t="s">
        <v>1300</v>
      </c>
      <c r="H1165" s="18">
        <v>46161</v>
      </c>
      <c r="I1165" t="s">
        <v>14</v>
      </c>
      <c r="J1165">
        <f>VLOOKUP(E1165,'Room Count'!A$2:B$2616,2,FALSE)</f>
        <v>162</v>
      </c>
    </row>
    <row r="1166" spans="1:10" hidden="1">
      <c r="A1166" t="s">
        <v>43</v>
      </c>
      <c r="B1166" t="s">
        <v>1301</v>
      </c>
      <c r="C1166">
        <v>111129</v>
      </c>
      <c r="D1166" t="s">
        <v>1301</v>
      </c>
      <c r="E1166">
        <v>1248</v>
      </c>
      <c r="F1166" t="s">
        <v>23</v>
      </c>
      <c r="G1166" t="s">
        <v>1302</v>
      </c>
      <c r="H1166" s="18">
        <v>46161</v>
      </c>
      <c r="I1166" t="s">
        <v>14</v>
      </c>
      <c r="J1166">
        <f>VLOOKUP(E1166,'Room Count'!A$2:B$2616,2,FALSE)</f>
        <v>100</v>
      </c>
    </row>
    <row r="1167" spans="1:10" hidden="1">
      <c r="A1167" t="s">
        <v>43</v>
      </c>
      <c r="B1167" t="s">
        <v>1303</v>
      </c>
      <c r="C1167">
        <v>111131</v>
      </c>
      <c r="D1167" t="s">
        <v>1303</v>
      </c>
      <c r="E1167">
        <v>1249</v>
      </c>
      <c r="F1167" t="s">
        <v>23</v>
      </c>
      <c r="G1167" t="s">
        <v>1304</v>
      </c>
      <c r="H1167" s="18">
        <v>46161</v>
      </c>
      <c r="I1167" t="s">
        <v>14</v>
      </c>
      <c r="J1167">
        <f>VLOOKUP(E1167,'Room Count'!A$2:B$2616,2,FALSE)</f>
        <v>94</v>
      </c>
    </row>
    <row r="1168" spans="1:10" hidden="1">
      <c r="A1168" t="s">
        <v>43</v>
      </c>
      <c r="B1168" t="s">
        <v>1305</v>
      </c>
      <c r="C1168">
        <v>111133</v>
      </c>
      <c r="D1168" t="s">
        <v>1305</v>
      </c>
      <c r="E1168">
        <v>1250</v>
      </c>
      <c r="F1168" t="s">
        <v>23</v>
      </c>
      <c r="G1168" t="s">
        <v>1306</v>
      </c>
      <c r="H1168" s="18">
        <v>46161</v>
      </c>
      <c r="I1168" t="s">
        <v>14</v>
      </c>
      <c r="J1168">
        <f>VLOOKUP(E1168,'Room Count'!A$2:B$2616,2,FALSE)</f>
        <v>92</v>
      </c>
    </row>
    <row r="1169" spans="1:10" hidden="1">
      <c r="A1169" t="s">
        <v>43</v>
      </c>
      <c r="B1169" t="s">
        <v>1307</v>
      </c>
      <c r="C1169">
        <v>111135</v>
      </c>
      <c r="D1169" t="s">
        <v>1307</v>
      </c>
      <c r="E1169">
        <v>1251</v>
      </c>
      <c r="F1169" t="s">
        <v>23</v>
      </c>
      <c r="G1169" t="s">
        <v>1308</v>
      </c>
      <c r="H1169" s="18">
        <v>46161</v>
      </c>
      <c r="I1169" t="s">
        <v>14</v>
      </c>
      <c r="J1169">
        <f>VLOOKUP(E1169,'Room Count'!A$2:B$2616,2,FALSE)</f>
        <v>108</v>
      </c>
    </row>
    <row r="1170" spans="1:10" hidden="1">
      <c r="A1170" t="s">
        <v>43</v>
      </c>
      <c r="B1170" t="s">
        <v>1309</v>
      </c>
      <c r="C1170">
        <v>111137</v>
      </c>
      <c r="D1170" t="s">
        <v>1309</v>
      </c>
      <c r="E1170">
        <v>1252</v>
      </c>
      <c r="F1170" t="s">
        <v>23</v>
      </c>
      <c r="G1170" t="s">
        <v>1310</v>
      </c>
      <c r="H1170" s="18">
        <v>46161</v>
      </c>
      <c r="I1170" t="s">
        <v>14</v>
      </c>
      <c r="J1170">
        <f>VLOOKUP(E1170,'Room Count'!A$2:B$2616,2,FALSE)</f>
        <v>239</v>
      </c>
    </row>
    <row r="1171" spans="1:10" hidden="1">
      <c r="A1171" t="s">
        <v>43</v>
      </c>
      <c r="B1171" t="s">
        <v>1311</v>
      </c>
      <c r="C1171">
        <v>111139</v>
      </c>
      <c r="D1171" t="s">
        <v>1311</v>
      </c>
      <c r="E1171">
        <v>1253</v>
      </c>
      <c r="F1171" t="s">
        <v>23</v>
      </c>
      <c r="G1171" t="s">
        <v>1312</v>
      </c>
      <c r="H1171" s="18">
        <v>46161</v>
      </c>
      <c r="I1171" t="s">
        <v>14</v>
      </c>
      <c r="J1171">
        <f>VLOOKUP(E1171,'Room Count'!A$2:B$2616,2,FALSE)</f>
        <v>123</v>
      </c>
    </row>
    <row r="1172" spans="1:10" hidden="1">
      <c r="A1172" t="s">
        <v>43</v>
      </c>
      <c r="B1172" t="s">
        <v>1313</v>
      </c>
      <c r="C1172">
        <v>111141</v>
      </c>
      <c r="D1172" t="s">
        <v>1313</v>
      </c>
      <c r="E1172">
        <v>1254</v>
      </c>
      <c r="F1172" t="s">
        <v>23</v>
      </c>
      <c r="G1172" t="s">
        <v>1314</v>
      </c>
      <c r="H1172" s="18">
        <v>46161</v>
      </c>
      <c r="I1172" t="s">
        <v>14</v>
      </c>
      <c r="J1172">
        <f>VLOOKUP(E1172,'Room Count'!A$2:B$2616,2,FALSE)</f>
        <v>333</v>
      </c>
    </row>
    <row r="1173" spans="1:10" hidden="1">
      <c r="A1173" t="s">
        <v>43</v>
      </c>
      <c r="B1173" t="s">
        <v>1315</v>
      </c>
      <c r="C1173">
        <v>111143</v>
      </c>
      <c r="D1173" t="s">
        <v>1315</v>
      </c>
      <c r="E1173">
        <v>1255</v>
      </c>
      <c r="F1173" t="s">
        <v>23</v>
      </c>
      <c r="G1173" t="s">
        <v>1316</v>
      </c>
      <c r="H1173" s="18">
        <v>46161</v>
      </c>
      <c r="I1173" t="s">
        <v>14</v>
      </c>
      <c r="J1173">
        <f>VLOOKUP(E1173,'Room Count'!A$2:B$2616,2,FALSE)</f>
        <v>147</v>
      </c>
    </row>
    <row r="1174" spans="1:10" hidden="1">
      <c r="A1174" t="s">
        <v>43</v>
      </c>
      <c r="B1174" t="s">
        <v>1317</v>
      </c>
      <c r="C1174">
        <v>111145</v>
      </c>
      <c r="D1174" t="s">
        <v>1317</v>
      </c>
      <c r="E1174">
        <v>1256</v>
      </c>
      <c r="F1174" t="s">
        <v>23</v>
      </c>
      <c r="G1174" t="s">
        <v>1318</v>
      </c>
      <c r="H1174" s="18">
        <v>46161</v>
      </c>
      <c r="I1174" t="s">
        <v>14</v>
      </c>
      <c r="J1174">
        <f>VLOOKUP(E1174,'Room Count'!A$2:B$2616,2,FALSE)</f>
        <v>127</v>
      </c>
    </row>
    <row r="1175" spans="1:10" hidden="1">
      <c r="A1175" t="s">
        <v>43</v>
      </c>
      <c r="B1175" t="s">
        <v>1319</v>
      </c>
      <c r="C1175">
        <v>111147</v>
      </c>
      <c r="D1175" t="s">
        <v>1319</v>
      </c>
      <c r="E1175">
        <v>1257</v>
      </c>
      <c r="F1175" t="s">
        <v>23</v>
      </c>
      <c r="G1175" t="s">
        <v>1320</v>
      </c>
      <c r="H1175" s="18">
        <v>46161</v>
      </c>
      <c r="I1175" t="s">
        <v>14</v>
      </c>
      <c r="J1175">
        <f>VLOOKUP(E1175,'Room Count'!A$2:B$2616,2,FALSE)</f>
        <v>169</v>
      </c>
    </row>
    <row r="1176" spans="1:10" hidden="1">
      <c r="A1176" t="s">
        <v>43</v>
      </c>
      <c r="B1176" t="s">
        <v>1321</v>
      </c>
      <c r="C1176">
        <v>111149</v>
      </c>
      <c r="D1176" t="s">
        <v>1321</v>
      </c>
      <c r="E1176">
        <v>1258</v>
      </c>
      <c r="F1176" t="s">
        <v>23</v>
      </c>
      <c r="G1176" t="s">
        <v>1322</v>
      </c>
      <c r="H1176" s="18">
        <v>46161</v>
      </c>
      <c r="I1176" t="s">
        <v>14</v>
      </c>
      <c r="J1176">
        <f>VLOOKUP(E1176,'Room Count'!A$2:B$2616,2,FALSE)</f>
        <v>120</v>
      </c>
    </row>
    <row r="1177" spans="1:10" hidden="1">
      <c r="A1177" t="s">
        <v>43</v>
      </c>
      <c r="B1177" t="s">
        <v>1323</v>
      </c>
      <c r="C1177">
        <v>111151</v>
      </c>
      <c r="D1177" t="s">
        <v>1323</v>
      </c>
      <c r="E1177">
        <v>1259</v>
      </c>
      <c r="F1177" t="s">
        <v>23</v>
      </c>
      <c r="G1177" t="s">
        <v>1324</v>
      </c>
      <c r="H1177" s="18">
        <v>46161</v>
      </c>
      <c r="I1177" t="s">
        <v>14</v>
      </c>
      <c r="J1177">
        <f>VLOOKUP(E1177,'Room Count'!A$2:B$2616,2,FALSE)</f>
        <v>123</v>
      </c>
    </row>
    <row r="1178" spans="1:10" hidden="1">
      <c r="A1178" t="s">
        <v>43</v>
      </c>
      <c r="B1178" t="s">
        <v>1325</v>
      </c>
      <c r="C1178">
        <v>111153</v>
      </c>
      <c r="D1178" t="s">
        <v>1325</v>
      </c>
      <c r="E1178">
        <v>1260</v>
      </c>
      <c r="F1178" t="s">
        <v>23</v>
      </c>
      <c r="G1178" t="s">
        <v>1326</v>
      </c>
      <c r="H1178" s="18">
        <v>46161</v>
      </c>
      <c r="I1178" t="s">
        <v>14</v>
      </c>
      <c r="J1178">
        <f>VLOOKUP(E1178,'Room Count'!A$2:B$2616,2,FALSE)</f>
        <v>150</v>
      </c>
    </row>
    <row r="1179" spans="1:10" hidden="1">
      <c r="A1179" t="s">
        <v>43</v>
      </c>
      <c r="B1179" t="s">
        <v>1327</v>
      </c>
      <c r="C1179">
        <v>111155</v>
      </c>
      <c r="D1179" t="s">
        <v>1327</v>
      </c>
      <c r="E1179">
        <v>1261</v>
      </c>
      <c r="F1179" t="s">
        <v>23</v>
      </c>
      <c r="G1179" t="s">
        <v>1328</v>
      </c>
      <c r="H1179" s="18">
        <v>46161</v>
      </c>
      <c r="I1179" t="s">
        <v>14</v>
      </c>
      <c r="J1179">
        <f>VLOOKUP(E1179,'Room Count'!A$2:B$2616,2,FALSE)</f>
        <v>170</v>
      </c>
    </row>
    <row r="1180" spans="1:10" hidden="1">
      <c r="A1180" t="s">
        <v>43</v>
      </c>
      <c r="B1180" t="s">
        <v>1329</v>
      </c>
      <c r="C1180">
        <v>111157</v>
      </c>
      <c r="D1180" t="s">
        <v>1329</v>
      </c>
      <c r="E1180">
        <v>1262</v>
      </c>
      <c r="F1180" t="s">
        <v>23</v>
      </c>
      <c r="G1180" t="s">
        <v>1330</v>
      </c>
      <c r="H1180" s="18">
        <v>46161</v>
      </c>
      <c r="I1180" t="s">
        <v>14</v>
      </c>
      <c r="J1180">
        <f>VLOOKUP(E1180,'Room Count'!A$2:B$2616,2,FALSE)</f>
        <v>145</v>
      </c>
    </row>
    <row r="1181" spans="1:10" hidden="1">
      <c r="A1181" t="s">
        <v>43</v>
      </c>
      <c r="B1181" t="s">
        <v>1331</v>
      </c>
      <c r="C1181">
        <v>111159</v>
      </c>
      <c r="D1181" t="s">
        <v>1331</v>
      </c>
      <c r="E1181">
        <v>1263</v>
      </c>
      <c r="F1181" t="s">
        <v>23</v>
      </c>
      <c r="G1181" t="s">
        <v>1332</v>
      </c>
      <c r="H1181" s="18">
        <v>46161</v>
      </c>
      <c r="I1181" t="s">
        <v>14</v>
      </c>
      <c r="J1181">
        <f>VLOOKUP(E1181,'Room Count'!A$2:B$2616,2,FALSE)</f>
        <v>351</v>
      </c>
    </row>
    <row r="1182" spans="1:10" hidden="1">
      <c r="A1182" t="s">
        <v>43</v>
      </c>
      <c r="B1182" t="s">
        <v>1333</v>
      </c>
      <c r="C1182">
        <v>111161</v>
      </c>
      <c r="D1182" t="s">
        <v>1333</v>
      </c>
      <c r="E1182">
        <v>1264</v>
      </c>
      <c r="F1182" t="s">
        <v>23</v>
      </c>
      <c r="G1182" t="s">
        <v>1334</v>
      </c>
      <c r="H1182" s="18">
        <v>46161</v>
      </c>
      <c r="I1182" t="s">
        <v>14</v>
      </c>
      <c r="J1182">
        <f>VLOOKUP(E1182,'Room Count'!A$2:B$2616,2,FALSE)</f>
        <v>135</v>
      </c>
    </row>
    <row r="1183" spans="1:10" hidden="1">
      <c r="A1183" t="s">
        <v>43</v>
      </c>
      <c r="B1183" t="s">
        <v>1335</v>
      </c>
      <c r="C1183">
        <v>111163</v>
      </c>
      <c r="D1183" t="s">
        <v>1335</v>
      </c>
      <c r="E1183">
        <v>1265</v>
      </c>
      <c r="F1183" t="s">
        <v>23</v>
      </c>
      <c r="G1183" t="s">
        <v>1336</v>
      </c>
      <c r="H1183" s="18">
        <v>46161</v>
      </c>
      <c r="I1183" t="s">
        <v>14</v>
      </c>
      <c r="J1183">
        <f>VLOOKUP(E1183,'Room Count'!A$2:B$2616,2,FALSE)</f>
        <v>132</v>
      </c>
    </row>
    <row r="1184" spans="1:10" hidden="1">
      <c r="A1184" t="s">
        <v>43</v>
      </c>
      <c r="B1184" t="s">
        <v>1337</v>
      </c>
      <c r="C1184">
        <v>111165</v>
      </c>
      <c r="D1184" t="s">
        <v>1337</v>
      </c>
      <c r="E1184">
        <v>1266</v>
      </c>
      <c r="F1184" t="s">
        <v>23</v>
      </c>
      <c r="G1184" t="s">
        <v>1338</v>
      </c>
      <c r="H1184" s="18">
        <v>46161</v>
      </c>
      <c r="I1184" t="s">
        <v>14</v>
      </c>
      <c r="J1184">
        <f>VLOOKUP(E1184,'Room Count'!A$2:B$2616,2,FALSE)</f>
        <v>100</v>
      </c>
    </row>
    <row r="1185" spans="1:10" hidden="1">
      <c r="A1185" t="s">
        <v>43</v>
      </c>
      <c r="B1185" t="s">
        <v>1339</v>
      </c>
      <c r="C1185">
        <v>111167</v>
      </c>
      <c r="D1185" t="s">
        <v>1339</v>
      </c>
      <c r="E1185">
        <v>1293</v>
      </c>
      <c r="F1185" t="s">
        <v>23</v>
      </c>
      <c r="G1185" t="s">
        <v>1340</v>
      </c>
      <c r="H1185" s="18">
        <v>46161</v>
      </c>
      <c r="I1185" t="s">
        <v>14</v>
      </c>
      <c r="J1185">
        <f>VLOOKUP(E1185,'Room Count'!A$2:B$2616,2,FALSE)</f>
        <v>77</v>
      </c>
    </row>
    <row r="1186" spans="1:10" hidden="1">
      <c r="A1186" t="s">
        <v>43</v>
      </c>
      <c r="B1186" t="s">
        <v>1341</v>
      </c>
      <c r="C1186">
        <v>111169</v>
      </c>
      <c r="D1186" t="s">
        <v>1341</v>
      </c>
      <c r="E1186">
        <v>1298</v>
      </c>
      <c r="F1186" t="s">
        <v>23</v>
      </c>
      <c r="G1186" t="s">
        <v>1342</v>
      </c>
      <c r="H1186" s="18">
        <v>46161</v>
      </c>
      <c r="I1186" t="s">
        <v>14</v>
      </c>
      <c r="J1186">
        <f>VLOOKUP(E1186,'Room Count'!A$2:B$2616,2,FALSE)</f>
        <v>95</v>
      </c>
    </row>
    <row r="1187" spans="1:10" hidden="1">
      <c r="A1187" t="s">
        <v>43</v>
      </c>
      <c r="B1187" t="s">
        <v>1343</v>
      </c>
      <c r="C1187">
        <v>111171</v>
      </c>
      <c r="D1187" t="s">
        <v>1343</v>
      </c>
      <c r="E1187">
        <v>1322</v>
      </c>
      <c r="F1187" t="s">
        <v>23</v>
      </c>
      <c r="G1187" t="s">
        <v>1344</v>
      </c>
      <c r="H1187" s="18">
        <v>46161</v>
      </c>
      <c r="I1187" t="s">
        <v>14</v>
      </c>
      <c r="J1187">
        <f>VLOOKUP(E1187,'Room Count'!A$2:B$2616,2,FALSE)</f>
        <v>120</v>
      </c>
    </row>
    <row r="1188" spans="1:10" hidden="1">
      <c r="A1188" t="s">
        <v>43</v>
      </c>
      <c r="B1188" t="s">
        <v>1345</v>
      </c>
      <c r="C1188">
        <v>111173</v>
      </c>
      <c r="D1188" t="s">
        <v>1345</v>
      </c>
      <c r="E1188">
        <v>1341</v>
      </c>
      <c r="F1188" t="s">
        <v>23</v>
      </c>
      <c r="G1188" t="s">
        <v>1346</v>
      </c>
      <c r="H1188" s="18">
        <v>46161</v>
      </c>
      <c r="I1188" t="s">
        <v>14</v>
      </c>
      <c r="J1188">
        <f>VLOOKUP(E1188,'Room Count'!A$2:B$2616,2,FALSE)</f>
        <v>150</v>
      </c>
    </row>
    <row r="1189" spans="1:10" hidden="1">
      <c r="A1189" t="s">
        <v>43</v>
      </c>
      <c r="B1189" t="s">
        <v>1347</v>
      </c>
      <c r="C1189">
        <v>111175</v>
      </c>
      <c r="D1189" t="s">
        <v>1347</v>
      </c>
      <c r="E1189">
        <v>1342</v>
      </c>
      <c r="F1189" t="s">
        <v>23</v>
      </c>
      <c r="G1189" t="s">
        <v>1348</v>
      </c>
      <c r="H1189" s="18">
        <v>46161</v>
      </c>
      <c r="I1189" t="s">
        <v>14</v>
      </c>
      <c r="J1189">
        <f>VLOOKUP(E1189,'Room Count'!A$2:B$2616,2,FALSE)</f>
        <v>118</v>
      </c>
    </row>
    <row r="1190" spans="1:10" hidden="1">
      <c r="A1190" t="s">
        <v>43</v>
      </c>
      <c r="B1190" t="s">
        <v>1349</v>
      </c>
      <c r="C1190">
        <v>111177</v>
      </c>
      <c r="D1190" t="s">
        <v>1349</v>
      </c>
      <c r="E1190">
        <v>1354</v>
      </c>
      <c r="F1190" t="s">
        <v>23</v>
      </c>
      <c r="G1190" t="s">
        <v>1350</v>
      </c>
      <c r="H1190" s="18">
        <v>46161</v>
      </c>
      <c r="I1190" t="s">
        <v>14</v>
      </c>
      <c r="J1190">
        <f>VLOOKUP(E1190,'Room Count'!A$2:B$2616,2,FALSE)</f>
        <v>87</v>
      </c>
    </row>
    <row r="1191" spans="1:10" hidden="1">
      <c r="A1191" t="s">
        <v>43</v>
      </c>
      <c r="B1191" t="s">
        <v>1351</v>
      </c>
      <c r="C1191">
        <v>111179</v>
      </c>
      <c r="D1191" t="s">
        <v>1351</v>
      </c>
      <c r="E1191">
        <v>1359</v>
      </c>
      <c r="F1191" t="s">
        <v>23</v>
      </c>
      <c r="G1191" t="s">
        <v>1352</v>
      </c>
      <c r="H1191" s="18">
        <v>46161</v>
      </c>
      <c r="I1191" t="s">
        <v>14</v>
      </c>
      <c r="J1191">
        <f>VLOOKUP(E1191,'Room Count'!A$2:B$2616,2,FALSE)</f>
        <v>129</v>
      </c>
    </row>
    <row r="1192" spans="1:10" hidden="1">
      <c r="A1192" t="s">
        <v>43</v>
      </c>
      <c r="B1192" t="s">
        <v>1353</v>
      </c>
      <c r="C1192">
        <v>111181</v>
      </c>
      <c r="D1192" t="s">
        <v>1353</v>
      </c>
      <c r="E1192">
        <v>1364</v>
      </c>
      <c r="F1192" t="s">
        <v>23</v>
      </c>
      <c r="G1192" t="s">
        <v>1354</v>
      </c>
      <c r="H1192" s="18">
        <v>46161</v>
      </c>
      <c r="I1192" t="s">
        <v>14</v>
      </c>
      <c r="J1192">
        <f>VLOOKUP(E1192,'Room Count'!A$2:B$2616,2,FALSE)</f>
        <v>105</v>
      </c>
    </row>
    <row r="1193" spans="1:10" hidden="1">
      <c r="A1193" t="s">
        <v>43</v>
      </c>
      <c r="B1193" t="s">
        <v>1355</v>
      </c>
      <c r="C1193">
        <v>210001</v>
      </c>
      <c r="D1193" t="s">
        <v>1355</v>
      </c>
      <c r="E1193">
        <v>1189</v>
      </c>
      <c r="F1193" t="s">
        <v>24</v>
      </c>
      <c r="G1193" t="s">
        <v>1356</v>
      </c>
      <c r="H1193" s="18">
        <v>46161</v>
      </c>
      <c r="I1193" t="s">
        <v>14</v>
      </c>
      <c r="J1193">
        <f>VLOOKUP(E1193,'Room Count'!A$2:B$2616,2,FALSE)</f>
        <v>129</v>
      </c>
    </row>
    <row r="1194" spans="1:10" hidden="1">
      <c r="A1194" t="s">
        <v>43</v>
      </c>
      <c r="B1194" t="s">
        <v>1357</v>
      </c>
      <c r="C1194">
        <v>210003</v>
      </c>
      <c r="D1194" t="s">
        <v>1357</v>
      </c>
      <c r="E1194">
        <v>1267</v>
      </c>
      <c r="F1194" t="s">
        <v>24</v>
      </c>
      <c r="G1194" t="s">
        <v>1358</v>
      </c>
      <c r="H1194" s="18">
        <v>46161</v>
      </c>
      <c r="I1194" t="s">
        <v>14</v>
      </c>
      <c r="J1194">
        <f>VLOOKUP(E1194,'Room Count'!A$2:B$2616,2,FALSE)</f>
        <v>78</v>
      </c>
    </row>
    <row r="1195" spans="1:10" hidden="1">
      <c r="A1195" t="s">
        <v>43</v>
      </c>
      <c r="B1195" t="s">
        <v>1359</v>
      </c>
      <c r="C1195">
        <v>210005</v>
      </c>
      <c r="D1195" t="s">
        <v>1359</v>
      </c>
      <c r="E1195">
        <v>1268</v>
      </c>
      <c r="F1195" t="s">
        <v>24</v>
      </c>
      <c r="G1195" t="s">
        <v>1360</v>
      </c>
      <c r="H1195" s="18">
        <v>46161</v>
      </c>
      <c r="I1195" t="s">
        <v>14</v>
      </c>
      <c r="J1195">
        <f>VLOOKUP(E1195,'Room Count'!A$2:B$2616,2,FALSE)</f>
        <v>99</v>
      </c>
    </row>
    <row r="1196" spans="1:10" hidden="1">
      <c r="A1196" t="s">
        <v>43</v>
      </c>
      <c r="B1196" t="s">
        <v>1361</v>
      </c>
      <c r="C1196">
        <v>210007</v>
      </c>
      <c r="D1196" t="s">
        <v>1361</v>
      </c>
      <c r="E1196">
        <v>1269</v>
      </c>
      <c r="F1196" t="s">
        <v>24</v>
      </c>
      <c r="G1196" t="s">
        <v>1362</v>
      </c>
      <c r="H1196" s="18">
        <v>46161</v>
      </c>
      <c r="I1196" t="s">
        <v>14</v>
      </c>
      <c r="J1196">
        <f>VLOOKUP(E1196,'Room Count'!A$2:B$2616,2,FALSE)</f>
        <v>80</v>
      </c>
    </row>
    <row r="1197" spans="1:10" hidden="1">
      <c r="A1197" t="s">
        <v>43</v>
      </c>
      <c r="B1197" t="s">
        <v>1363</v>
      </c>
      <c r="C1197">
        <v>210009</v>
      </c>
      <c r="D1197" t="s">
        <v>1363</v>
      </c>
      <c r="E1197">
        <v>1270</v>
      </c>
      <c r="F1197" t="s">
        <v>24</v>
      </c>
      <c r="G1197" t="s">
        <v>1364</v>
      </c>
      <c r="H1197" s="18">
        <v>46161</v>
      </c>
      <c r="I1197" t="s">
        <v>14</v>
      </c>
      <c r="J1197">
        <f>VLOOKUP(E1197,'Room Count'!A$2:B$2616,2,FALSE)</f>
        <v>98</v>
      </c>
    </row>
    <row r="1198" spans="1:10" hidden="1">
      <c r="A1198" t="s">
        <v>43</v>
      </c>
      <c r="B1198" t="s">
        <v>1365</v>
      </c>
      <c r="C1198">
        <v>210011</v>
      </c>
      <c r="D1198" t="s">
        <v>1365</v>
      </c>
      <c r="E1198">
        <v>1271</v>
      </c>
      <c r="F1198" t="s">
        <v>24</v>
      </c>
      <c r="G1198" t="s">
        <v>1366</v>
      </c>
      <c r="H1198" s="18">
        <v>46161</v>
      </c>
      <c r="I1198" t="s">
        <v>14</v>
      </c>
      <c r="J1198">
        <f>VLOOKUP(E1198,'Room Count'!A$2:B$2616,2,FALSE)</f>
        <v>105</v>
      </c>
    </row>
    <row r="1199" spans="1:10" hidden="1">
      <c r="A1199" t="s">
        <v>43</v>
      </c>
      <c r="B1199" t="s">
        <v>1367</v>
      </c>
      <c r="C1199">
        <v>210013</v>
      </c>
      <c r="D1199" t="s">
        <v>1367</v>
      </c>
      <c r="E1199">
        <v>1272</v>
      </c>
      <c r="F1199" t="s">
        <v>24</v>
      </c>
      <c r="G1199" t="s">
        <v>1368</v>
      </c>
      <c r="H1199" s="18">
        <v>46161</v>
      </c>
      <c r="I1199" t="s">
        <v>14</v>
      </c>
      <c r="J1199">
        <f>VLOOKUP(E1199,'Room Count'!A$2:B$2616,2,FALSE)</f>
        <v>89</v>
      </c>
    </row>
    <row r="1200" spans="1:10" hidden="1">
      <c r="A1200" t="s">
        <v>43</v>
      </c>
      <c r="B1200" t="s">
        <v>1369</v>
      </c>
      <c r="C1200">
        <v>210015</v>
      </c>
      <c r="D1200" t="s">
        <v>1369</v>
      </c>
      <c r="E1200">
        <v>1273</v>
      </c>
      <c r="F1200" t="s">
        <v>24</v>
      </c>
      <c r="G1200" t="s">
        <v>1370</v>
      </c>
      <c r="H1200" s="18">
        <v>46161</v>
      </c>
      <c r="I1200" t="s">
        <v>14</v>
      </c>
      <c r="J1200">
        <f>VLOOKUP(E1200,'Room Count'!A$2:B$2616,2,FALSE)</f>
        <v>109</v>
      </c>
    </row>
    <row r="1201" spans="1:10" hidden="1">
      <c r="A1201" t="s">
        <v>43</v>
      </c>
      <c r="B1201" t="s">
        <v>1371</v>
      </c>
      <c r="C1201">
        <v>210017</v>
      </c>
      <c r="D1201" t="s">
        <v>1371</v>
      </c>
      <c r="E1201">
        <v>1274</v>
      </c>
      <c r="F1201" t="s">
        <v>24</v>
      </c>
      <c r="G1201" t="s">
        <v>1372</v>
      </c>
      <c r="H1201" s="18">
        <v>46161</v>
      </c>
      <c r="I1201" t="s">
        <v>14</v>
      </c>
      <c r="J1201">
        <f>VLOOKUP(E1201,'Room Count'!A$2:B$2616,2,FALSE)</f>
        <v>80</v>
      </c>
    </row>
    <row r="1202" spans="1:10" hidden="1">
      <c r="A1202" t="s">
        <v>43</v>
      </c>
      <c r="B1202" t="s">
        <v>1373</v>
      </c>
      <c r="C1202">
        <v>210019</v>
      </c>
      <c r="D1202" t="s">
        <v>1373</v>
      </c>
      <c r="E1202">
        <v>1275</v>
      </c>
      <c r="F1202" t="s">
        <v>24</v>
      </c>
      <c r="G1202" t="s">
        <v>1374</v>
      </c>
      <c r="H1202" s="18">
        <v>46161</v>
      </c>
      <c r="I1202" t="s">
        <v>14</v>
      </c>
      <c r="J1202">
        <f>VLOOKUP(E1202,'Room Count'!A$2:B$2616,2,FALSE)</f>
        <v>102</v>
      </c>
    </row>
    <row r="1203" spans="1:10" hidden="1">
      <c r="A1203" t="s">
        <v>43</v>
      </c>
      <c r="B1203" t="s">
        <v>1375</v>
      </c>
      <c r="C1203">
        <v>210021</v>
      </c>
      <c r="D1203" t="s">
        <v>1375</v>
      </c>
      <c r="E1203">
        <v>1276</v>
      </c>
      <c r="F1203" t="s">
        <v>24</v>
      </c>
      <c r="G1203" t="s">
        <v>1376</v>
      </c>
      <c r="H1203" s="18">
        <v>46161</v>
      </c>
      <c r="I1203" t="s">
        <v>14</v>
      </c>
      <c r="J1203">
        <f>VLOOKUP(E1203,'Room Count'!A$2:B$2616,2,FALSE)</f>
        <v>91</v>
      </c>
    </row>
    <row r="1204" spans="1:10" hidden="1">
      <c r="A1204" t="s">
        <v>43</v>
      </c>
      <c r="B1204" t="s">
        <v>1377</v>
      </c>
      <c r="C1204">
        <v>210023</v>
      </c>
      <c r="D1204" t="s">
        <v>1377</v>
      </c>
      <c r="E1204">
        <v>1277</v>
      </c>
      <c r="F1204" t="s">
        <v>24</v>
      </c>
      <c r="G1204" t="s">
        <v>1378</v>
      </c>
      <c r="H1204" s="18">
        <v>46161</v>
      </c>
      <c r="I1204" t="s">
        <v>14</v>
      </c>
      <c r="J1204">
        <f>VLOOKUP(E1204,'Room Count'!A$2:B$2616,2,FALSE)</f>
        <v>128</v>
      </c>
    </row>
    <row r="1205" spans="1:10" hidden="1">
      <c r="A1205" t="s">
        <v>43</v>
      </c>
      <c r="B1205" t="s">
        <v>1379</v>
      </c>
      <c r="C1205">
        <v>210025</v>
      </c>
      <c r="D1205" t="s">
        <v>1379</v>
      </c>
      <c r="E1205">
        <v>1278</v>
      </c>
      <c r="F1205" t="s">
        <v>24</v>
      </c>
      <c r="G1205" t="s">
        <v>1380</v>
      </c>
      <c r="H1205" s="18">
        <v>46161</v>
      </c>
      <c r="I1205" t="s">
        <v>14</v>
      </c>
      <c r="J1205">
        <f>VLOOKUP(E1205,'Room Count'!A$2:B$2616,2,FALSE)</f>
        <v>116</v>
      </c>
    </row>
    <row r="1206" spans="1:10" hidden="1">
      <c r="A1206" t="s">
        <v>43</v>
      </c>
      <c r="B1206" t="s">
        <v>1381</v>
      </c>
      <c r="C1206">
        <v>210027</v>
      </c>
      <c r="D1206" t="s">
        <v>1381</v>
      </c>
      <c r="E1206">
        <v>1279</v>
      </c>
      <c r="F1206" t="s">
        <v>24</v>
      </c>
      <c r="G1206" t="s">
        <v>1382</v>
      </c>
      <c r="H1206" s="18">
        <v>46161</v>
      </c>
      <c r="I1206" t="s">
        <v>14</v>
      </c>
      <c r="J1206">
        <f>VLOOKUP(E1206,'Room Count'!A$2:B$2616,2,FALSE)</f>
        <v>132</v>
      </c>
    </row>
    <row r="1207" spans="1:10" hidden="1">
      <c r="A1207" t="s">
        <v>43</v>
      </c>
      <c r="B1207" t="s">
        <v>1383</v>
      </c>
      <c r="C1207">
        <v>210029</v>
      </c>
      <c r="D1207" t="s">
        <v>1383</v>
      </c>
      <c r="E1207">
        <v>1280</v>
      </c>
      <c r="F1207" t="s">
        <v>24</v>
      </c>
      <c r="G1207" t="s">
        <v>1384</v>
      </c>
      <c r="H1207" s="18">
        <v>46161</v>
      </c>
      <c r="I1207" t="s">
        <v>14</v>
      </c>
      <c r="J1207">
        <f>VLOOKUP(E1207,'Room Count'!A$2:B$2616,2,FALSE)</f>
        <v>92</v>
      </c>
    </row>
    <row r="1208" spans="1:10" hidden="1">
      <c r="A1208" t="s">
        <v>43</v>
      </c>
      <c r="B1208" t="s">
        <v>1385</v>
      </c>
      <c r="C1208">
        <v>210031</v>
      </c>
      <c r="D1208" t="s">
        <v>1385</v>
      </c>
      <c r="E1208">
        <v>1281</v>
      </c>
      <c r="F1208" t="s">
        <v>24</v>
      </c>
      <c r="G1208" t="s">
        <v>1386</v>
      </c>
      <c r="H1208" s="18">
        <v>46161</v>
      </c>
      <c r="I1208" t="s">
        <v>14</v>
      </c>
      <c r="J1208">
        <f>VLOOKUP(E1208,'Room Count'!A$2:B$2616,2,FALSE)</f>
        <v>106</v>
      </c>
    </row>
    <row r="1209" spans="1:10" hidden="1">
      <c r="A1209" t="s">
        <v>43</v>
      </c>
      <c r="B1209" t="s">
        <v>1387</v>
      </c>
      <c r="C1209">
        <v>210033</v>
      </c>
      <c r="D1209" t="s">
        <v>1387</v>
      </c>
      <c r="E1209">
        <v>1282</v>
      </c>
      <c r="F1209" t="s">
        <v>24</v>
      </c>
      <c r="G1209" t="s">
        <v>1388</v>
      </c>
      <c r="H1209" s="18">
        <v>46161</v>
      </c>
      <c r="I1209" t="s">
        <v>14</v>
      </c>
      <c r="J1209">
        <f>VLOOKUP(E1209,'Room Count'!A$2:B$2616,2,FALSE)</f>
        <v>100</v>
      </c>
    </row>
    <row r="1210" spans="1:10" hidden="1">
      <c r="A1210" t="s">
        <v>43</v>
      </c>
      <c r="B1210" t="s">
        <v>1389</v>
      </c>
      <c r="C1210">
        <v>210035</v>
      </c>
      <c r="D1210" t="s">
        <v>1389</v>
      </c>
      <c r="E1210">
        <v>1283</v>
      </c>
      <c r="F1210" t="s">
        <v>24</v>
      </c>
      <c r="G1210" t="s">
        <v>1390</v>
      </c>
      <c r="H1210" s="18">
        <v>46161</v>
      </c>
      <c r="I1210" t="s">
        <v>14</v>
      </c>
      <c r="J1210">
        <f>VLOOKUP(E1210,'Room Count'!A$2:B$2616,2,FALSE)</f>
        <v>90</v>
      </c>
    </row>
    <row r="1211" spans="1:10" hidden="1">
      <c r="A1211" t="s">
        <v>43</v>
      </c>
      <c r="B1211" t="s">
        <v>1391</v>
      </c>
      <c r="C1211">
        <v>210037</v>
      </c>
      <c r="D1211" t="s">
        <v>1391</v>
      </c>
      <c r="E1211">
        <v>1284</v>
      </c>
      <c r="F1211" t="s">
        <v>24</v>
      </c>
      <c r="G1211" t="s">
        <v>1392</v>
      </c>
      <c r="H1211" s="18">
        <v>46161</v>
      </c>
      <c r="I1211" t="s">
        <v>14</v>
      </c>
      <c r="J1211">
        <f>VLOOKUP(E1211,'Room Count'!A$2:B$2616,2,FALSE)</f>
        <v>84</v>
      </c>
    </row>
    <row r="1212" spans="1:10" hidden="1">
      <c r="A1212" t="s">
        <v>43</v>
      </c>
      <c r="B1212" t="s">
        <v>1393</v>
      </c>
      <c r="C1212">
        <v>210039</v>
      </c>
      <c r="D1212" t="s">
        <v>1393</v>
      </c>
      <c r="E1212">
        <v>1285</v>
      </c>
      <c r="F1212" t="s">
        <v>24</v>
      </c>
      <c r="G1212" t="s">
        <v>1394</v>
      </c>
      <c r="H1212" s="18">
        <v>46161</v>
      </c>
      <c r="I1212" t="s">
        <v>14</v>
      </c>
      <c r="J1212">
        <f>VLOOKUP(E1212,'Room Count'!A$2:B$2616,2,FALSE)</f>
        <v>131</v>
      </c>
    </row>
    <row r="1213" spans="1:10" hidden="1">
      <c r="A1213" t="s">
        <v>43</v>
      </c>
      <c r="B1213" t="s">
        <v>1395</v>
      </c>
      <c r="C1213">
        <v>210041</v>
      </c>
      <c r="D1213" t="s">
        <v>1395</v>
      </c>
      <c r="E1213">
        <v>1286</v>
      </c>
      <c r="F1213" t="s">
        <v>24</v>
      </c>
      <c r="G1213" t="s">
        <v>1396</v>
      </c>
      <c r="H1213" s="18">
        <v>46161</v>
      </c>
      <c r="I1213" t="s">
        <v>14</v>
      </c>
      <c r="J1213">
        <f>VLOOKUP(E1213,'Room Count'!A$2:B$2616,2,FALSE)</f>
        <v>144</v>
      </c>
    </row>
    <row r="1214" spans="1:10" hidden="1">
      <c r="A1214" t="s">
        <v>43</v>
      </c>
      <c r="B1214" t="s">
        <v>1397</v>
      </c>
      <c r="C1214">
        <v>210043</v>
      </c>
      <c r="D1214" t="s">
        <v>1397</v>
      </c>
      <c r="E1214">
        <v>1287</v>
      </c>
      <c r="F1214" t="s">
        <v>24</v>
      </c>
      <c r="G1214" t="s">
        <v>1398</v>
      </c>
      <c r="H1214" s="18">
        <v>46161</v>
      </c>
      <c r="I1214" t="s">
        <v>14</v>
      </c>
      <c r="J1214">
        <f>VLOOKUP(E1214,'Room Count'!A$2:B$2616,2,FALSE)</f>
        <v>54</v>
      </c>
    </row>
    <row r="1215" spans="1:10" hidden="1">
      <c r="A1215" t="s">
        <v>43</v>
      </c>
      <c r="B1215" t="s">
        <v>1399</v>
      </c>
      <c r="C1215">
        <v>210045</v>
      </c>
      <c r="D1215" t="s">
        <v>1399</v>
      </c>
      <c r="E1215">
        <v>1288</v>
      </c>
      <c r="F1215" t="s">
        <v>24</v>
      </c>
      <c r="G1215" t="s">
        <v>1400</v>
      </c>
      <c r="H1215" s="18">
        <v>46161</v>
      </c>
      <c r="I1215" t="s">
        <v>14</v>
      </c>
      <c r="J1215">
        <f>VLOOKUP(E1215,'Room Count'!A$2:B$2616,2,FALSE)</f>
        <v>146</v>
      </c>
    </row>
    <row r="1216" spans="1:10" hidden="1">
      <c r="A1216" t="s">
        <v>43</v>
      </c>
      <c r="B1216" t="s">
        <v>1401</v>
      </c>
      <c r="C1216">
        <v>210047</v>
      </c>
      <c r="D1216" t="s">
        <v>1401</v>
      </c>
      <c r="E1216">
        <v>1289</v>
      </c>
      <c r="F1216" t="s">
        <v>24</v>
      </c>
      <c r="G1216" t="s">
        <v>1402</v>
      </c>
      <c r="H1216" s="18">
        <v>46161</v>
      </c>
      <c r="I1216" t="s">
        <v>14</v>
      </c>
      <c r="J1216">
        <f>VLOOKUP(E1216,'Room Count'!A$2:B$2616,2,FALSE)</f>
        <v>105</v>
      </c>
    </row>
    <row r="1217" spans="1:10" hidden="1">
      <c r="A1217" t="s">
        <v>43</v>
      </c>
      <c r="B1217" t="s">
        <v>1403</v>
      </c>
      <c r="C1217">
        <v>210049</v>
      </c>
      <c r="D1217" t="s">
        <v>1403</v>
      </c>
      <c r="E1217">
        <v>1290</v>
      </c>
      <c r="F1217" t="s">
        <v>24</v>
      </c>
      <c r="G1217" t="s">
        <v>1404</v>
      </c>
      <c r="H1217" s="18">
        <v>46161</v>
      </c>
      <c r="I1217" t="s">
        <v>14</v>
      </c>
      <c r="J1217">
        <f>VLOOKUP(E1217,'Room Count'!A$2:B$2616,2,FALSE)</f>
        <v>154</v>
      </c>
    </row>
    <row r="1218" spans="1:10" hidden="1">
      <c r="A1218" t="s">
        <v>43</v>
      </c>
      <c r="B1218" t="s">
        <v>1405</v>
      </c>
      <c r="C1218">
        <v>210051</v>
      </c>
      <c r="D1218" t="s">
        <v>1405</v>
      </c>
      <c r="E1218">
        <v>1291</v>
      </c>
      <c r="F1218" t="s">
        <v>24</v>
      </c>
      <c r="G1218" t="s">
        <v>1406</v>
      </c>
      <c r="H1218" s="18">
        <v>46161</v>
      </c>
      <c r="I1218" t="s">
        <v>14</v>
      </c>
      <c r="J1218">
        <f>VLOOKUP(E1218,'Room Count'!A$2:B$2616,2,FALSE)</f>
        <v>132</v>
      </c>
    </row>
    <row r="1219" spans="1:10" hidden="1">
      <c r="A1219" t="s">
        <v>43</v>
      </c>
      <c r="B1219" t="s">
        <v>1407</v>
      </c>
      <c r="C1219">
        <v>210053</v>
      </c>
      <c r="D1219" t="s">
        <v>1407</v>
      </c>
      <c r="E1219">
        <v>1292</v>
      </c>
      <c r="F1219" t="s">
        <v>24</v>
      </c>
      <c r="G1219" t="s">
        <v>1408</v>
      </c>
      <c r="H1219" s="18">
        <v>46161</v>
      </c>
      <c r="I1219" t="s">
        <v>14</v>
      </c>
      <c r="J1219">
        <f>VLOOKUP(E1219,'Room Count'!A$2:B$2616,2,FALSE)</f>
        <v>62</v>
      </c>
    </row>
    <row r="1220" spans="1:10" hidden="1">
      <c r="A1220" t="s">
        <v>43</v>
      </c>
      <c r="B1220" t="s">
        <v>1409</v>
      </c>
      <c r="C1220">
        <v>210055</v>
      </c>
      <c r="D1220" t="s">
        <v>1409</v>
      </c>
      <c r="E1220">
        <v>1294</v>
      </c>
      <c r="F1220" t="s">
        <v>24</v>
      </c>
      <c r="G1220" t="s">
        <v>1410</v>
      </c>
      <c r="H1220" s="18">
        <v>46161</v>
      </c>
      <c r="I1220" t="s">
        <v>14</v>
      </c>
      <c r="J1220">
        <f>VLOOKUP(E1220,'Room Count'!A$2:B$2616,2,FALSE)</f>
        <v>91</v>
      </c>
    </row>
    <row r="1221" spans="1:10" hidden="1">
      <c r="A1221" t="s">
        <v>43</v>
      </c>
      <c r="B1221" t="s">
        <v>1411</v>
      </c>
      <c r="C1221">
        <v>210057</v>
      </c>
      <c r="D1221" t="s">
        <v>1411</v>
      </c>
      <c r="E1221">
        <v>1295</v>
      </c>
      <c r="F1221" t="s">
        <v>24</v>
      </c>
      <c r="G1221" t="s">
        <v>1412</v>
      </c>
      <c r="H1221" s="18">
        <v>46161</v>
      </c>
      <c r="I1221" t="s">
        <v>14</v>
      </c>
      <c r="J1221">
        <f>VLOOKUP(E1221,'Room Count'!A$2:B$2616,2,FALSE)</f>
        <v>102</v>
      </c>
    </row>
    <row r="1222" spans="1:10" hidden="1">
      <c r="A1222" t="s">
        <v>43</v>
      </c>
      <c r="B1222" t="s">
        <v>1413</v>
      </c>
      <c r="C1222">
        <v>210059</v>
      </c>
      <c r="D1222" t="s">
        <v>1413</v>
      </c>
      <c r="E1222">
        <v>1296</v>
      </c>
      <c r="F1222" t="s">
        <v>24</v>
      </c>
      <c r="G1222" t="s">
        <v>1414</v>
      </c>
      <c r="H1222" s="18">
        <v>46161</v>
      </c>
      <c r="I1222" t="s">
        <v>14</v>
      </c>
      <c r="J1222">
        <f>VLOOKUP(E1222,'Room Count'!A$2:B$2616,2,FALSE)</f>
        <v>112</v>
      </c>
    </row>
    <row r="1223" spans="1:10" hidden="1">
      <c r="A1223" t="s">
        <v>43</v>
      </c>
      <c r="B1223" t="s">
        <v>1415</v>
      </c>
      <c r="C1223">
        <v>210061</v>
      </c>
      <c r="D1223" t="s">
        <v>1415</v>
      </c>
      <c r="E1223">
        <v>1297</v>
      </c>
      <c r="F1223" t="s">
        <v>24</v>
      </c>
      <c r="G1223" t="s">
        <v>1416</v>
      </c>
      <c r="H1223" s="18">
        <v>46161</v>
      </c>
      <c r="I1223" t="s">
        <v>14</v>
      </c>
      <c r="J1223">
        <f>VLOOKUP(E1223,'Room Count'!A$2:B$2616,2,FALSE)</f>
        <v>83</v>
      </c>
    </row>
    <row r="1224" spans="1:10" hidden="1">
      <c r="A1224" t="s">
        <v>43</v>
      </c>
      <c r="B1224" t="s">
        <v>1417</v>
      </c>
      <c r="C1224">
        <v>210063</v>
      </c>
      <c r="D1224" t="s">
        <v>1417</v>
      </c>
      <c r="E1224">
        <v>1299</v>
      </c>
      <c r="F1224" t="s">
        <v>24</v>
      </c>
      <c r="G1224" t="s">
        <v>1418</v>
      </c>
      <c r="H1224" s="18">
        <v>46161</v>
      </c>
      <c r="I1224" t="s">
        <v>14</v>
      </c>
      <c r="J1224">
        <f>VLOOKUP(E1224,'Room Count'!A$2:B$2616,2,FALSE)</f>
        <v>228</v>
      </c>
    </row>
    <row r="1225" spans="1:10" hidden="1">
      <c r="A1225" t="s">
        <v>43</v>
      </c>
      <c r="B1225" t="s">
        <v>1419</v>
      </c>
      <c r="C1225">
        <v>210065</v>
      </c>
      <c r="D1225" t="s">
        <v>1419</v>
      </c>
      <c r="E1225">
        <v>1300</v>
      </c>
      <c r="F1225" t="s">
        <v>24</v>
      </c>
      <c r="G1225" t="s">
        <v>1420</v>
      </c>
      <c r="H1225" s="18">
        <v>46161</v>
      </c>
      <c r="I1225" t="s">
        <v>14</v>
      </c>
      <c r="J1225">
        <f>VLOOKUP(E1225,'Room Count'!A$2:B$2616,2,FALSE)</f>
        <v>179</v>
      </c>
    </row>
    <row r="1226" spans="1:10" hidden="1">
      <c r="A1226" t="s">
        <v>43</v>
      </c>
      <c r="B1226" t="s">
        <v>1421</v>
      </c>
      <c r="C1226">
        <v>210067</v>
      </c>
      <c r="D1226" t="s">
        <v>1421</v>
      </c>
      <c r="E1226">
        <v>1301</v>
      </c>
      <c r="F1226" t="s">
        <v>24</v>
      </c>
      <c r="G1226" t="s">
        <v>1422</v>
      </c>
      <c r="H1226" s="18">
        <v>46161</v>
      </c>
      <c r="I1226" t="s">
        <v>14</v>
      </c>
      <c r="J1226">
        <f>VLOOKUP(E1226,'Room Count'!A$2:B$2616,2,FALSE)</f>
        <v>252</v>
      </c>
    </row>
    <row r="1227" spans="1:10" hidden="1">
      <c r="A1227" t="s">
        <v>43</v>
      </c>
      <c r="B1227" t="s">
        <v>1423</v>
      </c>
      <c r="C1227">
        <v>210069</v>
      </c>
      <c r="D1227" t="s">
        <v>1423</v>
      </c>
      <c r="E1227">
        <v>1302</v>
      </c>
      <c r="F1227" t="s">
        <v>24</v>
      </c>
      <c r="G1227" t="s">
        <v>1424</v>
      </c>
      <c r="H1227" s="18">
        <v>46161</v>
      </c>
      <c r="I1227" t="s">
        <v>14</v>
      </c>
      <c r="J1227">
        <f>VLOOKUP(E1227,'Room Count'!A$2:B$2616,2,FALSE)</f>
        <v>75</v>
      </c>
    </row>
    <row r="1228" spans="1:10" hidden="1">
      <c r="A1228" t="s">
        <v>43</v>
      </c>
      <c r="B1228" t="s">
        <v>1425</v>
      </c>
      <c r="C1228">
        <v>210071</v>
      </c>
      <c r="D1228" t="s">
        <v>1425</v>
      </c>
      <c r="E1228">
        <v>1303</v>
      </c>
      <c r="F1228" t="s">
        <v>24</v>
      </c>
      <c r="G1228" t="s">
        <v>1426</v>
      </c>
      <c r="H1228" s="18">
        <v>46161</v>
      </c>
      <c r="I1228" t="s">
        <v>14</v>
      </c>
      <c r="J1228">
        <f>VLOOKUP(E1228,'Room Count'!A$2:B$2616,2,FALSE)</f>
        <v>136</v>
      </c>
    </row>
    <row r="1229" spans="1:10" hidden="1">
      <c r="A1229" t="s">
        <v>43</v>
      </c>
      <c r="B1229" t="s">
        <v>1427</v>
      </c>
      <c r="C1229">
        <v>210073</v>
      </c>
      <c r="D1229" t="s">
        <v>1427</v>
      </c>
      <c r="E1229">
        <v>1304</v>
      </c>
      <c r="F1229" t="s">
        <v>24</v>
      </c>
      <c r="G1229" t="s">
        <v>1428</v>
      </c>
      <c r="H1229" s="18">
        <v>46161</v>
      </c>
      <c r="I1229" t="s">
        <v>14</v>
      </c>
      <c r="J1229">
        <f>VLOOKUP(E1229,'Room Count'!A$2:B$2616,2,FALSE)</f>
        <v>121</v>
      </c>
    </row>
    <row r="1230" spans="1:10" hidden="1">
      <c r="A1230" t="s">
        <v>43</v>
      </c>
      <c r="B1230" t="s">
        <v>1429</v>
      </c>
      <c r="C1230">
        <v>210075</v>
      </c>
      <c r="D1230" t="s">
        <v>1429</v>
      </c>
      <c r="E1230">
        <v>1305</v>
      </c>
      <c r="F1230" t="s">
        <v>24</v>
      </c>
      <c r="G1230" t="s">
        <v>1430</v>
      </c>
      <c r="H1230" s="18">
        <v>46161</v>
      </c>
      <c r="I1230" t="s">
        <v>14</v>
      </c>
      <c r="J1230">
        <f>VLOOKUP(E1230,'Room Count'!A$2:B$2616,2,FALSE)</f>
        <v>146</v>
      </c>
    </row>
    <row r="1231" spans="1:10" hidden="1">
      <c r="A1231" t="s">
        <v>43</v>
      </c>
      <c r="B1231" t="s">
        <v>1431</v>
      </c>
      <c r="C1231">
        <v>210077</v>
      </c>
      <c r="D1231" t="s">
        <v>1431</v>
      </c>
      <c r="E1231">
        <v>1306</v>
      </c>
      <c r="F1231" t="s">
        <v>24</v>
      </c>
      <c r="G1231" t="s">
        <v>1432</v>
      </c>
      <c r="H1231" s="18">
        <v>46161</v>
      </c>
      <c r="I1231" t="s">
        <v>14</v>
      </c>
      <c r="J1231">
        <f>VLOOKUP(E1231,'Room Count'!A$2:B$2616,2,FALSE)</f>
        <v>153</v>
      </c>
    </row>
    <row r="1232" spans="1:10" hidden="1">
      <c r="A1232" t="s">
        <v>43</v>
      </c>
      <c r="B1232" t="s">
        <v>1433</v>
      </c>
      <c r="C1232">
        <v>210079</v>
      </c>
      <c r="D1232" t="s">
        <v>1433</v>
      </c>
      <c r="E1232">
        <v>1307</v>
      </c>
      <c r="F1232" t="s">
        <v>24</v>
      </c>
      <c r="G1232" t="s">
        <v>1434</v>
      </c>
      <c r="H1232" s="18">
        <v>46161</v>
      </c>
      <c r="I1232" t="s">
        <v>14</v>
      </c>
      <c r="J1232">
        <f>VLOOKUP(E1232,'Room Count'!A$2:B$2616,2,FALSE)</f>
        <v>93</v>
      </c>
    </row>
    <row r="1233" spans="1:10" hidden="1">
      <c r="A1233" t="s">
        <v>43</v>
      </c>
      <c r="B1233" t="s">
        <v>1435</v>
      </c>
      <c r="C1233">
        <v>210081</v>
      </c>
      <c r="D1233" t="s">
        <v>1435</v>
      </c>
      <c r="E1233">
        <v>1308</v>
      </c>
      <c r="F1233" t="s">
        <v>24</v>
      </c>
      <c r="G1233" t="s">
        <v>1436</v>
      </c>
      <c r="H1233" s="18">
        <v>46161</v>
      </c>
      <c r="I1233" t="s">
        <v>14</v>
      </c>
      <c r="J1233">
        <f>VLOOKUP(E1233,'Room Count'!A$2:B$2616,2,FALSE)</f>
        <v>81</v>
      </c>
    </row>
    <row r="1234" spans="1:10" hidden="1">
      <c r="A1234" t="s">
        <v>43</v>
      </c>
      <c r="B1234" t="s">
        <v>1437</v>
      </c>
      <c r="C1234">
        <v>210083</v>
      </c>
      <c r="D1234" t="s">
        <v>1437</v>
      </c>
      <c r="E1234">
        <v>1309</v>
      </c>
      <c r="F1234" t="s">
        <v>24</v>
      </c>
      <c r="G1234" t="s">
        <v>1438</v>
      </c>
      <c r="H1234" s="18">
        <v>46161</v>
      </c>
      <c r="I1234" t="s">
        <v>14</v>
      </c>
      <c r="J1234">
        <f>VLOOKUP(E1234,'Room Count'!A$2:B$2616,2,FALSE)</f>
        <v>87</v>
      </c>
    </row>
    <row r="1235" spans="1:10" hidden="1">
      <c r="A1235" t="s">
        <v>43</v>
      </c>
      <c r="B1235" t="s">
        <v>1439</v>
      </c>
      <c r="C1235">
        <v>210085</v>
      </c>
      <c r="D1235" t="s">
        <v>1439</v>
      </c>
      <c r="E1235">
        <v>1310</v>
      </c>
      <c r="F1235" t="s">
        <v>24</v>
      </c>
      <c r="G1235" t="s">
        <v>1440</v>
      </c>
      <c r="H1235" s="18">
        <v>46161</v>
      </c>
      <c r="I1235" t="s">
        <v>14</v>
      </c>
      <c r="J1235">
        <f>VLOOKUP(E1235,'Room Count'!A$2:B$2616,2,FALSE)</f>
        <v>123</v>
      </c>
    </row>
    <row r="1236" spans="1:10" hidden="1">
      <c r="A1236" t="s">
        <v>43</v>
      </c>
      <c r="B1236" t="s">
        <v>1441</v>
      </c>
      <c r="C1236">
        <v>210087</v>
      </c>
      <c r="D1236" t="s">
        <v>1441</v>
      </c>
      <c r="E1236">
        <v>1311</v>
      </c>
      <c r="F1236" t="s">
        <v>24</v>
      </c>
      <c r="G1236" t="s">
        <v>1442</v>
      </c>
      <c r="H1236" s="18">
        <v>46161</v>
      </c>
      <c r="I1236" t="s">
        <v>14</v>
      </c>
      <c r="J1236">
        <f>VLOOKUP(E1236,'Room Count'!A$2:B$2616,2,FALSE)</f>
        <v>148</v>
      </c>
    </row>
    <row r="1237" spans="1:10" hidden="1">
      <c r="A1237" t="s">
        <v>43</v>
      </c>
      <c r="B1237" t="s">
        <v>1443</v>
      </c>
      <c r="C1237">
        <v>210089</v>
      </c>
      <c r="D1237" t="s">
        <v>1443</v>
      </c>
      <c r="E1237">
        <v>1312</v>
      </c>
      <c r="F1237" t="s">
        <v>24</v>
      </c>
      <c r="G1237" t="s">
        <v>1444</v>
      </c>
      <c r="H1237" s="18">
        <v>46161</v>
      </c>
      <c r="I1237" t="s">
        <v>14</v>
      </c>
      <c r="J1237">
        <f>VLOOKUP(E1237,'Room Count'!A$2:B$2616,2,FALSE)</f>
        <v>109</v>
      </c>
    </row>
    <row r="1238" spans="1:10" hidden="1">
      <c r="A1238" t="s">
        <v>43</v>
      </c>
      <c r="B1238" t="s">
        <v>1445</v>
      </c>
      <c r="C1238">
        <v>210091</v>
      </c>
      <c r="D1238" t="s">
        <v>1445</v>
      </c>
      <c r="E1238">
        <v>1313</v>
      </c>
      <c r="F1238" t="s">
        <v>24</v>
      </c>
      <c r="G1238" t="s">
        <v>1446</v>
      </c>
      <c r="H1238" s="18">
        <v>46161</v>
      </c>
      <c r="I1238" t="s">
        <v>14</v>
      </c>
      <c r="J1238">
        <f>VLOOKUP(E1238,'Room Count'!A$2:B$2616,2,FALSE)</f>
        <v>112</v>
      </c>
    </row>
    <row r="1239" spans="1:10" hidden="1">
      <c r="A1239" t="s">
        <v>43</v>
      </c>
      <c r="B1239" t="s">
        <v>1447</v>
      </c>
      <c r="C1239">
        <v>210093</v>
      </c>
      <c r="D1239" t="s">
        <v>1447</v>
      </c>
      <c r="E1239">
        <v>1314</v>
      </c>
      <c r="F1239" t="s">
        <v>24</v>
      </c>
      <c r="G1239" t="s">
        <v>1448</v>
      </c>
      <c r="H1239" s="18">
        <v>46161</v>
      </c>
      <c r="I1239" t="s">
        <v>14</v>
      </c>
      <c r="J1239">
        <f>VLOOKUP(E1239,'Room Count'!A$2:B$2616,2,FALSE)</f>
        <v>190</v>
      </c>
    </row>
    <row r="1240" spans="1:10" hidden="1">
      <c r="A1240" t="s">
        <v>43</v>
      </c>
      <c r="B1240" t="s">
        <v>1449</v>
      </c>
      <c r="C1240">
        <v>210095</v>
      </c>
      <c r="D1240" t="s">
        <v>1449</v>
      </c>
      <c r="E1240">
        <v>1315</v>
      </c>
      <c r="F1240" t="s">
        <v>24</v>
      </c>
      <c r="G1240" t="s">
        <v>1450</v>
      </c>
      <c r="H1240" s="18">
        <v>46161</v>
      </c>
      <c r="I1240" t="s">
        <v>14</v>
      </c>
      <c r="J1240">
        <f>VLOOKUP(E1240,'Room Count'!A$2:B$2616,2,FALSE)</f>
        <v>96</v>
      </c>
    </row>
    <row r="1241" spans="1:10" hidden="1">
      <c r="A1241" t="s">
        <v>43</v>
      </c>
      <c r="B1241" t="s">
        <v>1451</v>
      </c>
      <c r="C1241">
        <v>210097</v>
      </c>
      <c r="D1241" t="s">
        <v>1451</v>
      </c>
      <c r="E1241">
        <v>1316</v>
      </c>
      <c r="F1241" t="s">
        <v>24</v>
      </c>
      <c r="G1241" t="s">
        <v>1452</v>
      </c>
      <c r="H1241" s="18">
        <v>46161</v>
      </c>
      <c r="I1241" t="s">
        <v>14</v>
      </c>
      <c r="J1241">
        <f>VLOOKUP(E1241,'Room Count'!A$2:B$2616,2,FALSE)</f>
        <v>130</v>
      </c>
    </row>
    <row r="1242" spans="1:10" hidden="1">
      <c r="A1242" t="s">
        <v>43</v>
      </c>
      <c r="B1242" t="s">
        <v>1453</v>
      </c>
      <c r="C1242">
        <v>210099</v>
      </c>
      <c r="D1242" t="s">
        <v>1453</v>
      </c>
      <c r="E1242">
        <v>1317</v>
      </c>
      <c r="F1242" t="s">
        <v>24</v>
      </c>
      <c r="G1242" t="s">
        <v>1454</v>
      </c>
      <c r="H1242" s="18">
        <v>46161</v>
      </c>
      <c r="I1242" t="s">
        <v>14</v>
      </c>
      <c r="J1242">
        <f>VLOOKUP(E1242,'Room Count'!A$2:B$2616,2,FALSE)</f>
        <v>136</v>
      </c>
    </row>
    <row r="1243" spans="1:10" hidden="1">
      <c r="A1243" t="s">
        <v>43</v>
      </c>
      <c r="B1243" t="s">
        <v>1455</v>
      </c>
      <c r="C1243">
        <v>210101</v>
      </c>
      <c r="D1243" t="s">
        <v>1455</v>
      </c>
      <c r="E1243">
        <v>1318</v>
      </c>
      <c r="F1243" t="s">
        <v>24</v>
      </c>
      <c r="G1243" t="s">
        <v>1456</v>
      </c>
      <c r="H1243" s="18">
        <v>46161</v>
      </c>
      <c r="I1243" t="s">
        <v>14</v>
      </c>
      <c r="J1243">
        <f>VLOOKUP(E1243,'Room Count'!A$2:B$2616,2,FALSE)</f>
        <v>121</v>
      </c>
    </row>
    <row r="1244" spans="1:10" hidden="1">
      <c r="A1244" t="s">
        <v>43</v>
      </c>
      <c r="B1244" t="s">
        <v>1457</v>
      </c>
      <c r="C1244">
        <v>210103</v>
      </c>
      <c r="D1244" t="s">
        <v>1457</v>
      </c>
      <c r="E1244">
        <v>1319</v>
      </c>
      <c r="F1244" t="s">
        <v>24</v>
      </c>
      <c r="G1244" t="s">
        <v>1458</v>
      </c>
      <c r="H1244" s="18">
        <v>46161</v>
      </c>
      <c r="I1244" t="s">
        <v>14</v>
      </c>
      <c r="J1244">
        <f>VLOOKUP(E1244,'Room Count'!A$2:B$2616,2,FALSE)</f>
        <v>88</v>
      </c>
    </row>
    <row r="1245" spans="1:10" hidden="1">
      <c r="A1245" t="s">
        <v>43</v>
      </c>
      <c r="B1245" t="s">
        <v>1459</v>
      </c>
      <c r="C1245">
        <v>210105</v>
      </c>
      <c r="D1245" t="s">
        <v>1459</v>
      </c>
      <c r="E1245">
        <v>1320</v>
      </c>
      <c r="F1245" t="s">
        <v>24</v>
      </c>
      <c r="G1245" t="s">
        <v>1460</v>
      </c>
      <c r="H1245" s="18">
        <v>46161</v>
      </c>
      <c r="I1245" t="s">
        <v>14</v>
      </c>
      <c r="J1245">
        <f>VLOOKUP(E1245,'Room Count'!A$2:B$2616,2,FALSE)</f>
        <v>148</v>
      </c>
    </row>
    <row r="1246" spans="1:10" hidden="1">
      <c r="A1246" t="s">
        <v>43</v>
      </c>
      <c r="B1246" t="s">
        <v>1461</v>
      </c>
      <c r="C1246">
        <v>210107</v>
      </c>
      <c r="D1246" t="s">
        <v>1461</v>
      </c>
      <c r="E1246">
        <v>1321</v>
      </c>
      <c r="F1246" t="s">
        <v>24</v>
      </c>
      <c r="G1246" t="s">
        <v>1462</v>
      </c>
      <c r="H1246" s="18">
        <v>46161</v>
      </c>
      <c r="I1246" t="s">
        <v>14</v>
      </c>
      <c r="J1246">
        <f>VLOOKUP(E1246,'Room Count'!A$2:B$2616,2,FALSE)</f>
        <v>135</v>
      </c>
    </row>
    <row r="1247" spans="1:10" hidden="1">
      <c r="A1247" t="s">
        <v>43</v>
      </c>
      <c r="B1247" t="s">
        <v>1463</v>
      </c>
      <c r="C1247">
        <v>210109</v>
      </c>
      <c r="D1247" t="s">
        <v>1463</v>
      </c>
      <c r="E1247">
        <v>1323</v>
      </c>
      <c r="F1247" t="s">
        <v>24</v>
      </c>
      <c r="G1247" t="s">
        <v>1464</v>
      </c>
      <c r="H1247" s="18">
        <v>46161</v>
      </c>
      <c r="I1247" t="s">
        <v>14</v>
      </c>
      <c r="J1247">
        <f>VLOOKUP(E1247,'Room Count'!A$2:B$2616,2,FALSE)</f>
        <v>115</v>
      </c>
    </row>
    <row r="1248" spans="1:10" hidden="1">
      <c r="A1248" t="s">
        <v>43</v>
      </c>
      <c r="B1248" t="s">
        <v>1465</v>
      </c>
      <c r="C1248">
        <v>210111</v>
      </c>
      <c r="D1248" t="s">
        <v>1465</v>
      </c>
      <c r="E1248">
        <v>1324</v>
      </c>
      <c r="F1248" t="s">
        <v>24</v>
      </c>
      <c r="G1248" t="s">
        <v>1466</v>
      </c>
      <c r="H1248" s="18">
        <v>46161</v>
      </c>
      <c r="I1248" t="s">
        <v>14</v>
      </c>
      <c r="J1248">
        <f>VLOOKUP(E1248,'Room Count'!A$2:B$2616,2,FALSE)</f>
        <v>87</v>
      </c>
    </row>
    <row r="1249" spans="1:10" hidden="1">
      <c r="A1249" t="s">
        <v>43</v>
      </c>
      <c r="B1249" t="s">
        <v>1467</v>
      </c>
      <c r="C1249">
        <v>210113</v>
      </c>
      <c r="D1249" t="s">
        <v>1467</v>
      </c>
      <c r="E1249">
        <v>1325</v>
      </c>
      <c r="F1249" t="s">
        <v>24</v>
      </c>
      <c r="G1249" t="s">
        <v>1468</v>
      </c>
      <c r="H1249" s="18">
        <v>46161</v>
      </c>
      <c r="I1249" t="s">
        <v>14</v>
      </c>
      <c r="J1249">
        <f>VLOOKUP(E1249,'Room Count'!A$2:B$2616,2,FALSE)</f>
        <v>118</v>
      </c>
    </row>
    <row r="1250" spans="1:10" hidden="1">
      <c r="A1250" t="s">
        <v>43</v>
      </c>
      <c r="B1250" t="s">
        <v>1469</v>
      </c>
      <c r="C1250">
        <v>210115</v>
      </c>
      <c r="D1250" t="s">
        <v>1469</v>
      </c>
      <c r="E1250">
        <v>1326</v>
      </c>
      <c r="F1250" t="s">
        <v>24</v>
      </c>
      <c r="G1250" t="s">
        <v>1470</v>
      </c>
      <c r="H1250" s="18">
        <v>46161</v>
      </c>
      <c r="I1250" t="s">
        <v>14</v>
      </c>
      <c r="J1250">
        <f>VLOOKUP(E1250,'Room Count'!A$2:B$2616,2,FALSE)</f>
        <v>99</v>
      </c>
    </row>
    <row r="1251" spans="1:10" hidden="1">
      <c r="A1251" t="s">
        <v>43</v>
      </c>
      <c r="B1251" t="s">
        <v>1471</v>
      </c>
      <c r="C1251">
        <v>210115</v>
      </c>
      <c r="D1251" t="s">
        <v>1471</v>
      </c>
      <c r="E1251">
        <v>1363</v>
      </c>
      <c r="F1251" t="s">
        <v>24</v>
      </c>
      <c r="G1251" t="s">
        <v>1472</v>
      </c>
      <c r="H1251" s="18">
        <v>46161</v>
      </c>
      <c r="I1251" t="s">
        <v>14</v>
      </c>
      <c r="J1251">
        <f>VLOOKUP(E1251,'Room Count'!A$2:B$2616,2,FALSE)</f>
        <v>118</v>
      </c>
    </row>
    <row r="1252" spans="1:10" hidden="1">
      <c r="A1252" t="s">
        <v>43</v>
      </c>
      <c r="B1252" t="s">
        <v>1473</v>
      </c>
      <c r="C1252">
        <v>210117</v>
      </c>
      <c r="D1252" t="s">
        <v>1473</v>
      </c>
      <c r="E1252">
        <v>1327</v>
      </c>
      <c r="F1252" t="s">
        <v>24</v>
      </c>
      <c r="G1252" t="s">
        <v>1474</v>
      </c>
      <c r="H1252" s="18">
        <v>46161</v>
      </c>
      <c r="I1252" t="s">
        <v>14</v>
      </c>
      <c r="J1252">
        <f>VLOOKUP(E1252,'Room Count'!A$2:B$2616,2,FALSE)</f>
        <v>118</v>
      </c>
    </row>
    <row r="1253" spans="1:10" hidden="1">
      <c r="A1253" t="s">
        <v>43</v>
      </c>
      <c r="B1253" t="s">
        <v>1475</v>
      </c>
      <c r="C1253">
        <v>210119</v>
      </c>
      <c r="D1253" t="s">
        <v>1475</v>
      </c>
      <c r="E1253">
        <v>1328</v>
      </c>
      <c r="F1253" t="s">
        <v>24</v>
      </c>
      <c r="G1253" t="s">
        <v>1476</v>
      </c>
      <c r="H1253" s="18">
        <v>46161</v>
      </c>
      <c r="I1253" t="s">
        <v>14</v>
      </c>
      <c r="J1253">
        <f>VLOOKUP(E1253,'Room Count'!A$2:B$2616,2,FALSE)</f>
        <v>120</v>
      </c>
    </row>
    <row r="1254" spans="1:10" hidden="1">
      <c r="A1254" t="s">
        <v>43</v>
      </c>
      <c r="B1254" t="s">
        <v>1477</v>
      </c>
      <c r="C1254">
        <v>210121</v>
      </c>
      <c r="D1254" t="s">
        <v>1477</v>
      </c>
      <c r="E1254">
        <v>1329</v>
      </c>
      <c r="F1254" t="s">
        <v>24</v>
      </c>
      <c r="G1254" t="s">
        <v>1478</v>
      </c>
      <c r="H1254" s="18">
        <v>46161</v>
      </c>
      <c r="I1254" t="s">
        <v>14</v>
      </c>
      <c r="J1254">
        <f>VLOOKUP(E1254,'Room Count'!A$2:B$2616,2,FALSE)</f>
        <v>203</v>
      </c>
    </row>
    <row r="1255" spans="1:10" hidden="1">
      <c r="A1255" t="s">
        <v>43</v>
      </c>
      <c r="B1255" t="s">
        <v>1479</v>
      </c>
      <c r="C1255">
        <v>210123</v>
      </c>
      <c r="D1255" t="s">
        <v>1479</v>
      </c>
      <c r="E1255">
        <v>1330</v>
      </c>
      <c r="F1255" t="s">
        <v>24</v>
      </c>
      <c r="G1255" t="s">
        <v>1480</v>
      </c>
      <c r="H1255" s="18">
        <v>46161</v>
      </c>
      <c r="I1255" t="s">
        <v>14</v>
      </c>
      <c r="J1255">
        <f>VLOOKUP(E1255,'Room Count'!A$2:B$2616,2,FALSE)</f>
        <v>94</v>
      </c>
    </row>
    <row r="1256" spans="1:10" hidden="1">
      <c r="A1256" t="s">
        <v>43</v>
      </c>
      <c r="B1256" t="s">
        <v>1481</v>
      </c>
      <c r="C1256">
        <v>210125</v>
      </c>
      <c r="D1256" t="s">
        <v>1481</v>
      </c>
      <c r="E1256">
        <v>1331</v>
      </c>
      <c r="F1256" t="s">
        <v>24</v>
      </c>
      <c r="G1256" t="s">
        <v>1482</v>
      </c>
      <c r="H1256" s="18">
        <v>46161</v>
      </c>
      <c r="I1256" t="s">
        <v>14</v>
      </c>
      <c r="J1256">
        <f>VLOOKUP(E1256,'Room Count'!A$2:B$2616,2,FALSE)</f>
        <v>184</v>
      </c>
    </row>
    <row r="1257" spans="1:10" hidden="1">
      <c r="A1257" t="s">
        <v>43</v>
      </c>
      <c r="B1257" t="s">
        <v>1483</v>
      </c>
      <c r="C1257">
        <v>210127</v>
      </c>
      <c r="D1257" t="s">
        <v>1483</v>
      </c>
      <c r="E1257">
        <v>1332</v>
      </c>
      <c r="F1257" t="s">
        <v>24</v>
      </c>
      <c r="G1257" t="s">
        <v>1484</v>
      </c>
      <c r="H1257" s="18">
        <v>46161</v>
      </c>
      <c r="I1257" t="s">
        <v>14</v>
      </c>
      <c r="J1257">
        <f>VLOOKUP(E1257,'Room Count'!A$2:B$2616,2,FALSE)</f>
        <v>111</v>
      </c>
    </row>
    <row r="1258" spans="1:10" hidden="1">
      <c r="A1258" t="s">
        <v>43</v>
      </c>
      <c r="B1258" t="s">
        <v>1485</v>
      </c>
      <c r="C1258">
        <v>210129</v>
      </c>
      <c r="D1258" t="s">
        <v>1485</v>
      </c>
      <c r="E1258">
        <v>1333</v>
      </c>
      <c r="F1258" t="s">
        <v>24</v>
      </c>
      <c r="G1258" t="s">
        <v>1486</v>
      </c>
      <c r="H1258" s="18">
        <v>46161</v>
      </c>
      <c r="I1258" t="s">
        <v>14</v>
      </c>
      <c r="J1258">
        <f>VLOOKUP(E1258,'Room Count'!A$2:B$2616,2,FALSE)</f>
        <v>197</v>
      </c>
    </row>
    <row r="1259" spans="1:10" hidden="1">
      <c r="A1259" t="s">
        <v>43</v>
      </c>
      <c r="B1259" t="s">
        <v>1487</v>
      </c>
      <c r="C1259">
        <v>210131</v>
      </c>
      <c r="D1259" t="s">
        <v>1487</v>
      </c>
      <c r="E1259">
        <v>1334</v>
      </c>
      <c r="F1259" t="s">
        <v>24</v>
      </c>
      <c r="G1259" t="s">
        <v>1488</v>
      </c>
      <c r="H1259" s="18">
        <v>46161</v>
      </c>
      <c r="I1259" t="s">
        <v>14</v>
      </c>
      <c r="J1259">
        <f>VLOOKUP(E1259,'Room Count'!A$2:B$2616,2,FALSE)</f>
        <v>96</v>
      </c>
    </row>
    <row r="1260" spans="1:10" hidden="1">
      <c r="A1260" t="s">
        <v>43</v>
      </c>
      <c r="B1260" t="s">
        <v>1489</v>
      </c>
      <c r="C1260">
        <v>210133</v>
      </c>
      <c r="D1260" t="s">
        <v>1489</v>
      </c>
      <c r="E1260">
        <v>1335</v>
      </c>
      <c r="F1260" t="s">
        <v>24</v>
      </c>
      <c r="G1260" t="s">
        <v>1490</v>
      </c>
      <c r="H1260" s="18">
        <v>46161</v>
      </c>
      <c r="I1260" t="s">
        <v>14</v>
      </c>
      <c r="J1260">
        <f>VLOOKUP(E1260,'Room Count'!A$2:B$2616,2,FALSE)</f>
        <v>82</v>
      </c>
    </row>
    <row r="1261" spans="1:10" hidden="1">
      <c r="A1261" t="s">
        <v>43</v>
      </c>
      <c r="B1261" t="s">
        <v>1491</v>
      </c>
      <c r="C1261">
        <v>210135</v>
      </c>
      <c r="D1261" t="s">
        <v>1491</v>
      </c>
      <c r="E1261">
        <v>1336</v>
      </c>
      <c r="F1261" t="s">
        <v>24</v>
      </c>
      <c r="G1261" t="s">
        <v>1492</v>
      </c>
      <c r="H1261" s="18">
        <v>46161</v>
      </c>
      <c r="I1261" t="s">
        <v>14</v>
      </c>
      <c r="J1261">
        <f>VLOOKUP(E1261,'Room Count'!A$2:B$2616,2,FALSE)</f>
        <v>68</v>
      </c>
    </row>
    <row r="1262" spans="1:10" hidden="1">
      <c r="A1262" t="s">
        <v>43</v>
      </c>
      <c r="B1262" t="s">
        <v>1493</v>
      </c>
      <c r="C1262">
        <v>210137</v>
      </c>
      <c r="D1262" t="s">
        <v>1493</v>
      </c>
      <c r="E1262">
        <v>1337</v>
      </c>
      <c r="F1262" t="s">
        <v>24</v>
      </c>
      <c r="G1262" t="s">
        <v>1494</v>
      </c>
      <c r="H1262" s="18">
        <v>46161</v>
      </c>
      <c r="I1262" t="s">
        <v>14</v>
      </c>
      <c r="J1262">
        <f>VLOOKUP(E1262,'Room Count'!A$2:B$2616,2,FALSE)</f>
        <v>119</v>
      </c>
    </row>
    <row r="1263" spans="1:10" hidden="1">
      <c r="A1263" t="s">
        <v>43</v>
      </c>
      <c r="B1263" t="s">
        <v>1495</v>
      </c>
      <c r="C1263">
        <v>210139</v>
      </c>
      <c r="D1263" t="s">
        <v>1495</v>
      </c>
      <c r="E1263">
        <v>1338</v>
      </c>
      <c r="F1263" t="s">
        <v>24</v>
      </c>
      <c r="G1263" t="s">
        <v>1496</v>
      </c>
      <c r="H1263" s="18">
        <v>46161</v>
      </c>
      <c r="I1263" t="s">
        <v>14</v>
      </c>
      <c r="J1263">
        <f>VLOOKUP(E1263,'Room Count'!A$2:B$2616,2,FALSE)</f>
        <v>89</v>
      </c>
    </row>
    <row r="1264" spans="1:10" hidden="1">
      <c r="A1264" t="s">
        <v>43</v>
      </c>
      <c r="B1264" t="s">
        <v>1497</v>
      </c>
      <c r="C1264">
        <v>210141</v>
      </c>
      <c r="D1264" t="s">
        <v>1497</v>
      </c>
      <c r="E1264">
        <v>1339</v>
      </c>
      <c r="F1264" t="s">
        <v>24</v>
      </c>
      <c r="G1264" t="s">
        <v>1498</v>
      </c>
      <c r="H1264" s="18">
        <v>46161</v>
      </c>
      <c r="I1264" t="s">
        <v>14</v>
      </c>
      <c r="J1264">
        <f>VLOOKUP(E1264,'Room Count'!A$2:B$2616,2,FALSE)</f>
        <v>95</v>
      </c>
    </row>
    <row r="1265" spans="1:10" hidden="1">
      <c r="A1265" t="s">
        <v>43</v>
      </c>
      <c r="B1265" t="s">
        <v>1499</v>
      </c>
      <c r="C1265">
        <v>210143</v>
      </c>
      <c r="D1265" t="s">
        <v>1499</v>
      </c>
      <c r="E1265">
        <v>1340</v>
      </c>
      <c r="F1265" t="s">
        <v>24</v>
      </c>
      <c r="G1265" t="s">
        <v>1500</v>
      </c>
      <c r="H1265" s="18">
        <v>46161</v>
      </c>
      <c r="I1265" t="s">
        <v>14</v>
      </c>
      <c r="J1265">
        <f>VLOOKUP(E1265,'Room Count'!A$2:B$2616,2,FALSE)</f>
        <v>103</v>
      </c>
    </row>
    <row r="1266" spans="1:10" hidden="1">
      <c r="A1266" t="s">
        <v>43</v>
      </c>
      <c r="B1266" t="s">
        <v>1501</v>
      </c>
      <c r="C1266">
        <v>210145</v>
      </c>
      <c r="D1266" t="s">
        <v>1501</v>
      </c>
      <c r="E1266">
        <v>1343</v>
      </c>
      <c r="F1266" t="s">
        <v>24</v>
      </c>
      <c r="G1266" t="s">
        <v>1502</v>
      </c>
      <c r="H1266" s="18">
        <v>46161</v>
      </c>
      <c r="I1266" t="s">
        <v>14</v>
      </c>
      <c r="J1266">
        <f>VLOOKUP(E1266,'Room Count'!A$2:B$2616,2,FALSE)</f>
        <v>96</v>
      </c>
    </row>
    <row r="1267" spans="1:10" hidden="1">
      <c r="A1267" t="s">
        <v>43</v>
      </c>
      <c r="B1267" t="s">
        <v>1503</v>
      </c>
      <c r="C1267">
        <v>210147</v>
      </c>
      <c r="D1267" t="s">
        <v>1503</v>
      </c>
      <c r="E1267">
        <v>1344</v>
      </c>
      <c r="F1267" t="s">
        <v>24</v>
      </c>
      <c r="G1267" t="s">
        <v>1504</v>
      </c>
      <c r="H1267" s="18">
        <v>46161</v>
      </c>
      <c r="I1267" t="s">
        <v>14</v>
      </c>
      <c r="J1267">
        <f>VLOOKUP(E1267,'Room Count'!A$2:B$2616,2,FALSE)</f>
        <v>80</v>
      </c>
    </row>
    <row r="1268" spans="1:10" hidden="1">
      <c r="A1268" t="s">
        <v>43</v>
      </c>
      <c r="B1268" t="s">
        <v>1505</v>
      </c>
      <c r="C1268">
        <v>210149</v>
      </c>
      <c r="D1268" t="s">
        <v>1505</v>
      </c>
      <c r="E1268">
        <v>1345</v>
      </c>
      <c r="F1268" t="s">
        <v>24</v>
      </c>
      <c r="G1268" t="s">
        <v>1506</v>
      </c>
      <c r="H1268" s="18">
        <v>46161</v>
      </c>
      <c r="I1268" t="s">
        <v>14</v>
      </c>
      <c r="J1268">
        <f>VLOOKUP(E1268,'Room Count'!A$2:B$2616,2,FALSE)</f>
        <v>136</v>
      </c>
    </row>
    <row r="1269" spans="1:10" hidden="1">
      <c r="A1269" t="s">
        <v>43</v>
      </c>
      <c r="B1269" t="s">
        <v>1507</v>
      </c>
      <c r="C1269">
        <v>210151</v>
      </c>
      <c r="D1269" t="s">
        <v>1507</v>
      </c>
      <c r="E1269">
        <v>1346</v>
      </c>
      <c r="F1269" t="s">
        <v>24</v>
      </c>
      <c r="G1269" t="s">
        <v>1508</v>
      </c>
      <c r="H1269" s="18">
        <v>46161</v>
      </c>
      <c r="I1269" t="s">
        <v>14</v>
      </c>
      <c r="J1269">
        <f>VLOOKUP(E1269,'Room Count'!A$2:B$2616,2,FALSE)</f>
        <v>128</v>
      </c>
    </row>
    <row r="1270" spans="1:10" hidden="1">
      <c r="A1270" t="s">
        <v>43</v>
      </c>
      <c r="B1270" t="s">
        <v>1509</v>
      </c>
      <c r="C1270">
        <v>210153</v>
      </c>
      <c r="D1270" t="s">
        <v>1509</v>
      </c>
      <c r="E1270">
        <v>1347</v>
      </c>
      <c r="F1270" t="s">
        <v>24</v>
      </c>
      <c r="G1270" t="s">
        <v>1510</v>
      </c>
      <c r="H1270" s="18">
        <v>46161</v>
      </c>
      <c r="I1270" t="s">
        <v>14</v>
      </c>
      <c r="J1270">
        <f>VLOOKUP(E1270,'Room Count'!A$2:B$2616,2,FALSE)</f>
        <v>81</v>
      </c>
    </row>
    <row r="1271" spans="1:10" hidden="1">
      <c r="A1271" t="s">
        <v>43</v>
      </c>
      <c r="B1271" t="s">
        <v>1511</v>
      </c>
      <c r="C1271">
        <v>210155</v>
      </c>
      <c r="D1271" t="s">
        <v>1511</v>
      </c>
      <c r="E1271">
        <v>1348</v>
      </c>
      <c r="F1271" t="s">
        <v>24</v>
      </c>
      <c r="G1271" t="s">
        <v>1512</v>
      </c>
      <c r="H1271" s="18">
        <v>46161</v>
      </c>
      <c r="I1271" t="s">
        <v>14</v>
      </c>
      <c r="J1271">
        <f>VLOOKUP(E1271,'Room Count'!A$2:B$2616,2,FALSE)</f>
        <v>120</v>
      </c>
    </row>
    <row r="1272" spans="1:10" hidden="1">
      <c r="A1272" t="s">
        <v>43</v>
      </c>
      <c r="B1272" t="s">
        <v>1513</v>
      </c>
      <c r="C1272">
        <v>210157</v>
      </c>
      <c r="D1272" t="s">
        <v>1513</v>
      </c>
      <c r="E1272">
        <v>1349</v>
      </c>
      <c r="F1272" t="s">
        <v>24</v>
      </c>
      <c r="G1272" t="s">
        <v>1514</v>
      </c>
      <c r="H1272" s="18">
        <v>46161</v>
      </c>
      <c r="I1272" t="s">
        <v>14</v>
      </c>
      <c r="J1272">
        <f>VLOOKUP(E1272,'Room Count'!A$2:B$2616,2,FALSE)</f>
        <v>78</v>
      </c>
    </row>
    <row r="1273" spans="1:10" hidden="1">
      <c r="A1273" t="s">
        <v>43</v>
      </c>
      <c r="B1273" t="s">
        <v>1515</v>
      </c>
      <c r="C1273">
        <v>210159</v>
      </c>
      <c r="D1273" t="s">
        <v>1515</v>
      </c>
      <c r="E1273">
        <v>1350</v>
      </c>
      <c r="F1273" t="s">
        <v>24</v>
      </c>
      <c r="G1273" t="s">
        <v>1516</v>
      </c>
      <c r="H1273" s="18">
        <v>46161</v>
      </c>
      <c r="I1273" t="s">
        <v>14</v>
      </c>
      <c r="J1273">
        <f>VLOOKUP(E1273,'Room Count'!A$2:B$2616,2,FALSE)</f>
        <v>82</v>
      </c>
    </row>
    <row r="1274" spans="1:10" hidden="1">
      <c r="A1274" t="s">
        <v>43</v>
      </c>
      <c r="B1274" t="s">
        <v>1517</v>
      </c>
      <c r="C1274">
        <v>210161</v>
      </c>
      <c r="D1274" t="s">
        <v>1517</v>
      </c>
      <c r="E1274">
        <v>1351</v>
      </c>
      <c r="F1274" t="s">
        <v>24</v>
      </c>
      <c r="G1274" t="s">
        <v>1518</v>
      </c>
      <c r="H1274" s="18">
        <v>46161</v>
      </c>
      <c r="I1274" t="s">
        <v>14</v>
      </c>
      <c r="J1274">
        <f>VLOOKUP(E1274,'Room Count'!A$2:B$2616,2,FALSE)</f>
        <v>98</v>
      </c>
    </row>
    <row r="1275" spans="1:10" hidden="1">
      <c r="A1275" t="s">
        <v>43</v>
      </c>
      <c r="B1275" t="s">
        <v>1519</v>
      </c>
      <c r="C1275">
        <v>210163</v>
      </c>
      <c r="D1275" t="s">
        <v>1519</v>
      </c>
      <c r="E1275">
        <v>1352</v>
      </c>
      <c r="F1275" t="s">
        <v>24</v>
      </c>
      <c r="G1275" t="s">
        <v>1520</v>
      </c>
      <c r="H1275" s="18">
        <v>46161</v>
      </c>
      <c r="I1275" t="s">
        <v>14</v>
      </c>
      <c r="J1275">
        <f>VLOOKUP(E1275,'Room Count'!A$2:B$2616,2,FALSE)</f>
        <v>129</v>
      </c>
    </row>
    <row r="1276" spans="1:10" hidden="1">
      <c r="A1276" t="s">
        <v>43</v>
      </c>
      <c r="B1276" t="s">
        <v>1521</v>
      </c>
      <c r="C1276">
        <v>210165</v>
      </c>
      <c r="D1276" t="s">
        <v>1521</v>
      </c>
      <c r="E1276">
        <v>1353</v>
      </c>
      <c r="F1276" t="s">
        <v>24</v>
      </c>
      <c r="G1276" t="s">
        <v>1522</v>
      </c>
      <c r="H1276" s="18">
        <v>46161</v>
      </c>
      <c r="I1276" t="s">
        <v>14</v>
      </c>
      <c r="J1276">
        <f>VLOOKUP(E1276,'Room Count'!A$2:B$2616,2,FALSE)</f>
        <v>92</v>
      </c>
    </row>
    <row r="1277" spans="1:10" hidden="1">
      <c r="A1277" t="s">
        <v>43</v>
      </c>
      <c r="B1277" t="s">
        <v>1523</v>
      </c>
      <c r="C1277">
        <v>210167</v>
      </c>
      <c r="D1277" t="s">
        <v>1523</v>
      </c>
      <c r="E1277">
        <v>1355</v>
      </c>
      <c r="F1277" t="s">
        <v>24</v>
      </c>
      <c r="G1277" t="s">
        <v>1524</v>
      </c>
      <c r="H1277" s="18">
        <v>46161</v>
      </c>
      <c r="I1277" t="s">
        <v>14</v>
      </c>
      <c r="J1277">
        <f>VLOOKUP(E1277,'Room Count'!A$2:B$2616,2,FALSE)</f>
        <v>88</v>
      </c>
    </row>
    <row r="1278" spans="1:10" hidden="1">
      <c r="A1278" t="s">
        <v>43</v>
      </c>
      <c r="B1278" t="s">
        <v>1525</v>
      </c>
      <c r="C1278">
        <v>210169</v>
      </c>
      <c r="D1278" t="s">
        <v>1525</v>
      </c>
      <c r="E1278">
        <v>1356</v>
      </c>
      <c r="F1278" t="s">
        <v>24</v>
      </c>
      <c r="G1278" t="s">
        <v>1526</v>
      </c>
      <c r="H1278" s="18">
        <v>46161</v>
      </c>
      <c r="I1278" t="s">
        <v>14</v>
      </c>
      <c r="J1278">
        <f>VLOOKUP(E1278,'Room Count'!A$2:B$2616,2,FALSE)</f>
        <v>80</v>
      </c>
    </row>
    <row r="1279" spans="1:10" hidden="1">
      <c r="A1279" t="s">
        <v>43</v>
      </c>
      <c r="B1279" t="s">
        <v>1527</v>
      </c>
      <c r="C1279">
        <v>210171</v>
      </c>
      <c r="D1279" t="s">
        <v>1527</v>
      </c>
      <c r="E1279">
        <v>1357</v>
      </c>
      <c r="F1279" t="s">
        <v>24</v>
      </c>
      <c r="G1279" t="s">
        <v>1528</v>
      </c>
      <c r="H1279" s="18">
        <v>46161</v>
      </c>
      <c r="I1279" t="s">
        <v>14</v>
      </c>
      <c r="J1279">
        <f>VLOOKUP(E1279,'Room Count'!A$2:B$2616,2,FALSE)</f>
        <v>72</v>
      </c>
    </row>
    <row r="1280" spans="1:10" hidden="1">
      <c r="A1280" t="s">
        <v>43</v>
      </c>
      <c r="B1280" t="s">
        <v>1529</v>
      </c>
      <c r="C1280">
        <v>210173</v>
      </c>
      <c r="D1280" t="s">
        <v>1529</v>
      </c>
      <c r="E1280">
        <v>1358</v>
      </c>
      <c r="F1280" t="s">
        <v>24</v>
      </c>
      <c r="G1280" t="s">
        <v>1530</v>
      </c>
      <c r="H1280" s="18">
        <v>46161</v>
      </c>
      <c r="I1280" t="s">
        <v>14</v>
      </c>
      <c r="J1280">
        <f>VLOOKUP(E1280,'Room Count'!A$2:B$2616,2,FALSE)</f>
        <v>61</v>
      </c>
    </row>
    <row r="1281" spans="1:10" hidden="1">
      <c r="A1281" t="s">
        <v>43</v>
      </c>
      <c r="B1281" t="s">
        <v>1531</v>
      </c>
      <c r="C1281">
        <v>210175</v>
      </c>
      <c r="D1281" t="s">
        <v>1531</v>
      </c>
      <c r="E1281">
        <v>1360</v>
      </c>
      <c r="F1281" t="s">
        <v>24</v>
      </c>
      <c r="G1281" t="s">
        <v>1532</v>
      </c>
      <c r="H1281" s="18">
        <v>46161</v>
      </c>
      <c r="I1281" t="s">
        <v>14</v>
      </c>
      <c r="J1281">
        <f>VLOOKUP(E1281,'Room Count'!A$2:B$2616,2,FALSE)</f>
        <v>82</v>
      </c>
    </row>
    <row r="1282" spans="1:10" hidden="1">
      <c r="A1282" t="s">
        <v>43</v>
      </c>
      <c r="B1282" t="s">
        <v>1533</v>
      </c>
      <c r="C1282">
        <v>210177</v>
      </c>
      <c r="D1282" t="s">
        <v>1533</v>
      </c>
      <c r="E1282">
        <v>1361</v>
      </c>
      <c r="F1282" t="s">
        <v>24</v>
      </c>
      <c r="G1282" t="s">
        <v>1534</v>
      </c>
      <c r="H1282" s="18">
        <v>46161</v>
      </c>
      <c r="I1282" t="s">
        <v>14</v>
      </c>
      <c r="J1282">
        <f>VLOOKUP(E1282,'Room Count'!A$2:B$2616,2,FALSE)</f>
        <v>109</v>
      </c>
    </row>
    <row r="1283" spans="1:10" hidden="1">
      <c r="A1283" t="s">
        <v>43</v>
      </c>
      <c r="B1283" t="s">
        <v>1535</v>
      </c>
      <c r="C1283">
        <v>210179</v>
      </c>
      <c r="D1283" t="s">
        <v>1535</v>
      </c>
      <c r="E1283">
        <v>1362</v>
      </c>
      <c r="F1283" t="s">
        <v>24</v>
      </c>
      <c r="G1283" t="s">
        <v>1536</v>
      </c>
      <c r="H1283" s="18">
        <v>46161</v>
      </c>
      <c r="I1283" t="s">
        <v>14</v>
      </c>
      <c r="J1283">
        <f>VLOOKUP(E1283,'Room Count'!A$2:B$2616,2,FALSE)</f>
        <v>84</v>
      </c>
    </row>
    <row r="1284" spans="1:10" hidden="1">
      <c r="A1284" t="s">
        <v>43</v>
      </c>
      <c r="B1284" t="s">
        <v>1537</v>
      </c>
      <c r="C1284">
        <v>210181</v>
      </c>
      <c r="D1284" t="s">
        <v>1537</v>
      </c>
      <c r="E1284">
        <v>1365</v>
      </c>
      <c r="F1284" t="s">
        <v>24</v>
      </c>
      <c r="G1284" t="s">
        <v>1538</v>
      </c>
      <c r="H1284" s="18">
        <v>46161</v>
      </c>
      <c r="I1284" t="s">
        <v>14</v>
      </c>
      <c r="J1284">
        <f>VLOOKUP(E1284,'Room Count'!A$2:B$2616,2,FALSE)</f>
        <v>104</v>
      </c>
    </row>
    <row r="1285" spans="1:10" hidden="1">
      <c r="A1285" t="s">
        <v>43</v>
      </c>
      <c r="B1285" t="s">
        <v>1539</v>
      </c>
      <c r="C1285">
        <v>210183</v>
      </c>
      <c r="D1285" t="s">
        <v>1539</v>
      </c>
      <c r="E1285">
        <v>1366</v>
      </c>
      <c r="F1285" t="s">
        <v>24</v>
      </c>
      <c r="G1285" t="s">
        <v>1540</v>
      </c>
      <c r="H1285" s="18">
        <v>46161</v>
      </c>
      <c r="I1285" t="s">
        <v>14</v>
      </c>
      <c r="J1285">
        <f>VLOOKUP(E1285,'Room Count'!A$2:B$2616,2,FALSE)</f>
        <v>88</v>
      </c>
    </row>
    <row r="1286" spans="1:10" hidden="1">
      <c r="A1286" t="s">
        <v>43</v>
      </c>
      <c r="B1286" t="s">
        <v>1541</v>
      </c>
      <c r="C1286">
        <v>210185</v>
      </c>
      <c r="D1286" t="s">
        <v>1541</v>
      </c>
      <c r="E1286">
        <v>1367</v>
      </c>
      <c r="F1286" t="s">
        <v>24</v>
      </c>
      <c r="G1286" t="s">
        <v>1542</v>
      </c>
      <c r="H1286" s="18">
        <v>46161</v>
      </c>
      <c r="I1286" t="s">
        <v>14</v>
      </c>
      <c r="J1286">
        <f>VLOOKUP(E1286,'Room Count'!A$2:B$2616,2,FALSE)</f>
        <v>110</v>
      </c>
    </row>
    <row r="1287" spans="1:10" hidden="1">
      <c r="A1287" t="s">
        <v>43</v>
      </c>
      <c r="B1287" t="s">
        <v>1543</v>
      </c>
      <c r="C1287">
        <v>210187</v>
      </c>
      <c r="D1287" t="s">
        <v>1543</v>
      </c>
      <c r="E1287">
        <v>1368</v>
      </c>
      <c r="F1287" t="s">
        <v>24</v>
      </c>
      <c r="G1287" t="s">
        <v>1544</v>
      </c>
      <c r="H1287" s="18">
        <v>46161</v>
      </c>
      <c r="I1287" t="s">
        <v>14</v>
      </c>
      <c r="J1287">
        <f>VLOOKUP(E1287,'Room Count'!A$2:B$2616,2,FALSE)</f>
        <v>95</v>
      </c>
    </row>
    <row r="1288" spans="1:10" hidden="1">
      <c r="A1288" t="s">
        <v>43</v>
      </c>
      <c r="B1288" t="s">
        <v>1545</v>
      </c>
      <c r="C1288">
        <v>210189</v>
      </c>
      <c r="D1288" t="s">
        <v>1545</v>
      </c>
      <c r="E1288">
        <v>1369</v>
      </c>
      <c r="F1288" t="s">
        <v>24</v>
      </c>
      <c r="G1288" t="s">
        <v>1546</v>
      </c>
      <c r="H1288" s="18">
        <v>46161</v>
      </c>
      <c r="I1288" t="s">
        <v>14</v>
      </c>
      <c r="J1288">
        <f>VLOOKUP(E1288,'Room Count'!A$2:B$2616,2,FALSE)</f>
        <v>93</v>
      </c>
    </row>
    <row r="1289" spans="1:10" hidden="1">
      <c r="A1289" t="s">
        <v>43</v>
      </c>
      <c r="B1289" t="s">
        <v>1547</v>
      </c>
      <c r="C1289">
        <v>210191</v>
      </c>
      <c r="D1289" t="s">
        <v>1547</v>
      </c>
      <c r="E1289">
        <v>1370</v>
      </c>
      <c r="F1289" t="s">
        <v>24</v>
      </c>
      <c r="G1289" t="s">
        <v>1548</v>
      </c>
      <c r="H1289" s="18">
        <v>46161</v>
      </c>
      <c r="I1289" t="s">
        <v>14</v>
      </c>
      <c r="J1289">
        <f>VLOOKUP(E1289,'Room Count'!A$2:B$2616,2,FALSE)</f>
        <v>126</v>
      </c>
    </row>
    <row r="1290" spans="1:10" hidden="1">
      <c r="A1290" t="s">
        <v>43</v>
      </c>
      <c r="B1290" t="s">
        <v>1549</v>
      </c>
      <c r="C1290">
        <v>210193</v>
      </c>
      <c r="D1290" t="s">
        <v>1549</v>
      </c>
      <c r="E1290">
        <v>1371</v>
      </c>
      <c r="F1290" t="s">
        <v>24</v>
      </c>
      <c r="G1290" t="s">
        <v>1550</v>
      </c>
      <c r="H1290" s="18">
        <v>46161</v>
      </c>
      <c r="I1290" t="s">
        <v>14</v>
      </c>
      <c r="J1290">
        <f>VLOOKUP(E1290,'Room Count'!A$2:B$2616,2,FALSE)</f>
        <v>209</v>
      </c>
    </row>
    <row r="1291" spans="1:10" hidden="1">
      <c r="A1291" t="s">
        <v>43</v>
      </c>
      <c r="B1291" t="s">
        <v>1551</v>
      </c>
      <c r="C1291">
        <v>210195</v>
      </c>
      <c r="D1291" t="s">
        <v>1551</v>
      </c>
      <c r="E1291">
        <v>1372</v>
      </c>
      <c r="F1291" t="s">
        <v>24</v>
      </c>
      <c r="G1291" t="s">
        <v>1552</v>
      </c>
      <c r="H1291" s="18">
        <v>46161</v>
      </c>
      <c r="I1291" t="s">
        <v>14</v>
      </c>
      <c r="J1291">
        <f>VLOOKUP(E1291,'Room Count'!A$2:B$2616,2,FALSE)</f>
        <v>89</v>
      </c>
    </row>
    <row r="1292" spans="1:10" hidden="1">
      <c r="A1292" t="s">
        <v>43</v>
      </c>
      <c r="B1292" t="s">
        <v>1553</v>
      </c>
      <c r="C1292">
        <v>210197</v>
      </c>
      <c r="D1292" t="s">
        <v>1553</v>
      </c>
      <c r="E1292">
        <v>1373</v>
      </c>
      <c r="F1292" t="s">
        <v>24</v>
      </c>
      <c r="G1292" t="s">
        <v>1554</v>
      </c>
      <c r="H1292" s="18">
        <v>46161</v>
      </c>
      <c r="I1292" t="s">
        <v>14</v>
      </c>
      <c r="J1292">
        <f>VLOOKUP(E1292,'Room Count'!A$2:B$2616,2,FALSE)</f>
        <v>111</v>
      </c>
    </row>
    <row r="1293" spans="1:10" hidden="1">
      <c r="A1293" t="s">
        <v>43</v>
      </c>
      <c r="B1293" t="s">
        <v>1555</v>
      </c>
      <c r="C1293">
        <v>210199</v>
      </c>
      <c r="D1293" t="s">
        <v>1555</v>
      </c>
      <c r="E1293">
        <v>1374</v>
      </c>
      <c r="F1293" t="s">
        <v>24</v>
      </c>
      <c r="G1293" t="s">
        <v>1556</v>
      </c>
      <c r="H1293" s="18">
        <v>46161</v>
      </c>
      <c r="I1293" t="s">
        <v>14</v>
      </c>
      <c r="J1293">
        <f>VLOOKUP(E1293,'Room Count'!A$2:B$2616,2,FALSE)</f>
        <v>136</v>
      </c>
    </row>
    <row r="1294" spans="1:10" hidden="1">
      <c r="A1294" t="s">
        <v>43</v>
      </c>
      <c r="B1294" t="s">
        <v>1557</v>
      </c>
      <c r="C1294">
        <v>210201</v>
      </c>
      <c r="D1294" t="s">
        <v>1557</v>
      </c>
      <c r="E1294">
        <v>1375</v>
      </c>
      <c r="F1294" t="s">
        <v>24</v>
      </c>
      <c r="G1294" t="s">
        <v>1558</v>
      </c>
      <c r="H1294" s="18">
        <v>46161</v>
      </c>
      <c r="I1294" t="s">
        <v>14</v>
      </c>
      <c r="J1294">
        <f>VLOOKUP(E1294,'Room Count'!A$2:B$2616,2,FALSE)</f>
        <v>57</v>
      </c>
    </row>
    <row r="1295" spans="1:10" hidden="1">
      <c r="A1295" t="s">
        <v>43</v>
      </c>
      <c r="B1295" t="s">
        <v>1559</v>
      </c>
      <c r="C1295">
        <v>210203</v>
      </c>
      <c r="D1295" t="s">
        <v>1559</v>
      </c>
      <c r="E1295">
        <v>1376</v>
      </c>
      <c r="F1295" t="s">
        <v>24</v>
      </c>
      <c r="G1295" t="s">
        <v>1560</v>
      </c>
      <c r="H1295" s="18">
        <v>46161</v>
      </c>
      <c r="I1295" t="s">
        <v>14</v>
      </c>
      <c r="J1295">
        <f>VLOOKUP(E1295,'Room Count'!A$2:B$2616,2,FALSE)</f>
        <v>95</v>
      </c>
    </row>
    <row r="1296" spans="1:10" hidden="1">
      <c r="A1296" t="s">
        <v>43</v>
      </c>
      <c r="B1296" t="s">
        <v>1561</v>
      </c>
      <c r="C1296">
        <v>210205</v>
      </c>
      <c r="D1296" t="s">
        <v>1561</v>
      </c>
      <c r="E1296">
        <v>1377</v>
      </c>
      <c r="F1296" t="s">
        <v>24</v>
      </c>
      <c r="G1296" t="s">
        <v>1562</v>
      </c>
      <c r="H1296" s="18">
        <v>46161</v>
      </c>
      <c r="I1296" t="s">
        <v>14</v>
      </c>
      <c r="J1296">
        <f>VLOOKUP(E1296,'Room Count'!A$2:B$2616,2,FALSE)</f>
        <v>166</v>
      </c>
    </row>
    <row r="1297" spans="1:10" hidden="1">
      <c r="A1297" t="s">
        <v>43</v>
      </c>
      <c r="B1297" t="s">
        <v>1563</v>
      </c>
      <c r="C1297">
        <v>210207</v>
      </c>
      <c r="D1297" t="s">
        <v>1563</v>
      </c>
      <c r="E1297">
        <v>1378</v>
      </c>
      <c r="F1297" t="s">
        <v>24</v>
      </c>
      <c r="G1297" t="s">
        <v>1564</v>
      </c>
      <c r="H1297" s="18">
        <v>46161</v>
      </c>
      <c r="I1297" t="s">
        <v>14</v>
      </c>
      <c r="J1297">
        <f>VLOOKUP(E1297,'Room Count'!A$2:B$2616,2,FALSE)</f>
        <v>90</v>
      </c>
    </row>
    <row r="1298" spans="1:10" hidden="1">
      <c r="A1298" t="s">
        <v>43</v>
      </c>
      <c r="B1298" t="s">
        <v>1565</v>
      </c>
      <c r="C1298">
        <v>210209</v>
      </c>
      <c r="D1298" t="s">
        <v>1565</v>
      </c>
      <c r="E1298">
        <v>1379</v>
      </c>
      <c r="F1298" t="s">
        <v>24</v>
      </c>
      <c r="G1298" t="s">
        <v>1566</v>
      </c>
      <c r="H1298" s="18">
        <v>46161</v>
      </c>
      <c r="I1298" t="s">
        <v>14</v>
      </c>
      <c r="J1298">
        <f>VLOOKUP(E1298,'Room Count'!A$2:B$2616,2,FALSE)</f>
        <v>77</v>
      </c>
    </row>
    <row r="1299" spans="1:10" hidden="1">
      <c r="A1299" t="s">
        <v>43</v>
      </c>
      <c r="B1299" t="s">
        <v>1567</v>
      </c>
      <c r="C1299">
        <v>210211</v>
      </c>
      <c r="D1299" t="s">
        <v>1567</v>
      </c>
      <c r="E1299">
        <v>1380</v>
      </c>
      <c r="F1299" t="s">
        <v>24</v>
      </c>
      <c r="G1299" t="s">
        <v>1568</v>
      </c>
      <c r="H1299" s="18">
        <v>46161</v>
      </c>
      <c r="I1299" t="s">
        <v>14</v>
      </c>
      <c r="J1299">
        <f>VLOOKUP(E1299,'Room Count'!A$2:B$2616,2,FALSE)</f>
        <v>107</v>
      </c>
    </row>
    <row r="1300" spans="1:10" hidden="1">
      <c r="A1300" t="s">
        <v>43</v>
      </c>
      <c r="B1300" t="s">
        <v>1569</v>
      </c>
      <c r="C1300">
        <v>210213</v>
      </c>
      <c r="D1300" t="s">
        <v>1569</v>
      </c>
      <c r="E1300">
        <v>1381</v>
      </c>
      <c r="F1300" t="s">
        <v>24</v>
      </c>
      <c r="G1300" t="s">
        <v>1570</v>
      </c>
      <c r="H1300" s="18">
        <v>46161</v>
      </c>
      <c r="I1300" t="s">
        <v>14</v>
      </c>
      <c r="J1300">
        <f>VLOOKUP(E1300,'Room Count'!A$2:B$2616,2,FALSE)</f>
        <v>118</v>
      </c>
    </row>
    <row r="1301" spans="1:10" hidden="1">
      <c r="A1301" t="s">
        <v>43</v>
      </c>
      <c r="B1301" t="s">
        <v>1571</v>
      </c>
      <c r="C1301">
        <v>210215</v>
      </c>
      <c r="D1301" t="s">
        <v>1571</v>
      </c>
      <c r="E1301">
        <v>1382</v>
      </c>
      <c r="F1301" t="s">
        <v>24</v>
      </c>
      <c r="G1301" t="s">
        <v>1572</v>
      </c>
      <c r="H1301" s="18">
        <v>46161</v>
      </c>
      <c r="I1301" t="s">
        <v>14</v>
      </c>
      <c r="J1301">
        <f>VLOOKUP(E1301,'Room Count'!A$2:B$2616,2,FALSE)</f>
        <v>105</v>
      </c>
    </row>
    <row r="1302" spans="1:10" hidden="1">
      <c r="A1302" t="s">
        <v>43</v>
      </c>
      <c r="B1302" t="s">
        <v>1573</v>
      </c>
      <c r="C1302">
        <v>210217</v>
      </c>
      <c r="D1302" t="s">
        <v>1573</v>
      </c>
      <c r="E1302">
        <v>1383</v>
      </c>
      <c r="F1302" t="s">
        <v>24</v>
      </c>
      <c r="G1302" t="s">
        <v>1574</v>
      </c>
      <c r="H1302" s="18">
        <v>46161</v>
      </c>
      <c r="I1302" t="s">
        <v>14</v>
      </c>
      <c r="J1302">
        <f>VLOOKUP(E1302,'Room Count'!A$2:B$2616,2,FALSE)</f>
        <v>81</v>
      </c>
    </row>
    <row r="1303" spans="1:10" hidden="1">
      <c r="A1303" t="s">
        <v>43</v>
      </c>
      <c r="B1303" t="s">
        <v>1575</v>
      </c>
      <c r="C1303">
        <v>210219</v>
      </c>
      <c r="D1303" t="s">
        <v>1575</v>
      </c>
      <c r="E1303">
        <v>1384</v>
      </c>
      <c r="F1303" t="s">
        <v>24</v>
      </c>
      <c r="G1303" t="s">
        <v>1576</v>
      </c>
      <c r="H1303" s="18">
        <v>46161</v>
      </c>
      <c r="I1303" t="s">
        <v>14</v>
      </c>
      <c r="J1303">
        <f>VLOOKUP(E1303,'Room Count'!A$2:B$2616,2,FALSE)</f>
        <v>122</v>
      </c>
    </row>
    <row r="1304" spans="1:10" hidden="1">
      <c r="A1304" t="s">
        <v>43</v>
      </c>
      <c r="B1304" t="s">
        <v>1577</v>
      </c>
      <c r="C1304">
        <v>210221</v>
      </c>
      <c r="D1304" t="s">
        <v>1577</v>
      </c>
      <c r="E1304">
        <v>1385</v>
      </c>
      <c r="F1304" t="s">
        <v>24</v>
      </c>
      <c r="G1304" t="s">
        <v>1578</v>
      </c>
      <c r="H1304" s="18">
        <v>46161</v>
      </c>
      <c r="I1304" t="s">
        <v>14</v>
      </c>
      <c r="J1304">
        <f>VLOOKUP(E1304,'Room Count'!A$2:B$2616,2,FALSE)</f>
        <v>200</v>
      </c>
    </row>
    <row r="1305" spans="1:10" hidden="1">
      <c r="A1305" t="s">
        <v>43</v>
      </c>
      <c r="B1305" t="s">
        <v>1579</v>
      </c>
      <c r="C1305">
        <v>210223</v>
      </c>
      <c r="D1305" t="s">
        <v>1579</v>
      </c>
      <c r="E1305">
        <v>1386</v>
      </c>
      <c r="F1305" t="s">
        <v>24</v>
      </c>
      <c r="G1305" t="s">
        <v>1580</v>
      </c>
      <c r="H1305" s="18">
        <v>46161</v>
      </c>
      <c r="I1305" t="s">
        <v>14</v>
      </c>
      <c r="J1305">
        <f>VLOOKUP(E1305,'Room Count'!A$2:B$2616,2,FALSE)</f>
        <v>145</v>
      </c>
    </row>
    <row r="1306" spans="1:10" hidden="1">
      <c r="A1306" t="s">
        <v>43</v>
      </c>
      <c r="B1306" t="s">
        <v>1581</v>
      </c>
      <c r="C1306">
        <v>210225</v>
      </c>
      <c r="D1306" t="s">
        <v>1581</v>
      </c>
      <c r="E1306">
        <v>1387</v>
      </c>
      <c r="F1306" t="s">
        <v>24</v>
      </c>
      <c r="G1306" t="s">
        <v>1582</v>
      </c>
      <c r="H1306" s="18">
        <v>46161</v>
      </c>
      <c r="I1306" t="s">
        <v>14</v>
      </c>
      <c r="J1306">
        <f>VLOOKUP(E1306,'Room Count'!A$2:B$2616,2,FALSE)</f>
        <v>82</v>
      </c>
    </row>
    <row r="1307" spans="1:10" hidden="1">
      <c r="A1307" t="s">
        <v>43</v>
      </c>
      <c r="B1307" t="s">
        <v>1583</v>
      </c>
      <c r="C1307">
        <v>210227</v>
      </c>
      <c r="D1307" t="s">
        <v>1583</v>
      </c>
      <c r="E1307">
        <v>1388</v>
      </c>
      <c r="F1307" t="s">
        <v>24</v>
      </c>
      <c r="G1307" t="s">
        <v>1584</v>
      </c>
      <c r="H1307" s="18">
        <v>46161</v>
      </c>
      <c r="I1307" t="s">
        <v>14</v>
      </c>
      <c r="J1307">
        <f>VLOOKUP(E1307,'Room Count'!A$2:B$2616,2,FALSE)</f>
        <v>174</v>
      </c>
    </row>
    <row r="1308" spans="1:10" hidden="1">
      <c r="A1308" t="s">
        <v>43</v>
      </c>
      <c r="B1308" t="s">
        <v>1585</v>
      </c>
      <c r="C1308">
        <v>210229</v>
      </c>
      <c r="D1308" t="s">
        <v>1585</v>
      </c>
      <c r="E1308">
        <v>1389</v>
      </c>
      <c r="F1308" t="s">
        <v>24</v>
      </c>
      <c r="G1308" t="s">
        <v>1586</v>
      </c>
      <c r="H1308" s="18">
        <v>46161</v>
      </c>
      <c r="I1308" t="s">
        <v>14</v>
      </c>
      <c r="J1308">
        <f>VLOOKUP(E1308,'Room Count'!A$2:B$2616,2,FALSE)</f>
        <v>159</v>
      </c>
    </row>
    <row r="1309" spans="1:10" hidden="1">
      <c r="A1309" t="s">
        <v>43</v>
      </c>
      <c r="B1309" t="s">
        <v>1587</v>
      </c>
      <c r="C1309">
        <v>210231</v>
      </c>
      <c r="D1309" t="s">
        <v>1587</v>
      </c>
      <c r="E1309">
        <v>1390</v>
      </c>
      <c r="F1309" t="s">
        <v>24</v>
      </c>
      <c r="G1309" t="s">
        <v>1588</v>
      </c>
      <c r="H1309" s="18">
        <v>46161</v>
      </c>
      <c r="I1309" t="s">
        <v>14</v>
      </c>
      <c r="J1309">
        <f>VLOOKUP(E1309,'Room Count'!A$2:B$2616,2,FALSE)</f>
        <v>234</v>
      </c>
    </row>
    <row r="1310" spans="1:10" hidden="1">
      <c r="A1310" t="s">
        <v>43</v>
      </c>
      <c r="B1310" t="s">
        <v>1589</v>
      </c>
      <c r="C1310">
        <v>210233</v>
      </c>
      <c r="D1310" t="s">
        <v>1589</v>
      </c>
      <c r="E1310">
        <v>1391</v>
      </c>
      <c r="F1310" t="s">
        <v>24</v>
      </c>
      <c r="G1310" t="s">
        <v>1590</v>
      </c>
      <c r="H1310" s="18">
        <v>46161</v>
      </c>
      <c r="I1310" t="s">
        <v>14</v>
      </c>
      <c r="J1310">
        <f>VLOOKUP(E1310,'Room Count'!A$2:B$2616,2,FALSE)</f>
        <v>146</v>
      </c>
    </row>
    <row r="1311" spans="1:10" hidden="1">
      <c r="A1311" t="s">
        <v>43</v>
      </c>
      <c r="B1311" t="s">
        <v>1591</v>
      </c>
      <c r="C1311">
        <v>210235</v>
      </c>
      <c r="D1311" t="s">
        <v>1591</v>
      </c>
      <c r="E1311">
        <v>1392</v>
      </c>
      <c r="F1311" t="s">
        <v>24</v>
      </c>
      <c r="G1311" t="s">
        <v>1592</v>
      </c>
      <c r="H1311" s="18">
        <v>46161</v>
      </c>
      <c r="I1311" t="s">
        <v>14</v>
      </c>
      <c r="J1311">
        <f>VLOOKUP(E1311,'Room Count'!A$2:B$2616,2,FALSE)</f>
        <v>128</v>
      </c>
    </row>
    <row r="1312" spans="1:10" hidden="1">
      <c r="A1312" t="s">
        <v>43</v>
      </c>
      <c r="B1312" t="s">
        <v>1593</v>
      </c>
      <c r="C1312">
        <v>210237</v>
      </c>
      <c r="D1312" t="s">
        <v>1593</v>
      </c>
      <c r="E1312">
        <v>1393</v>
      </c>
      <c r="F1312" t="s">
        <v>24</v>
      </c>
      <c r="G1312" t="s">
        <v>1594</v>
      </c>
      <c r="H1312" s="18">
        <v>46161</v>
      </c>
      <c r="I1312" t="s">
        <v>14</v>
      </c>
      <c r="J1312">
        <f>VLOOKUP(E1312,'Room Count'!A$2:B$2616,2,FALSE)</f>
        <v>150</v>
      </c>
    </row>
    <row r="1313" spans="1:10" hidden="1">
      <c r="A1313" t="s">
        <v>43</v>
      </c>
      <c r="B1313" t="s">
        <v>1595</v>
      </c>
      <c r="C1313">
        <v>210239</v>
      </c>
      <c r="D1313" t="s">
        <v>1595</v>
      </c>
      <c r="E1313">
        <v>1394</v>
      </c>
      <c r="F1313" t="s">
        <v>24</v>
      </c>
      <c r="G1313" t="s">
        <v>1596</v>
      </c>
      <c r="H1313" s="18">
        <v>46161</v>
      </c>
      <c r="I1313" t="s">
        <v>14</v>
      </c>
      <c r="J1313">
        <f>VLOOKUP(E1313,'Room Count'!A$2:B$2616,2,FALSE)</f>
        <v>140</v>
      </c>
    </row>
    <row r="1314" spans="1:10" hidden="1">
      <c r="A1314" t="s">
        <v>43</v>
      </c>
      <c r="B1314" t="s">
        <v>1597</v>
      </c>
      <c r="C1314">
        <v>210241</v>
      </c>
      <c r="D1314" t="s">
        <v>1597</v>
      </c>
      <c r="E1314">
        <v>1395</v>
      </c>
      <c r="F1314" t="s">
        <v>24</v>
      </c>
      <c r="G1314" t="s">
        <v>1598</v>
      </c>
      <c r="H1314" s="18">
        <v>46161</v>
      </c>
      <c r="I1314" t="s">
        <v>14</v>
      </c>
      <c r="J1314">
        <f>VLOOKUP(E1314,'Room Count'!A$2:B$2616,2,FALSE)</f>
        <v>194</v>
      </c>
    </row>
    <row r="1315" spans="1:10" hidden="1">
      <c r="A1315" t="s">
        <v>43</v>
      </c>
      <c r="B1315" t="s">
        <v>1599</v>
      </c>
      <c r="C1315">
        <v>210243</v>
      </c>
      <c r="D1315" t="s">
        <v>1599</v>
      </c>
      <c r="E1315">
        <v>1396</v>
      </c>
      <c r="F1315" t="s">
        <v>24</v>
      </c>
      <c r="G1315" t="s">
        <v>1600</v>
      </c>
      <c r="H1315" s="18">
        <v>46161</v>
      </c>
      <c r="I1315" t="s">
        <v>14</v>
      </c>
      <c r="J1315">
        <f>VLOOKUP(E1315,'Room Count'!A$2:B$2616,2,FALSE)</f>
        <v>120</v>
      </c>
    </row>
    <row r="1316" spans="1:10" hidden="1">
      <c r="A1316" t="s">
        <v>43</v>
      </c>
      <c r="B1316" t="s">
        <v>1601</v>
      </c>
      <c r="C1316">
        <v>210245</v>
      </c>
      <c r="D1316" t="s">
        <v>1601</v>
      </c>
      <c r="E1316">
        <v>1397</v>
      </c>
      <c r="F1316" t="s">
        <v>24</v>
      </c>
      <c r="G1316" t="s">
        <v>1602</v>
      </c>
      <c r="H1316" s="18">
        <v>46161</v>
      </c>
      <c r="I1316" t="s">
        <v>14</v>
      </c>
      <c r="J1316">
        <f>VLOOKUP(E1316,'Room Count'!A$2:B$2616,2,FALSE)</f>
        <v>111</v>
      </c>
    </row>
    <row r="1317" spans="1:10" hidden="1">
      <c r="A1317" t="s">
        <v>43</v>
      </c>
      <c r="B1317" t="s">
        <v>1603</v>
      </c>
      <c r="C1317">
        <v>210247</v>
      </c>
      <c r="D1317" t="s">
        <v>1603</v>
      </c>
      <c r="E1317">
        <v>1398</v>
      </c>
      <c r="F1317" t="s">
        <v>24</v>
      </c>
      <c r="G1317" t="s">
        <v>1604</v>
      </c>
      <c r="H1317" s="18">
        <v>46161</v>
      </c>
      <c r="I1317" t="s">
        <v>14</v>
      </c>
      <c r="J1317">
        <f>VLOOKUP(E1317,'Room Count'!A$2:B$2616,2,FALSE)</f>
        <v>150</v>
      </c>
    </row>
    <row r="1318" spans="1:10" hidden="1">
      <c r="A1318" t="s">
        <v>43</v>
      </c>
      <c r="B1318" t="s">
        <v>1605</v>
      </c>
      <c r="C1318">
        <v>210249</v>
      </c>
      <c r="D1318" t="s">
        <v>1605</v>
      </c>
      <c r="E1318">
        <v>1399</v>
      </c>
      <c r="F1318" t="s">
        <v>24</v>
      </c>
      <c r="G1318" t="s">
        <v>1606</v>
      </c>
      <c r="H1318" s="18">
        <v>46161</v>
      </c>
      <c r="I1318" t="s">
        <v>14</v>
      </c>
      <c r="J1318">
        <f>VLOOKUP(E1318,'Room Count'!A$2:B$2616,2,FALSE)</f>
        <v>350</v>
      </c>
    </row>
    <row r="1319" spans="1:10" hidden="1">
      <c r="A1319" t="s">
        <v>43</v>
      </c>
      <c r="B1319" t="s">
        <v>1607</v>
      </c>
      <c r="C1319">
        <v>210251</v>
      </c>
      <c r="D1319" t="s">
        <v>1607</v>
      </c>
      <c r="E1319">
        <v>1400</v>
      </c>
      <c r="F1319" t="s">
        <v>24</v>
      </c>
      <c r="G1319" t="s">
        <v>1608</v>
      </c>
      <c r="H1319" s="18">
        <v>46161</v>
      </c>
      <c r="I1319" t="s">
        <v>14</v>
      </c>
      <c r="J1319">
        <f>VLOOKUP(E1319,'Room Count'!A$2:B$2616,2,FALSE)</f>
        <v>131</v>
      </c>
    </row>
    <row r="1320" spans="1:10" hidden="1">
      <c r="A1320" t="s">
        <v>43</v>
      </c>
      <c r="B1320" t="s">
        <v>1609</v>
      </c>
      <c r="C1320">
        <v>210253</v>
      </c>
      <c r="D1320" t="s">
        <v>1609</v>
      </c>
      <c r="E1320">
        <v>1401</v>
      </c>
      <c r="F1320" t="s">
        <v>24</v>
      </c>
      <c r="G1320" t="s">
        <v>1610</v>
      </c>
      <c r="H1320" s="18">
        <v>46161</v>
      </c>
      <c r="I1320" t="s">
        <v>14</v>
      </c>
      <c r="J1320">
        <f>VLOOKUP(E1320,'Room Count'!A$2:B$2616,2,FALSE)</f>
        <v>234</v>
      </c>
    </row>
    <row r="1321" spans="1:10" hidden="1">
      <c r="A1321" t="s">
        <v>43</v>
      </c>
      <c r="B1321" t="s">
        <v>1611</v>
      </c>
      <c r="C1321">
        <v>210255</v>
      </c>
      <c r="D1321" t="s">
        <v>1611</v>
      </c>
      <c r="E1321">
        <v>1402</v>
      </c>
      <c r="F1321" t="s">
        <v>24</v>
      </c>
      <c r="G1321" t="s">
        <v>1612</v>
      </c>
      <c r="H1321" s="18">
        <v>46161</v>
      </c>
      <c r="I1321" t="s">
        <v>14</v>
      </c>
      <c r="J1321">
        <f>VLOOKUP(E1321,'Room Count'!A$2:B$2616,2,FALSE)</f>
        <v>214</v>
      </c>
    </row>
    <row r="1322" spans="1:10" hidden="1">
      <c r="A1322" t="s">
        <v>43</v>
      </c>
      <c r="B1322" t="s">
        <v>1613</v>
      </c>
      <c r="C1322">
        <v>210257</v>
      </c>
      <c r="D1322" t="s">
        <v>1613</v>
      </c>
      <c r="E1322">
        <v>1403</v>
      </c>
      <c r="F1322" t="s">
        <v>24</v>
      </c>
      <c r="G1322" t="s">
        <v>1614</v>
      </c>
      <c r="H1322" s="18">
        <v>46161</v>
      </c>
      <c r="I1322" t="s">
        <v>14</v>
      </c>
      <c r="J1322">
        <f>VLOOKUP(E1322,'Room Count'!A$2:B$2616,2,FALSE)</f>
        <v>82</v>
      </c>
    </row>
    <row r="1323" spans="1:10" hidden="1">
      <c r="A1323" t="s">
        <v>43</v>
      </c>
      <c r="B1323" t="s">
        <v>1615</v>
      </c>
      <c r="C1323">
        <v>210259</v>
      </c>
      <c r="D1323" t="s">
        <v>1615</v>
      </c>
      <c r="E1323">
        <v>1404</v>
      </c>
      <c r="F1323" t="s">
        <v>24</v>
      </c>
      <c r="G1323" t="s">
        <v>1616</v>
      </c>
      <c r="H1323" s="18">
        <v>46161</v>
      </c>
      <c r="I1323" t="s">
        <v>14</v>
      </c>
      <c r="J1323">
        <f>VLOOKUP(E1323,'Room Count'!A$2:B$2616,2,FALSE)</f>
        <v>108</v>
      </c>
    </row>
    <row r="1324" spans="1:10" hidden="1">
      <c r="A1324" t="s">
        <v>43</v>
      </c>
      <c r="B1324" t="s">
        <v>1617</v>
      </c>
      <c r="C1324">
        <v>210261</v>
      </c>
      <c r="D1324" t="s">
        <v>1617</v>
      </c>
      <c r="E1324">
        <v>1405</v>
      </c>
      <c r="F1324" t="s">
        <v>24</v>
      </c>
      <c r="G1324" t="s">
        <v>1618</v>
      </c>
      <c r="H1324" s="18">
        <v>46161</v>
      </c>
      <c r="I1324" t="s">
        <v>14</v>
      </c>
      <c r="J1324">
        <f>VLOOKUP(E1324,'Room Count'!A$2:B$2616,2,FALSE)</f>
        <v>180</v>
      </c>
    </row>
    <row r="1325" spans="1:10" hidden="1">
      <c r="A1325" t="s">
        <v>43</v>
      </c>
      <c r="B1325" t="s">
        <v>1619</v>
      </c>
      <c r="C1325">
        <v>210263</v>
      </c>
      <c r="D1325" t="s">
        <v>1619</v>
      </c>
      <c r="E1325">
        <v>1406</v>
      </c>
      <c r="F1325" t="s">
        <v>24</v>
      </c>
      <c r="G1325" t="s">
        <v>1620</v>
      </c>
      <c r="H1325" s="18">
        <v>46161</v>
      </c>
      <c r="I1325" t="s">
        <v>14</v>
      </c>
      <c r="J1325">
        <f>VLOOKUP(E1325,'Room Count'!A$2:B$2616,2,FALSE)</f>
        <v>106</v>
      </c>
    </row>
    <row r="1326" spans="1:10" hidden="1">
      <c r="A1326" t="s">
        <v>43</v>
      </c>
      <c r="B1326" t="s">
        <v>1621</v>
      </c>
      <c r="C1326">
        <v>210265</v>
      </c>
      <c r="D1326" t="s">
        <v>1621</v>
      </c>
      <c r="E1326">
        <v>1407</v>
      </c>
      <c r="F1326" t="s">
        <v>24</v>
      </c>
      <c r="G1326" t="s">
        <v>1622</v>
      </c>
      <c r="H1326" s="18">
        <v>46161</v>
      </c>
      <c r="I1326" t="s">
        <v>14</v>
      </c>
      <c r="J1326">
        <f>VLOOKUP(E1326,'Room Count'!A$2:B$2616,2,FALSE)</f>
        <v>122</v>
      </c>
    </row>
    <row r="1327" spans="1:10" hidden="1">
      <c r="A1327" t="s">
        <v>43</v>
      </c>
      <c r="B1327" t="s">
        <v>1623</v>
      </c>
      <c r="C1327">
        <v>210267</v>
      </c>
      <c r="D1327" t="s">
        <v>1623</v>
      </c>
      <c r="E1327">
        <v>1408</v>
      </c>
      <c r="F1327" t="s">
        <v>24</v>
      </c>
      <c r="G1327" t="s">
        <v>1624</v>
      </c>
      <c r="H1327" s="18">
        <v>46161</v>
      </c>
      <c r="I1327" t="s">
        <v>14</v>
      </c>
      <c r="J1327">
        <f>VLOOKUP(E1327,'Room Count'!A$2:B$2616,2,FALSE)</f>
        <v>146</v>
      </c>
    </row>
    <row r="1328" spans="1:10" hidden="1">
      <c r="A1328" t="s">
        <v>43</v>
      </c>
      <c r="B1328" t="s">
        <v>1625</v>
      </c>
      <c r="C1328">
        <v>210269</v>
      </c>
      <c r="D1328" t="s">
        <v>1625</v>
      </c>
      <c r="E1328">
        <v>1409</v>
      </c>
      <c r="F1328" t="s">
        <v>24</v>
      </c>
      <c r="G1328" t="s">
        <v>1626</v>
      </c>
      <c r="H1328" s="18">
        <v>46161</v>
      </c>
      <c r="I1328" t="s">
        <v>14</v>
      </c>
      <c r="J1328">
        <f>VLOOKUP(E1328,'Room Count'!A$2:B$2616,2,FALSE)</f>
        <v>156</v>
      </c>
    </row>
    <row r="1329" spans="1:10" hidden="1">
      <c r="A1329" t="s">
        <v>43</v>
      </c>
      <c r="B1329" t="s">
        <v>1627</v>
      </c>
      <c r="C1329">
        <v>210271</v>
      </c>
      <c r="D1329" t="s">
        <v>1627</v>
      </c>
      <c r="E1329">
        <v>1410</v>
      </c>
      <c r="F1329" t="s">
        <v>24</v>
      </c>
      <c r="G1329" t="s">
        <v>1628</v>
      </c>
      <c r="H1329" s="18">
        <v>46161</v>
      </c>
      <c r="I1329" t="s">
        <v>14</v>
      </c>
      <c r="J1329">
        <f>VLOOKUP(E1329,'Room Count'!A$2:B$2616,2,FALSE)</f>
        <v>88</v>
      </c>
    </row>
    <row r="1330" spans="1:10" hidden="1">
      <c r="A1330" t="s">
        <v>43</v>
      </c>
      <c r="B1330" t="s">
        <v>1629</v>
      </c>
      <c r="C1330">
        <v>210273</v>
      </c>
      <c r="D1330" t="s">
        <v>1629</v>
      </c>
      <c r="E1330">
        <v>1411</v>
      </c>
      <c r="F1330" t="s">
        <v>24</v>
      </c>
      <c r="G1330" t="s">
        <v>1630</v>
      </c>
      <c r="H1330" s="18">
        <v>46161</v>
      </c>
      <c r="I1330" t="s">
        <v>14</v>
      </c>
      <c r="J1330">
        <f>VLOOKUP(E1330,'Room Count'!A$2:B$2616,2,FALSE)</f>
        <v>140</v>
      </c>
    </row>
    <row r="1331" spans="1:10" hidden="1">
      <c r="A1331" t="s">
        <v>43</v>
      </c>
      <c r="B1331" t="s">
        <v>1631</v>
      </c>
      <c r="C1331">
        <v>210275</v>
      </c>
      <c r="D1331" t="s">
        <v>1631</v>
      </c>
      <c r="E1331">
        <v>1412</v>
      </c>
      <c r="F1331" t="s">
        <v>24</v>
      </c>
      <c r="G1331" t="s">
        <v>1632</v>
      </c>
      <c r="H1331" s="18">
        <v>46161</v>
      </c>
      <c r="I1331" t="s">
        <v>14</v>
      </c>
      <c r="J1331">
        <f>VLOOKUP(E1331,'Room Count'!A$2:B$2616,2,FALSE)</f>
        <v>132</v>
      </c>
    </row>
    <row r="1332" spans="1:10" hidden="1">
      <c r="A1332" t="s">
        <v>43</v>
      </c>
      <c r="B1332" t="s">
        <v>1633</v>
      </c>
      <c r="C1332">
        <v>210277</v>
      </c>
      <c r="D1332" t="s">
        <v>1633</v>
      </c>
      <c r="E1332">
        <v>1413</v>
      </c>
      <c r="F1332" t="s">
        <v>24</v>
      </c>
      <c r="G1332" t="s">
        <v>1634</v>
      </c>
      <c r="H1332" s="18">
        <v>46161</v>
      </c>
      <c r="I1332" t="s">
        <v>14</v>
      </c>
      <c r="J1332">
        <f>VLOOKUP(E1332,'Room Count'!A$2:B$2616,2,FALSE)</f>
        <v>100</v>
      </c>
    </row>
    <row r="1333" spans="1:10" hidden="1">
      <c r="A1333" t="s">
        <v>43</v>
      </c>
      <c r="B1333" t="s">
        <v>1635</v>
      </c>
      <c r="C1333">
        <v>210279</v>
      </c>
      <c r="D1333" t="s">
        <v>1635</v>
      </c>
      <c r="E1333">
        <v>1414</v>
      </c>
      <c r="F1333" t="s">
        <v>24</v>
      </c>
      <c r="G1333" t="s">
        <v>1636</v>
      </c>
      <c r="H1333" s="18">
        <v>46161</v>
      </c>
      <c r="I1333" t="s">
        <v>14</v>
      </c>
      <c r="J1333">
        <f>VLOOKUP(E1333,'Room Count'!A$2:B$2616,2,FALSE)</f>
        <v>94</v>
      </c>
    </row>
    <row r="1334" spans="1:10" hidden="1">
      <c r="A1334" t="s">
        <v>43</v>
      </c>
      <c r="B1334" t="s">
        <v>1637</v>
      </c>
      <c r="C1334">
        <v>210281</v>
      </c>
      <c r="D1334" t="s">
        <v>1637</v>
      </c>
      <c r="E1334">
        <v>1415</v>
      </c>
      <c r="F1334" t="s">
        <v>24</v>
      </c>
      <c r="G1334" t="s">
        <v>1638</v>
      </c>
      <c r="H1334" s="18">
        <v>46161</v>
      </c>
      <c r="I1334" t="s">
        <v>14</v>
      </c>
      <c r="J1334">
        <f>VLOOKUP(E1334,'Room Count'!A$2:B$2616,2,FALSE)</f>
        <v>137</v>
      </c>
    </row>
    <row r="1335" spans="1:10" hidden="1">
      <c r="A1335" t="s">
        <v>43</v>
      </c>
      <c r="B1335" t="s">
        <v>1639</v>
      </c>
      <c r="C1335">
        <v>210283</v>
      </c>
      <c r="D1335" t="s">
        <v>1639</v>
      </c>
      <c r="E1335">
        <v>1416</v>
      </c>
      <c r="F1335" t="s">
        <v>24</v>
      </c>
      <c r="G1335" t="s">
        <v>1640</v>
      </c>
      <c r="H1335" s="18">
        <v>46161</v>
      </c>
      <c r="I1335" t="s">
        <v>14</v>
      </c>
      <c r="J1335">
        <f>VLOOKUP(E1335,'Room Count'!A$2:B$2616,2,FALSE)</f>
        <v>143</v>
      </c>
    </row>
    <row r="1336" spans="1:10" hidden="1">
      <c r="A1336" t="s">
        <v>43</v>
      </c>
      <c r="B1336" t="s">
        <v>1641</v>
      </c>
      <c r="C1336">
        <v>210285</v>
      </c>
      <c r="D1336" t="s">
        <v>1641</v>
      </c>
      <c r="E1336">
        <v>1417</v>
      </c>
      <c r="F1336" t="s">
        <v>24</v>
      </c>
      <c r="G1336" t="s">
        <v>1642</v>
      </c>
      <c r="H1336" s="18">
        <v>46161</v>
      </c>
      <c r="I1336" t="s">
        <v>14</v>
      </c>
      <c r="J1336">
        <f>VLOOKUP(E1336,'Room Count'!A$2:B$2616,2,FALSE)</f>
        <v>134</v>
      </c>
    </row>
    <row r="1337" spans="1:10" hidden="1">
      <c r="A1337" t="s">
        <v>43</v>
      </c>
      <c r="B1337" t="s">
        <v>1643</v>
      </c>
      <c r="C1337">
        <v>210287</v>
      </c>
      <c r="D1337" t="s">
        <v>1643</v>
      </c>
      <c r="E1337">
        <v>1418</v>
      </c>
      <c r="F1337" t="s">
        <v>24</v>
      </c>
      <c r="G1337" t="s">
        <v>1644</v>
      </c>
      <c r="H1337" s="18">
        <v>46161</v>
      </c>
      <c r="I1337" t="s">
        <v>14</v>
      </c>
      <c r="J1337">
        <f>VLOOKUP(E1337,'Room Count'!A$2:B$2616,2,FALSE)</f>
        <v>164</v>
      </c>
    </row>
    <row r="1338" spans="1:10" hidden="1">
      <c r="A1338" t="s">
        <v>43</v>
      </c>
      <c r="B1338" t="s">
        <v>1645</v>
      </c>
      <c r="C1338">
        <v>210289</v>
      </c>
      <c r="D1338" t="s">
        <v>1645</v>
      </c>
      <c r="E1338">
        <v>1419</v>
      </c>
      <c r="F1338" t="s">
        <v>24</v>
      </c>
      <c r="G1338" t="s">
        <v>1646</v>
      </c>
      <c r="H1338" s="18">
        <v>46161</v>
      </c>
      <c r="I1338" t="s">
        <v>14</v>
      </c>
      <c r="J1338">
        <f>VLOOKUP(E1338,'Room Count'!A$2:B$2616,2,FALSE)</f>
        <v>190</v>
      </c>
    </row>
    <row r="1339" spans="1:10" hidden="1">
      <c r="A1339" t="s">
        <v>43</v>
      </c>
      <c r="B1339" t="s">
        <v>1647</v>
      </c>
      <c r="C1339">
        <v>210291</v>
      </c>
      <c r="D1339" t="s">
        <v>1647</v>
      </c>
      <c r="E1339">
        <v>1420</v>
      </c>
      <c r="F1339" t="s">
        <v>24</v>
      </c>
      <c r="G1339" t="s">
        <v>1648</v>
      </c>
      <c r="H1339" s="18">
        <v>46161</v>
      </c>
      <c r="I1339" t="s">
        <v>14</v>
      </c>
      <c r="J1339">
        <f>VLOOKUP(E1339,'Room Count'!A$2:B$2616,2,FALSE)</f>
        <v>260</v>
      </c>
    </row>
    <row r="1340" spans="1:10" hidden="1">
      <c r="A1340" t="s">
        <v>43</v>
      </c>
      <c r="B1340" t="s">
        <v>1649</v>
      </c>
      <c r="C1340">
        <v>210293</v>
      </c>
      <c r="D1340" t="s">
        <v>1649</v>
      </c>
      <c r="E1340">
        <v>1421</v>
      </c>
      <c r="F1340" t="s">
        <v>24</v>
      </c>
      <c r="G1340" t="s">
        <v>1650</v>
      </c>
      <c r="H1340" s="18">
        <v>46161</v>
      </c>
      <c r="I1340" t="s">
        <v>14</v>
      </c>
      <c r="J1340">
        <f>VLOOKUP(E1340,'Room Count'!A$2:B$2616,2,FALSE)</f>
        <v>86</v>
      </c>
    </row>
    <row r="1341" spans="1:10" hidden="1">
      <c r="A1341" t="s">
        <v>43</v>
      </c>
      <c r="B1341" t="s">
        <v>1651</v>
      </c>
      <c r="C1341">
        <v>210295</v>
      </c>
      <c r="D1341" t="s">
        <v>1651</v>
      </c>
      <c r="E1341">
        <v>1422</v>
      </c>
      <c r="F1341" t="s">
        <v>24</v>
      </c>
      <c r="G1341" t="s">
        <v>1652</v>
      </c>
      <c r="H1341" s="18">
        <v>46161</v>
      </c>
      <c r="I1341" t="s">
        <v>14</v>
      </c>
      <c r="J1341">
        <f>VLOOKUP(E1341,'Room Count'!A$2:B$2616,2,FALSE)</f>
        <v>98</v>
      </c>
    </row>
    <row r="1342" spans="1:10" hidden="1">
      <c r="A1342" t="s">
        <v>43</v>
      </c>
      <c r="B1342" t="s">
        <v>1653</v>
      </c>
      <c r="C1342">
        <v>210297</v>
      </c>
      <c r="D1342" t="s">
        <v>1653</v>
      </c>
      <c r="E1342">
        <v>1423</v>
      </c>
      <c r="F1342" t="s">
        <v>24</v>
      </c>
      <c r="G1342" t="s">
        <v>1654</v>
      </c>
      <c r="H1342" s="18">
        <v>46161</v>
      </c>
      <c r="I1342" t="s">
        <v>14</v>
      </c>
      <c r="J1342">
        <f>VLOOKUP(E1342,'Room Count'!A$2:B$2616,2,FALSE)</f>
        <v>119</v>
      </c>
    </row>
    <row r="1343" spans="1:10" hidden="1">
      <c r="A1343" t="s">
        <v>43</v>
      </c>
      <c r="B1343" t="s">
        <v>1655</v>
      </c>
      <c r="C1343">
        <v>210299</v>
      </c>
      <c r="D1343" t="s">
        <v>1655</v>
      </c>
      <c r="E1343">
        <v>1424</v>
      </c>
      <c r="F1343" t="s">
        <v>24</v>
      </c>
      <c r="G1343" t="s">
        <v>1656</v>
      </c>
      <c r="H1343" s="18">
        <v>46161</v>
      </c>
      <c r="I1343" t="s">
        <v>14</v>
      </c>
      <c r="J1343">
        <f>VLOOKUP(E1343,'Room Count'!A$2:B$2616,2,FALSE)</f>
        <v>266</v>
      </c>
    </row>
    <row r="1344" spans="1:10" hidden="1">
      <c r="A1344" t="s">
        <v>43</v>
      </c>
      <c r="B1344" t="s">
        <v>1657</v>
      </c>
      <c r="C1344">
        <v>210301</v>
      </c>
      <c r="D1344" t="s">
        <v>1657</v>
      </c>
      <c r="E1344">
        <v>1425</v>
      </c>
      <c r="F1344" t="s">
        <v>24</v>
      </c>
      <c r="G1344" t="s">
        <v>1658</v>
      </c>
      <c r="H1344" s="18">
        <v>46161</v>
      </c>
      <c r="I1344" t="s">
        <v>14</v>
      </c>
      <c r="J1344">
        <f>VLOOKUP(E1344,'Room Count'!A$2:B$2616,2,FALSE)</f>
        <v>197</v>
      </c>
    </row>
    <row r="1345" spans="1:10" hidden="1">
      <c r="A1345" t="s">
        <v>43</v>
      </c>
      <c r="B1345" t="s">
        <v>1659</v>
      </c>
      <c r="C1345">
        <v>210303</v>
      </c>
      <c r="D1345" t="s">
        <v>1659</v>
      </c>
      <c r="E1345">
        <v>1426</v>
      </c>
      <c r="F1345" t="s">
        <v>24</v>
      </c>
      <c r="G1345" t="s">
        <v>1660</v>
      </c>
      <c r="H1345" s="18">
        <v>46161</v>
      </c>
      <c r="I1345" t="s">
        <v>14</v>
      </c>
      <c r="J1345">
        <f>VLOOKUP(E1345,'Room Count'!A$2:B$2616,2,FALSE)</f>
        <v>70</v>
      </c>
    </row>
    <row r="1346" spans="1:10" hidden="1">
      <c r="A1346" t="s">
        <v>43</v>
      </c>
      <c r="B1346" t="s">
        <v>1661</v>
      </c>
      <c r="C1346">
        <v>210305</v>
      </c>
      <c r="D1346" t="s">
        <v>1661</v>
      </c>
      <c r="E1346">
        <v>1427</v>
      </c>
      <c r="F1346" t="s">
        <v>24</v>
      </c>
      <c r="G1346" t="s">
        <v>1662</v>
      </c>
      <c r="H1346" s="18">
        <v>46161</v>
      </c>
      <c r="I1346" t="s">
        <v>14</v>
      </c>
      <c r="J1346">
        <f>VLOOKUP(E1346,'Room Count'!A$2:B$2616,2,FALSE)</f>
        <v>155</v>
      </c>
    </row>
    <row r="1347" spans="1:10" hidden="1">
      <c r="A1347" t="s">
        <v>43</v>
      </c>
      <c r="B1347" t="s">
        <v>1663</v>
      </c>
      <c r="C1347">
        <v>210307</v>
      </c>
      <c r="D1347" t="s">
        <v>1663</v>
      </c>
      <c r="E1347">
        <v>1428</v>
      </c>
      <c r="F1347" t="s">
        <v>24</v>
      </c>
      <c r="G1347" t="s">
        <v>1664</v>
      </c>
      <c r="H1347" s="18">
        <v>46161</v>
      </c>
      <c r="I1347" t="s">
        <v>14</v>
      </c>
      <c r="J1347">
        <f>VLOOKUP(E1347,'Room Count'!A$2:B$2616,2,FALSE)</f>
        <v>200</v>
      </c>
    </row>
    <row r="1348" spans="1:10" hidden="1">
      <c r="A1348" t="s">
        <v>43</v>
      </c>
      <c r="B1348" t="s">
        <v>1665</v>
      </c>
      <c r="C1348">
        <v>210309</v>
      </c>
      <c r="D1348" t="s">
        <v>1665</v>
      </c>
      <c r="E1348">
        <v>1429</v>
      </c>
      <c r="F1348" t="s">
        <v>24</v>
      </c>
      <c r="G1348" t="s">
        <v>1666</v>
      </c>
      <c r="H1348" s="18">
        <v>46161</v>
      </c>
      <c r="I1348" t="s">
        <v>14</v>
      </c>
      <c r="J1348">
        <f>VLOOKUP(E1348,'Room Count'!A$2:B$2616,2,FALSE)</f>
        <v>93</v>
      </c>
    </row>
    <row r="1349" spans="1:10" hidden="1">
      <c r="A1349" t="s">
        <v>43</v>
      </c>
      <c r="B1349" t="s">
        <v>1667</v>
      </c>
      <c r="C1349">
        <v>210311</v>
      </c>
      <c r="D1349" t="s">
        <v>1667</v>
      </c>
      <c r="E1349">
        <v>1430</v>
      </c>
      <c r="F1349" t="s">
        <v>24</v>
      </c>
      <c r="G1349" t="s">
        <v>1668</v>
      </c>
      <c r="H1349" s="18">
        <v>46161</v>
      </c>
      <c r="I1349" t="s">
        <v>14</v>
      </c>
      <c r="J1349">
        <f>VLOOKUP(E1349,'Room Count'!A$2:B$2616,2,FALSE)</f>
        <v>111</v>
      </c>
    </row>
    <row r="1350" spans="1:10" hidden="1">
      <c r="A1350" t="s">
        <v>43</v>
      </c>
      <c r="B1350" t="s">
        <v>1669</v>
      </c>
      <c r="C1350">
        <v>210313</v>
      </c>
      <c r="D1350" t="s">
        <v>1669</v>
      </c>
      <c r="E1350">
        <v>1431</v>
      </c>
      <c r="F1350" t="s">
        <v>24</v>
      </c>
      <c r="G1350" t="s">
        <v>1670</v>
      </c>
      <c r="H1350" s="18">
        <v>46161</v>
      </c>
      <c r="I1350" t="s">
        <v>14</v>
      </c>
      <c r="J1350">
        <f>VLOOKUP(E1350,'Room Count'!A$2:B$2616,2,FALSE)</f>
        <v>102</v>
      </c>
    </row>
    <row r="1351" spans="1:10" hidden="1">
      <c r="A1351" t="s">
        <v>43</v>
      </c>
      <c r="B1351" t="s">
        <v>1671</v>
      </c>
      <c r="C1351">
        <v>210315</v>
      </c>
      <c r="D1351" t="s">
        <v>1671</v>
      </c>
      <c r="E1351">
        <v>1432</v>
      </c>
      <c r="F1351" t="s">
        <v>24</v>
      </c>
      <c r="G1351" t="s">
        <v>1672</v>
      </c>
      <c r="H1351" s="18">
        <v>46161</v>
      </c>
      <c r="I1351" t="s">
        <v>14</v>
      </c>
      <c r="J1351">
        <f>VLOOKUP(E1351,'Room Count'!A$2:B$2616,2,FALSE)</f>
        <v>101</v>
      </c>
    </row>
    <row r="1352" spans="1:10" hidden="1">
      <c r="A1352" t="s">
        <v>43</v>
      </c>
      <c r="B1352" t="s">
        <v>1673</v>
      </c>
      <c r="C1352">
        <v>210317</v>
      </c>
      <c r="D1352" t="s">
        <v>1673</v>
      </c>
      <c r="E1352">
        <v>1433</v>
      </c>
      <c r="F1352" t="s">
        <v>24</v>
      </c>
      <c r="G1352" t="s">
        <v>1674</v>
      </c>
      <c r="H1352" s="18">
        <v>46161</v>
      </c>
      <c r="I1352" t="s">
        <v>14</v>
      </c>
      <c r="J1352">
        <f>VLOOKUP(E1352,'Room Count'!A$2:B$2616,2,FALSE)</f>
        <v>127</v>
      </c>
    </row>
    <row r="1353" spans="1:10" hidden="1">
      <c r="A1353" t="s">
        <v>43</v>
      </c>
      <c r="B1353" t="s">
        <v>1675</v>
      </c>
      <c r="C1353">
        <v>210319</v>
      </c>
      <c r="D1353" t="s">
        <v>1675</v>
      </c>
      <c r="E1353">
        <v>1434</v>
      </c>
      <c r="F1353" t="s">
        <v>24</v>
      </c>
      <c r="G1353" t="s">
        <v>1676</v>
      </c>
      <c r="H1353" s="18">
        <v>46161</v>
      </c>
      <c r="I1353" t="s">
        <v>14</v>
      </c>
      <c r="J1353">
        <f>VLOOKUP(E1353,'Room Count'!A$2:B$2616,2,FALSE)</f>
        <v>135</v>
      </c>
    </row>
    <row r="1354" spans="1:10" hidden="1">
      <c r="A1354" s="33" t="s">
        <v>44</v>
      </c>
      <c r="B1354" s="33" t="s">
        <v>1677</v>
      </c>
      <c r="C1354" s="33">
        <v>211017</v>
      </c>
      <c r="D1354" s="33" t="s">
        <v>1677</v>
      </c>
      <c r="E1354" s="33">
        <v>1602</v>
      </c>
      <c r="F1354" s="33" t="s">
        <v>25</v>
      </c>
      <c r="G1354" s="33" t="s">
        <v>1678</v>
      </c>
      <c r="H1354" s="34">
        <v>46175</v>
      </c>
      <c r="I1354" t="s">
        <v>14</v>
      </c>
      <c r="J1354">
        <f>VLOOKUP(E1354,'Room Count'!A$2:B$2616,2,FALSE)</f>
        <v>100</v>
      </c>
    </row>
    <row r="1355" spans="1:10" hidden="1">
      <c r="A1355" s="33" t="s">
        <v>44</v>
      </c>
      <c r="B1355" s="33" t="s">
        <v>1679</v>
      </c>
      <c r="C1355" s="33">
        <v>211023</v>
      </c>
      <c r="D1355" s="33" t="s">
        <v>1679</v>
      </c>
      <c r="E1355" s="33">
        <v>1605</v>
      </c>
      <c r="F1355" s="33" t="s">
        <v>25</v>
      </c>
      <c r="G1355" s="33" t="s">
        <v>1680</v>
      </c>
      <c r="H1355" s="34">
        <v>46175</v>
      </c>
      <c r="I1355" t="s">
        <v>14</v>
      </c>
      <c r="J1355">
        <f>VLOOKUP(E1355,'Room Count'!A$2:B$2616,2,FALSE)</f>
        <v>94</v>
      </c>
    </row>
    <row r="1356" spans="1:10" hidden="1">
      <c r="A1356" s="33" t="s">
        <v>44</v>
      </c>
      <c r="B1356" s="33" t="s">
        <v>1681</v>
      </c>
      <c r="C1356" s="33">
        <v>211001</v>
      </c>
      <c r="D1356" s="33" t="s">
        <v>1681</v>
      </c>
      <c r="E1356" s="33">
        <v>1591</v>
      </c>
      <c r="F1356" s="33" t="s">
        <v>25</v>
      </c>
      <c r="G1356" s="33" t="s">
        <v>1682</v>
      </c>
      <c r="H1356" s="34">
        <v>46175</v>
      </c>
      <c r="I1356" t="s">
        <v>14</v>
      </c>
      <c r="J1356">
        <f>VLOOKUP(E1356,'Room Count'!A$2:B$2616,2,FALSE)</f>
        <v>89</v>
      </c>
    </row>
    <row r="1357" spans="1:10" hidden="1">
      <c r="A1357" s="33" t="s">
        <v>44</v>
      </c>
      <c r="B1357" s="33" t="s">
        <v>1683</v>
      </c>
      <c r="C1357" s="33">
        <v>211013</v>
      </c>
      <c r="D1357" s="33" t="s">
        <v>1683</v>
      </c>
      <c r="E1357" s="33">
        <v>1597</v>
      </c>
      <c r="F1357" s="33" t="s">
        <v>25</v>
      </c>
      <c r="G1357" s="33" t="s">
        <v>1684</v>
      </c>
      <c r="H1357" s="34">
        <v>46175</v>
      </c>
      <c r="I1357" t="s">
        <v>14</v>
      </c>
      <c r="J1357">
        <f>VLOOKUP(E1357,'Room Count'!A$2:B$2616,2,FALSE)</f>
        <v>74</v>
      </c>
    </row>
    <row r="1358" spans="1:10" hidden="1">
      <c r="A1358" s="33" t="s">
        <v>44</v>
      </c>
      <c r="B1358" s="33" t="s">
        <v>1685</v>
      </c>
      <c r="C1358" s="33">
        <v>211009</v>
      </c>
      <c r="D1358" s="33" t="s">
        <v>1685</v>
      </c>
      <c r="E1358" s="33">
        <v>1595</v>
      </c>
      <c r="F1358" s="33" t="s">
        <v>25</v>
      </c>
      <c r="G1358" s="33" t="s">
        <v>1686</v>
      </c>
      <c r="H1358" s="34">
        <v>46175</v>
      </c>
      <c r="I1358" t="s">
        <v>14</v>
      </c>
      <c r="J1358">
        <f>VLOOKUP(E1358,'Room Count'!A$2:B$2616,2,FALSE)</f>
        <v>135</v>
      </c>
    </row>
    <row r="1359" spans="1:10" hidden="1">
      <c r="A1359" s="33" t="s">
        <v>44</v>
      </c>
      <c r="B1359" s="33" t="s">
        <v>1687</v>
      </c>
      <c r="C1359" s="33">
        <v>211005</v>
      </c>
      <c r="D1359" s="33" t="s">
        <v>1687</v>
      </c>
      <c r="E1359" s="33">
        <v>1593</v>
      </c>
      <c r="F1359" s="33" t="s">
        <v>25</v>
      </c>
      <c r="G1359" s="33" t="s">
        <v>1688</v>
      </c>
      <c r="H1359" s="34">
        <v>46175</v>
      </c>
      <c r="I1359" t="s">
        <v>14</v>
      </c>
      <c r="J1359">
        <f>VLOOKUP(E1359,'Room Count'!A$2:B$2616,2,FALSE)</f>
        <v>63</v>
      </c>
    </row>
    <row r="1360" spans="1:10" hidden="1">
      <c r="A1360" s="33" t="s">
        <v>44</v>
      </c>
      <c r="B1360" s="33" t="s">
        <v>1689</v>
      </c>
      <c r="C1360" s="33">
        <v>211007</v>
      </c>
      <c r="D1360" s="33" t="s">
        <v>1689</v>
      </c>
      <c r="E1360" s="33">
        <v>1594</v>
      </c>
      <c r="F1360" s="33" t="s">
        <v>25</v>
      </c>
      <c r="G1360" s="33" t="s">
        <v>1690</v>
      </c>
      <c r="H1360" s="34">
        <v>46175</v>
      </c>
      <c r="I1360" t="s">
        <v>14</v>
      </c>
      <c r="J1360">
        <f>VLOOKUP(E1360,'Room Count'!A$2:B$2616,2,FALSE)</f>
        <v>78</v>
      </c>
    </row>
    <row r="1361" spans="1:10" hidden="1">
      <c r="A1361" s="33" t="s">
        <v>44</v>
      </c>
      <c r="B1361" s="33" t="s">
        <v>1691</v>
      </c>
      <c r="C1361" s="33">
        <v>211019</v>
      </c>
      <c r="D1361" s="33" t="s">
        <v>1691</v>
      </c>
      <c r="E1361" s="33">
        <v>1603</v>
      </c>
      <c r="F1361" s="33" t="s">
        <v>25</v>
      </c>
      <c r="G1361" s="33" t="s">
        <v>1692</v>
      </c>
      <c r="H1361" s="34">
        <v>46175</v>
      </c>
      <c r="I1361" t="s">
        <v>14</v>
      </c>
      <c r="J1361">
        <f>VLOOKUP(E1361,'Room Count'!A$2:B$2616,2,FALSE)</f>
        <v>89</v>
      </c>
    </row>
    <row r="1362" spans="1:10" hidden="1">
      <c r="A1362" s="33" t="s">
        <v>44</v>
      </c>
      <c r="B1362" s="33" t="s">
        <v>1693</v>
      </c>
      <c r="C1362" s="33">
        <v>211025</v>
      </c>
      <c r="D1362" s="33" t="s">
        <v>1693</v>
      </c>
      <c r="E1362" s="33">
        <v>1606</v>
      </c>
      <c r="F1362" s="33" t="s">
        <v>25</v>
      </c>
      <c r="G1362" s="33" t="s">
        <v>1694</v>
      </c>
      <c r="H1362" s="34">
        <v>46175</v>
      </c>
      <c r="I1362" t="s">
        <v>14</v>
      </c>
      <c r="J1362">
        <f>VLOOKUP(E1362,'Room Count'!A$2:B$2616,2,FALSE)</f>
        <v>99</v>
      </c>
    </row>
    <row r="1363" spans="1:10" hidden="1">
      <c r="A1363" s="33" t="s">
        <v>44</v>
      </c>
      <c r="B1363" s="33" t="s">
        <v>1695</v>
      </c>
      <c r="C1363" s="33">
        <v>211027</v>
      </c>
      <c r="D1363" s="33" t="s">
        <v>1695</v>
      </c>
      <c r="E1363" s="33">
        <v>1607</v>
      </c>
      <c r="F1363" s="33" t="s">
        <v>25</v>
      </c>
      <c r="G1363" s="33" t="s">
        <v>1696</v>
      </c>
      <c r="H1363" s="34">
        <v>46175</v>
      </c>
      <c r="I1363" t="s">
        <v>14</v>
      </c>
      <c r="J1363">
        <f>VLOOKUP(E1363,'Room Count'!A$2:B$2616,2,FALSE)</f>
        <v>70</v>
      </c>
    </row>
    <row r="1364" spans="1:10" hidden="1">
      <c r="A1364" s="33" t="s">
        <v>44</v>
      </c>
      <c r="B1364" s="33" t="s">
        <v>1697</v>
      </c>
      <c r="C1364" s="33">
        <v>211021</v>
      </c>
      <c r="D1364" s="33" t="s">
        <v>1697</v>
      </c>
      <c r="E1364" s="33">
        <v>1604</v>
      </c>
      <c r="F1364" s="33" t="s">
        <v>25</v>
      </c>
      <c r="G1364" s="33" t="s">
        <v>1698</v>
      </c>
      <c r="H1364" s="34">
        <v>46175</v>
      </c>
      <c r="I1364" t="s">
        <v>14</v>
      </c>
      <c r="J1364">
        <f>VLOOKUP(E1364,'Room Count'!A$2:B$2616,2,FALSE)</f>
        <v>100</v>
      </c>
    </row>
    <row r="1365" spans="1:10" hidden="1">
      <c r="A1365" s="33" t="s">
        <v>44</v>
      </c>
      <c r="B1365" s="33" t="s">
        <v>1699</v>
      </c>
      <c r="C1365" s="33">
        <v>211011</v>
      </c>
      <c r="D1365" s="33" t="s">
        <v>1699</v>
      </c>
      <c r="E1365" s="33">
        <v>1596</v>
      </c>
      <c r="F1365" s="33" t="s">
        <v>25</v>
      </c>
      <c r="G1365" s="33" t="s">
        <v>1700</v>
      </c>
      <c r="H1365" s="34">
        <v>46175</v>
      </c>
      <c r="I1365" t="s">
        <v>14</v>
      </c>
      <c r="J1365">
        <f>VLOOKUP(E1365,'Room Count'!A$2:B$2616,2,FALSE)</f>
        <v>90</v>
      </c>
    </row>
    <row r="1366" spans="1:10" hidden="1">
      <c r="A1366" s="33" t="s">
        <v>44</v>
      </c>
      <c r="B1366" s="33" t="s">
        <v>1701</v>
      </c>
      <c r="C1366" s="33">
        <v>211039</v>
      </c>
      <c r="D1366" s="33" t="s">
        <v>1701</v>
      </c>
      <c r="E1366" s="33">
        <v>1613</v>
      </c>
      <c r="F1366" s="33" t="s">
        <v>25</v>
      </c>
      <c r="G1366" s="33" t="s">
        <v>1702</v>
      </c>
      <c r="H1366" s="34">
        <v>46175</v>
      </c>
      <c r="I1366" t="s">
        <v>14</v>
      </c>
      <c r="J1366">
        <f>VLOOKUP(E1366,'Room Count'!A$2:B$2616,2,FALSE)</f>
        <v>88</v>
      </c>
    </row>
    <row r="1367" spans="1:10" hidden="1">
      <c r="A1367" s="33" t="s">
        <v>44</v>
      </c>
      <c r="B1367" s="33" t="s">
        <v>1703</v>
      </c>
      <c r="C1367" s="33">
        <v>211035</v>
      </c>
      <c r="D1367" s="33" t="s">
        <v>1703</v>
      </c>
      <c r="E1367" s="33">
        <v>1611</v>
      </c>
      <c r="F1367" s="33" t="s">
        <v>25</v>
      </c>
      <c r="G1367" s="33" t="s">
        <v>1704</v>
      </c>
      <c r="H1367" s="34">
        <v>46175</v>
      </c>
      <c r="I1367" t="s">
        <v>14</v>
      </c>
      <c r="J1367">
        <f>VLOOKUP(E1367,'Room Count'!A$2:B$2616,2,FALSE)</f>
        <v>94</v>
      </c>
    </row>
    <row r="1368" spans="1:10" hidden="1">
      <c r="A1368" s="33" t="s">
        <v>44</v>
      </c>
      <c r="B1368" s="33" t="s">
        <v>1705</v>
      </c>
      <c r="C1368" s="33">
        <v>211037</v>
      </c>
      <c r="D1368" s="33" t="s">
        <v>1705</v>
      </c>
      <c r="E1368" s="33">
        <v>1612</v>
      </c>
      <c r="F1368" s="33" t="s">
        <v>25</v>
      </c>
      <c r="G1368" s="33" t="s">
        <v>1706</v>
      </c>
      <c r="H1368" s="34">
        <v>46175</v>
      </c>
      <c r="I1368" t="s">
        <v>14</v>
      </c>
      <c r="J1368">
        <f>VLOOKUP(E1368,'Room Count'!A$2:B$2616,2,FALSE)</f>
        <v>134</v>
      </c>
    </row>
    <row r="1369" spans="1:10" hidden="1">
      <c r="A1369" s="33" t="s">
        <v>44</v>
      </c>
      <c r="B1369" s="33" t="s">
        <v>1707</v>
      </c>
      <c r="C1369" s="33">
        <v>211029</v>
      </c>
      <c r="D1369" s="33" t="s">
        <v>1707</v>
      </c>
      <c r="E1369" s="33">
        <v>1608</v>
      </c>
      <c r="F1369" s="33" t="s">
        <v>25</v>
      </c>
      <c r="G1369" s="33" t="s">
        <v>1708</v>
      </c>
      <c r="H1369" s="34">
        <v>46175</v>
      </c>
      <c r="I1369" t="s">
        <v>14</v>
      </c>
      <c r="J1369">
        <f>VLOOKUP(E1369,'Room Count'!A$2:B$2616,2,FALSE)</f>
        <v>150</v>
      </c>
    </row>
    <row r="1370" spans="1:10" hidden="1">
      <c r="A1370" s="33" t="s">
        <v>44</v>
      </c>
      <c r="B1370" s="33" t="s">
        <v>1709</v>
      </c>
      <c r="C1370" s="33">
        <v>211031</v>
      </c>
      <c r="D1370" s="33" t="s">
        <v>1709</v>
      </c>
      <c r="E1370" s="33">
        <v>1609</v>
      </c>
      <c r="F1370" s="33" t="s">
        <v>25</v>
      </c>
      <c r="G1370" s="33" t="s">
        <v>1710</v>
      </c>
      <c r="H1370" s="34">
        <v>46175</v>
      </c>
      <c r="I1370" t="s">
        <v>14</v>
      </c>
      <c r="J1370">
        <f>VLOOKUP(E1370,'Room Count'!A$2:B$2616,2,FALSE)</f>
        <v>103</v>
      </c>
    </row>
    <row r="1371" spans="1:10" hidden="1">
      <c r="A1371" s="33" t="s">
        <v>44</v>
      </c>
      <c r="B1371" s="33" t="s">
        <v>1711</v>
      </c>
      <c r="C1371" s="33">
        <v>211043</v>
      </c>
      <c r="D1371" s="33" t="s">
        <v>1711</v>
      </c>
      <c r="E1371" s="33">
        <v>1615</v>
      </c>
      <c r="F1371" s="33" t="s">
        <v>25</v>
      </c>
      <c r="G1371" s="33" t="s">
        <v>1712</v>
      </c>
      <c r="H1371" s="34">
        <v>46175</v>
      </c>
      <c r="I1371" t="s">
        <v>14</v>
      </c>
      <c r="J1371">
        <f>VLOOKUP(E1371,'Room Count'!A$2:B$2616,2,FALSE)</f>
        <v>80</v>
      </c>
    </row>
    <row r="1372" spans="1:10" hidden="1">
      <c r="A1372" s="33" t="s">
        <v>44</v>
      </c>
      <c r="B1372" s="33" t="s">
        <v>1713</v>
      </c>
      <c r="C1372" s="33">
        <v>211015</v>
      </c>
      <c r="D1372" s="33" t="s">
        <v>1713</v>
      </c>
      <c r="E1372" s="33">
        <v>1600</v>
      </c>
      <c r="F1372" s="33" t="s">
        <v>25</v>
      </c>
      <c r="G1372" s="33" t="s">
        <v>1714</v>
      </c>
      <c r="H1372" s="34">
        <v>46175</v>
      </c>
      <c r="I1372" t="s">
        <v>14</v>
      </c>
      <c r="J1372">
        <f>VLOOKUP(E1372,'Room Count'!A$2:B$2616,2,FALSE)</f>
        <v>78</v>
      </c>
    </row>
    <row r="1373" spans="1:10" hidden="1">
      <c r="A1373" s="33" t="s">
        <v>44</v>
      </c>
      <c r="B1373" s="33" t="s">
        <v>1715</v>
      </c>
      <c r="C1373" s="33">
        <v>211003</v>
      </c>
      <c r="D1373" s="33" t="s">
        <v>1715</v>
      </c>
      <c r="E1373" s="33">
        <v>1592</v>
      </c>
      <c r="F1373" s="33" t="s">
        <v>25</v>
      </c>
      <c r="G1373" s="33" t="s">
        <v>1716</v>
      </c>
      <c r="H1373" s="34">
        <v>46175</v>
      </c>
      <c r="I1373" t="s">
        <v>14</v>
      </c>
      <c r="J1373">
        <f>VLOOKUP(E1373,'Room Count'!A$2:B$2616,2,FALSE)</f>
        <v>120</v>
      </c>
    </row>
    <row r="1374" spans="1:10" hidden="1">
      <c r="A1374" s="33" t="s">
        <v>44</v>
      </c>
      <c r="B1374" s="33" t="s">
        <v>1717</v>
      </c>
      <c r="C1374" s="33">
        <v>211041</v>
      </c>
      <c r="D1374" s="33" t="s">
        <v>1717</v>
      </c>
      <c r="E1374" s="33">
        <v>1614</v>
      </c>
      <c r="F1374" s="33" t="s">
        <v>25</v>
      </c>
      <c r="G1374" s="33" t="s">
        <v>1718</v>
      </c>
      <c r="H1374" s="34">
        <v>46175</v>
      </c>
      <c r="I1374" t="s">
        <v>14</v>
      </c>
      <c r="J1374">
        <f>VLOOKUP(E1374,'Room Count'!A$2:B$2616,2,FALSE)</f>
        <v>56</v>
      </c>
    </row>
    <row r="1375" spans="1:10" hidden="1">
      <c r="A1375" s="33" t="s">
        <v>44</v>
      </c>
      <c r="B1375" s="33" t="s">
        <v>1719</v>
      </c>
      <c r="C1375" s="33">
        <v>211033</v>
      </c>
      <c r="D1375" s="33" t="s">
        <v>1719</v>
      </c>
      <c r="E1375" s="33">
        <v>1610</v>
      </c>
      <c r="F1375" s="33" t="s">
        <v>25</v>
      </c>
      <c r="G1375" s="33" t="s">
        <v>1720</v>
      </c>
      <c r="H1375" s="34">
        <v>46175</v>
      </c>
      <c r="I1375" t="s">
        <v>14</v>
      </c>
      <c r="J1375">
        <f>VLOOKUP(E1375,'Room Count'!A$2:B$2616,2,FALSE)</f>
        <v>80</v>
      </c>
    </row>
    <row r="1376" spans="1:10" hidden="1">
      <c r="A1376" s="33" t="s">
        <v>44</v>
      </c>
      <c r="B1376" s="33" t="s">
        <v>1721</v>
      </c>
      <c r="C1376" s="33">
        <v>112289</v>
      </c>
      <c r="D1376" s="33" t="s">
        <v>1721</v>
      </c>
      <c r="E1376" s="33">
        <v>1598</v>
      </c>
      <c r="F1376" s="33" t="s">
        <v>26</v>
      </c>
      <c r="G1376" s="33" t="s">
        <v>1722</v>
      </c>
      <c r="H1376" s="34">
        <v>46175</v>
      </c>
      <c r="I1376" t="s">
        <v>14</v>
      </c>
      <c r="J1376">
        <f>VLOOKUP(E1376,'Room Count'!A$2:B$2616,2,FALSE)</f>
        <v>166</v>
      </c>
    </row>
    <row r="1377" spans="1:10" hidden="1">
      <c r="A1377" s="33" t="s">
        <v>44</v>
      </c>
      <c r="B1377" s="33" t="s">
        <v>1723</v>
      </c>
      <c r="C1377" s="33">
        <v>112119</v>
      </c>
      <c r="D1377" s="33" t="s">
        <v>1723</v>
      </c>
      <c r="E1377" s="33">
        <v>1500</v>
      </c>
      <c r="F1377" s="33" t="s">
        <v>26</v>
      </c>
      <c r="G1377" s="33" t="s">
        <v>1724</v>
      </c>
      <c r="H1377" s="34">
        <v>46175</v>
      </c>
      <c r="I1377" t="s">
        <v>14</v>
      </c>
      <c r="J1377">
        <f>VLOOKUP(E1377,'Room Count'!A$2:B$2616,2,FALSE)</f>
        <v>119</v>
      </c>
    </row>
    <row r="1378" spans="1:10" hidden="1">
      <c r="A1378" s="33" t="s">
        <v>44</v>
      </c>
      <c r="B1378" s="33" t="s">
        <v>1725</v>
      </c>
      <c r="C1378" s="33">
        <v>112163</v>
      </c>
      <c r="D1378" s="33" t="s">
        <v>1725</v>
      </c>
      <c r="E1378" s="33">
        <v>1522</v>
      </c>
      <c r="F1378" s="33" t="s">
        <v>26</v>
      </c>
      <c r="G1378" s="33" t="s">
        <v>1726</v>
      </c>
      <c r="H1378" s="34">
        <v>46175</v>
      </c>
      <c r="I1378" t="s">
        <v>14</v>
      </c>
      <c r="J1378">
        <f>VLOOKUP(E1378,'Room Count'!A$2:B$2616,2,FALSE)</f>
        <v>98</v>
      </c>
    </row>
    <row r="1379" spans="1:10" hidden="1">
      <c r="A1379" s="33" t="s">
        <v>44</v>
      </c>
      <c r="B1379" s="33" t="s">
        <v>1727</v>
      </c>
      <c r="C1379" s="33">
        <v>112273</v>
      </c>
      <c r="D1379" s="33" t="s">
        <v>1727</v>
      </c>
      <c r="E1379" s="33">
        <v>1577</v>
      </c>
      <c r="F1379" s="33" t="s">
        <v>26</v>
      </c>
      <c r="G1379" s="33" t="s">
        <v>1728</v>
      </c>
      <c r="H1379" s="34">
        <v>46175</v>
      </c>
      <c r="I1379" t="s">
        <v>14</v>
      </c>
      <c r="J1379">
        <f>VLOOKUP(E1379,'Room Count'!A$2:B$2616,2,FALSE)</f>
        <v>74</v>
      </c>
    </row>
    <row r="1380" spans="1:10" hidden="1">
      <c r="A1380" s="33" t="s">
        <v>44</v>
      </c>
      <c r="B1380" s="33" t="s">
        <v>1729</v>
      </c>
      <c r="C1380" s="33">
        <v>112113</v>
      </c>
      <c r="D1380" s="33" t="s">
        <v>1729</v>
      </c>
      <c r="E1380" s="33">
        <v>1497</v>
      </c>
      <c r="F1380" s="33" t="s">
        <v>26</v>
      </c>
      <c r="G1380" s="33" t="s">
        <v>1730</v>
      </c>
      <c r="H1380" s="34">
        <v>46175</v>
      </c>
      <c r="I1380" t="s">
        <v>14</v>
      </c>
      <c r="J1380">
        <f>VLOOKUP(E1380,'Room Count'!A$2:B$2616,2,FALSE)</f>
        <v>161</v>
      </c>
    </row>
    <row r="1381" spans="1:10" hidden="1">
      <c r="A1381" s="33" t="s">
        <v>44</v>
      </c>
      <c r="B1381" s="33" t="s">
        <v>1731</v>
      </c>
      <c r="C1381" s="33">
        <v>112103</v>
      </c>
      <c r="D1381" s="33" t="s">
        <v>1731</v>
      </c>
      <c r="E1381" s="33">
        <v>1492</v>
      </c>
      <c r="F1381" s="33" t="s">
        <v>26</v>
      </c>
      <c r="G1381" s="33" t="s">
        <v>1732</v>
      </c>
      <c r="H1381" s="34">
        <v>46175</v>
      </c>
      <c r="I1381" t="s">
        <v>14</v>
      </c>
      <c r="J1381">
        <f>VLOOKUP(E1381,'Room Count'!A$2:B$2616,2,FALSE)</f>
        <v>84</v>
      </c>
    </row>
    <row r="1382" spans="1:10" hidden="1">
      <c r="A1382" s="33" t="s">
        <v>44</v>
      </c>
      <c r="B1382" s="33" t="s">
        <v>1733</v>
      </c>
      <c r="C1382" s="33">
        <v>112221</v>
      </c>
      <c r="D1382" s="33" t="s">
        <v>1733</v>
      </c>
      <c r="E1382" s="33">
        <v>1551</v>
      </c>
      <c r="F1382" s="33" t="s">
        <v>26</v>
      </c>
      <c r="G1382" s="33" t="s">
        <v>1734</v>
      </c>
      <c r="H1382" s="34">
        <v>46175</v>
      </c>
      <c r="I1382" t="s">
        <v>14</v>
      </c>
      <c r="J1382">
        <f>VLOOKUP(E1382,'Room Count'!A$2:B$2616,2,FALSE)</f>
        <v>108</v>
      </c>
    </row>
    <row r="1383" spans="1:10" hidden="1">
      <c r="A1383" s="33" t="s">
        <v>44</v>
      </c>
      <c r="B1383" s="33" t="s">
        <v>1735</v>
      </c>
      <c r="C1383" s="33">
        <v>112011</v>
      </c>
      <c r="D1383" s="33" t="s">
        <v>1735</v>
      </c>
      <c r="E1383" s="33">
        <v>1446</v>
      </c>
      <c r="F1383" s="33" t="s">
        <v>26</v>
      </c>
      <c r="G1383" s="33" t="s">
        <v>1736</v>
      </c>
      <c r="H1383" s="34">
        <v>46175</v>
      </c>
      <c r="I1383" t="s">
        <v>14</v>
      </c>
      <c r="J1383">
        <f>VLOOKUP(E1383,'Room Count'!A$2:B$2616,2,FALSE)</f>
        <v>117</v>
      </c>
    </row>
    <row r="1384" spans="1:10" hidden="1">
      <c r="A1384" s="33" t="s">
        <v>44</v>
      </c>
      <c r="B1384" s="33" t="s">
        <v>1737</v>
      </c>
      <c r="C1384" s="33">
        <v>112073</v>
      </c>
      <c r="D1384" s="33" t="s">
        <v>1737</v>
      </c>
      <c r="E1384" s="33">
        <v>1477</v>
      </c>
      <c r="F1384" s="33" t="s">
        <v>26</v>
      </c>
      <c r="G1384" s="33" t="s">
        <v>1738</v>
      </c>
      <c r="H1384" s="34">
        <v>46175</v>
      </c>
      <c r="I1384" t="s">
        <v>14</v>
      </c>
      <c r="J1384">
        <f>VLOOKUP(E1384,'Room Count'!A$2:B$2616,2,FALSE)</f>
        <v>205</v>
      </c>
    </row>
    <row r="1385" spans="1:10" hidden="1">
      <c r="A1385" s="33" t="s">
        <v>44</v>
      </c>
      <c r="B1385" s="33" t="s">
        <v>1739</v>
      </c>
      <c r="C1385" s="33">
        <v>112185</v>
      </c>
      <c r="D1385" s="33" t="s">
        <v>1739</v>
      </c>
      <c r="E1385" s="33">
        <v>1533</v>
      </c>
      <c r="F1385" s="33" t="s">
        <v>26</v>
      </c>
      <c r="G1385" s="33" t="s">
        <v>1740</v>
      </c>
      <c r="H1385" s="34">
        <v>46175</v>
      </c>
      <c r="I1385" t="s">
        <v>14</v>
      </c>
      <c r="J1385">
        <f>VLOOKUP(E1385,'Room Count'!A$2:B$2616,2,FALSE)</f>
        <v>96</v>
      </c>
    </row>
    <row r="1386" spans="1:10" hidden="1">
      <c r="A1386" s="33" t="s">
        <v>44</v>
      </c>
      <c r="B1386" s="33" t="s">
        <v>1741</v>
      </c>
      <c r="C1386" s="33">
        <v>112095</v>
      </c>
      <c r="D1386" s="33" t="s">
        <v>1741</v>
      </c>
      <c r="E1386" s="33">
        <v>1488</v>
      </c>
      <c r="F1386" s="33" t="s">
        <v>26</v>
      </c>
      <c r="G1386" s="33" t="s">
        <v>1742</v>
      </c>
      <c r="H1386" s="34">
        <v>46175</v>
      </c>
      <c r="I1386" t="s">
        <v>14</v>
      </c>
      <c r="J1386">
        <f>VLOOKUP(E1386,'Room Count'!A$2:B$2616,2,FALSE)</f>
        <v>91</v>
      </c>
    </row>
    <row r="1387" spans="1:10" hidden="1">
      <c r="A1387" s="33" t="s">
        <v>44</v>
      </c>
      <c r="B1387" s="33" t="s">
        <v>1743</v>
      </c>
      <c r="C1387" s="33">
        <v>112287</v>
      </c>
      <c r="D1387" s="33" t="s">
        <v>1743</v>
      </c>
      <c r="E1387" s="33">
        <v>1584</v>
      </c>
      <c r="F1387" s="33" t="s">
        <v>26</v>
      </c>
      <c r="G1387" s="33" t="s">
        <v>1744</v>
      </c>
      <c r="H1387" s="34">
        <v>46175</v>
      </c>
      <c r="I1387" t="s">
        <v>14</v>
      </c>
      <c r="J1387">
        <f>VLOOKUP(E1387,'Room Count'!A$2:B$2616,2,FALSE)</f>
        <v>146</v>
      </c>
    </row>
    <row r="1388" spans="1:10" hidden="1">
      <c r="A1388" s="33" t="s">
        <v>44</v>
      </c>
      <c r="B1388" s="33" t="s">
        <v>1745</v>
      </c>
      <c r="C1388" s="33">
        <v>112059</v>
      </c>
      <c r="D1388" s="33" t="s">
        <v>1745</v>
      </c>
      <c r="E1388" s="33">
        <v>1470</v>
      </c>
      <c r="F1388" s="33" t="s">
        <v>26</v>
      </c>
      <c r="G1388" s="33" t="s">
        <v>1746</v>
      </c>
      <c r="H1388" s="34">
        <v>46175</v>
      </c>
      <c r="I1388" t="s">
        <v>14</v>
      </c>
      <c r="J1388">
        <f>VLOOKUP(E1388,'Room Count'!A$2:B$2616,2,FALSE)</f>
        <v>99</v>
      </c>
    </row>
    <row r="1389" spans="1:10" hidden="1">
      <c r="A1389" s="33" t="s">
        <v>44</v>
      </c>
      <c r="B1389" s="33" t="s">
        <v>1747</v>
      </c>
      <c r="C1389" s="33">
        <v>112029</v>
      </c>
      <c r="D1389" s="33" t="s">
        <v>1747</v>
      </c>
      <c r="E1389" s="33">
        <v>1455</v>
      </c>
      <c r="F1389" s="33" t="s">
        <v>26</v>
      </c>
      <c r="G1389" s="33" t="s">
        <v>1748</v>
      </c>
      <c r="H1389" s="34">
        <v>46175</v>
      </c>
      <c r="I1389" t="s">
        <v>14</v>
      </c>
      <c r="J1389">
        <f>VLOOKUP(E1389,'Room Count'!A$2:B$2616,2,FALSE)</f>
        <v>93</v>
      </c>
    </row>
    <row r="1390" spans="1:10" hidden="1">
      <c r="A1390" s="33" t="s">
        <v>44</v>
      </c>
      <c r="B1390" s="33" t="s">
        <v>1749</v>
      </c>
      <c r="C1390" s="33">
        <v>112077</v>
      </c>
      <c r="D1390" s="33" t="s">
        <v>1749</v>
      </c>
      <c r="E1390" s="33">
        <v>1479</v>
      </c>
      <c r="F1390" s="33" t="s">
        <v>26</v>
      </c>
      <c r="G1390" s="33" t="s">
        <v>1750</v>
      </c>
      <c r="H1390" s="34">
        <v>46175</v>
      </c>
      <c r="I1390" t="s">
        <v>14</v>
      </c>
      <c r="J1390">
        <f>VLOOKUP(E1390,'Room Count'!A$2:B$2616,2,FALSE)</f>
        <v>79</v>
      </c>
    </row>
    <row r="1391" spans="1:10" hidden="1">
      <c r="A1391" s="33" t="s">
        <v>44</v>
      </c>
      <c r="B1391" s="33" t="s">
        <v>1751</v>
      </c>
      <c r="C1391" s="33">
        <v>112247</v>
      </c>
      <c r="D1391" s="33" t="s">
        <v>1751</v>
      </c>
      <c r="E1391" s="33">
        <v>1564</v>
      </c>
      <c r="F1391" s="33" t="s">
        <v>26</v>
      </c>
      <c r="G1391" s="33" t="s">
        <v>1752</v>
      </c>
      <c r="H1391" s="34">
        <v>46175</v>
      </c>
      <c r="I1391" t="s">
        <v>14</v>
      </c>
      <c r="J1391">
        <f>VLOOKUP(E1391,'Room Count'!A$2:B$2616,2,FALSE)</f>
        <v>90</v>
      </c>
    </row>
    <row r="1392" spans="1:10" hidden="1">
      <c r="A1392" s="33" t="s">
        <v>44</v>
      </c>
      <c r="B1392" s="33" t="s">
        <v>1753</v>
      </c>
      <c r="C1392" s="33">
        <v>112055</v>
      </c>
      <c r="D1392" s="33" t="s">
        <v>1753</v>
      </c>
      <c r="E1392" s="33">
        <v>1468</v>
      </c>
      <c r="F1392" s="33" t="s">
        <v>26</v>
      </c>
      <c r="G1392" s="33" t="s">
        <v>1754</v>
      </c>
      <c r="H1392" s="34">
        <v>46175</v>
      </c>
      <c r="I1392" t="s">
        <v>14</v>
      </c>
      <c r="J1392">
        <f>VLOOKUP(E1392,'Room Count'!A$2:B$2616,2,FALSE)</f>
        <v>139</v>
      </c>
    </row>
    <row r="1393" spans="1:10" hidden="1">
      <c r="A1393" s="33" t="s">
        <v>44</v>
      </c>
      <c r="B1393" s="33" t="s">
        <v>1755</v>
      </c>
      <c r="C1393" s="33">
        <v>112223</v>
      </c>
      <c r="D1393" s="33" t="s">
        <v>1755</v>
      </c>
      <c r="E1393" s="33">
        <v>1552</v>
      </c>
      <c r="F1393" s="33" t="s">
        <v>26</v>
      </c>
      <c r="G1393" s="33" t="s">
        <v>1756</v>
      </c>
      <c r="H1393" s="34">
        <v>46175</v>
      </c>
      <c r="I1393" t="s">
        <v>14</v>
      </c>
      <c r="J1393">
        <f>VLOOKUP(E1393,'Room Count'!A$2:B$2616,2,FALSE)</f>
        <v>138</v>
      </c>
    </row>
    <row r="1394" spans="1:10" hidden="1">
      <c r="A1394" s="33" t="s">
        <v>44</v>
      </c>
      <c r="B1394" s="33" t="s">
        <v>1757</v>
      </c>
      <c r="C1394" s="33">
        <v>112195</v>
      </c>
      <c r="D1394" s="33" t="s">
        <v>1757</v>
      </c>
      <c r="E1394" s="33">
        <v>1538</v>
      </c>
      <c r="F1394" s="33" t="s">
        <v>26</v>
      </c>
      <c r="G1394" s="33" t="s">
        <v>1758</v>
      </c>
      <c r="H1394" s="34">
        <v>46175</v>
      </c>
      <c r="I1394" t="s">
        <v>14</v>
      </c>
      <c r="J1394">
        <f>VLOOKUP(E1394,'Room Count'!A$2:B$2616,2,FALSE)</f>
        <v>129</v>
      </c>
    </row>
    <row r="1395" spans="1:10" hidden="1">
      <c r="A1395" s="33" t="s">
        <v>44</v>
      </c>
      <c r="B1395" s="33" t="s">
        <v>1759</v>
      </c>
      <c r="C1395" s="33">
        <v>112115</v>
      </c>
      <c r="D1395" s="33" t="s">
        <v>1759</v>
      </c>
      <c r="E1395" s="33">
        <v>1498</v>
      </c>
      <c r="F1395" s="33" t="s">
        <v>26</v>
      </c>
      <c r="G1395" s="33" t="s">
        <v>1760</v>
      </c>
      <c r="H1395" s="34">
        <v>46175</v>
      </c>
      <c r="I1395" t="s">
        <v>14</v>
      </c>
      <c r="J1395">
        <f>VLOOKUP(E1395,'Room Count'!A$2:B$2616,2,FALSE)</f>
        <v>110</v>
      </c>
    </row>
    <row r="1396" spans="1:10" hidden="1">
      <c r="A1396" s="33" t="s">
        <v>44</v>
      </c>
      <c r="B1396" s="33" t="s">
        <v>1761</v>
      </c>
      <c r="C1396" s="33">
        <v>112003</v>
      </c>
      <c r="D1396" s="33" t="s">
        <v>1761</v>
      </c>
      <c r="E1396" s="33">
        <v>1442</v>
      </c>
      <c r="F1396" s="33" t="s">
        <v>26</v>
      </c>
      <c r="G1396" s="33" t="s">
        <v>1762</v>
      </c>
      <c r="H1396" s="34">
        <v>46175</v>
      </c>
      <c r="I1396" t="s">
        <v>14</v>
      </c>
      <c r="J1396">
        <f>VLOOKUP(E1396,'Room Count'!A$2:B$2616,2,FALSE)</f>
        <v>82</v>
      </c>
    </row>
    <row r="1397" spans="1:10" hidden="1">
      <c r="A1397" s="33" t="s">
        <v>44</v>
      </c>
      <c r="B1397" s="33" t="s">
        <v>1763</v>
      </c>
      <c r="C1397" s="33">
        <v>112085</v>
      </c>
      <c r="D1397" s="33" t="s">
        <v>1763</v>
      </c>
      <c r="E1397" s="33">
        <v>1483</v>
      </c>
      <c r="F1397" s="33" t="s">
        <v>26</v>
      </c>
      <c r="G1397" s="33" t="s">
        <v>1764</v>
      </c>
      <c r="H1397" s="34">
        <v>46175</v>
      </c>
      <c r="I1397" t="s">
        <v>14</v>
      </c>
      <c r="J1397">
        <f>VLOOKUP(E1397,'Room Count'!A$2:B$2616,2,FALSE)</f>
        <v>121</v>
      </c>
    </row>
    <row r="1398" spans="1:10" hidden="1">
      <c r="A1398" s="33" t="s">
        <v>44</v>
      </c>
      <c r="B1398" s="33" t="s">
        <v>1765</v>
      </c>
      <c r="C1398" s="33">
        <v>112265</v>
      </c>
      <c r="D1398" s="33" t="s">
        <v>1765</v>
      </c>
      <c r="E1398" s="33">
        <v>1573</v>
      </c>
      <c r="F1398" s="33" t="s">
        <v>26</v>
      </c>
      <c r="G1398" s="33" t="s">
        <v>1766</v>
      </c>
      <c r="H1398" s="34">
        <v>46175</v>
      </c>
      <c r="I1398" t="s">
        <v>14</v>
      </c>
      <c r="J1398">
        <f>VLOOKUP(E1398,'Room Count'!A$2:B$2616,2,FALSE)</f>
        <v>90</v>
      </c>
    </row>
    <row r="1399" spans="1:10" hidden="1">
      <c r="A1399" s="33" t="s">
        <v>44</v>
      </c>
      <c r="B1399" s="33" t="s">
        <v>1767</v>
      </c>
      <c r="C1399" s="33">
        <v>112161</v>
      </c>
      <c r="D1399" s="33" t="s">
        <v>1767</v>
      </c>
      <c r="E1399" s="33">
        <v>1521</v>
      </c>
      <c r="F1399" s="33" t="s">
        <v>26</v>
      </c>
      <c r="G1399" s="33" t="s">
        <v>1768</v>
      </c>
      <c r="H1399" s="34">
        <v>46175</v>
      </c>
      <c r="I1399" t="s">
        <v>14</v>
      </c>
      <c r="J1399">
        <f>VLOOKUP(E1399,'Room Count'!A$2:B$2616,2,FALSE)</f>
        <v>90</v>
      </c>
    </row>
    <row r="1400" spans="1:10" hidden="1">
      <c r="A1400" s="33" t="s">
        <v>44</v>
      </c>
      <c r="B1400" s="33" t="s">
        <v>1769</v>
      </c>
      <c r="C1400" s="33">
        <v>112171</v>
      </c>
      <c r="D1400" s="33" t="s">
        <v>1769</v>
      </c>
      <c r="E1400" s="33">
        <v>1526</v>
      </c>
      <c r="F1400" s="33" t="s">
        <v>26</v>
      </c>
      <c r="G1400" s="33" t="s">
        <v>1770</v>
      </c>
      <c r="H1400" s="34">
        <v>46175</v>
      </c>
      <c r="I1400" t="s">
        <v>14</v>
      </c>
      <c r="J1400">
        <f>VLOOKUP(E1400,'Room Count'!A$2:B$2616,2,FALSE)</f>
        <v>124</v>
      </c>
    </row>
    <row r="1401" spans="1:10" hidden="1">
      <c r="A1401" s="33" t="s">
        <v>44</v>
      </c>
      <c r="B1401" s="33" t="s">
        <v>1771</v>
      </c>
      <c r="C1401" s="33">
        <v>112177</v>
      </c>
      <c r="D1401" s="33" t="s">
        <v>1771</v>
      </c>
      <c r="E1401" s="33">
        <v>1529</v>
      </c>
      <c r="F1401" s="33" t="s">
        <v>26</v>
      </c>
      <c r="G1401" s="33" t="s">
        <v>1772</v>
      </c>
      <c r="H1401" s="34">
        <v>46175</v>
      </c>
      <c r="I1401" t="s">
        <v>14</v>
      </c>
      <c r="J1401">
        <f>VLOOKUP(E1401,'Room Count'!A$2:B$2616,2,FALSE)</f>
        <v>150</v>
      </c>
    </row>
    <row r="1402" spans="1:10" hidden="1">
      <c r="A1402" s="33" t="s">
        <v>44</v>
      </c>
      <c r="B1402" s="33" t="s">
        <v>1773</v>
      </c>
      <c r="C1402" s="33">
        <v>112111</v>
      </c>
      <c r="D1402" s="33" t="s">
        <v>1773</v>
      </c>
      <c r="E1402" s="33">
        <v>1496</v>
      </c>
      <c r="F1402" s="33" t="s">
        <v>26</v>
      </c>
      <c r="G1402" s="33" t="s">
        <v>1774</v>
      </c>
      <c r="H1402" s="34">
        <v>46175</v>
      </c>
      <c r="I1402" t="s">
        <v>14</v>
      </c>
      <c r="J1402">
        <f>VLOOKUP(E1402,'Room Count'!A$2:B$2616,2,FALSE)</f>
        <v>83</v>
      </c>
    </row>
    <row r="1403" spans="1:10" hidden="1">
      <c r="A1403" s="33" t="s">
        <v>44</v>
      </c>
      <c r="B1403" s="33" t="s">
        <v>1775</v>
      </c>
      <c r="C1403" s="33">
        <v>112157</v>
      </c>
      <c r="D1403" s="33" t="s">
        <v>1775</v>
      </c>
      <c r="E1403" s="33">
        <v>1519</v>
      </c>
      <c r="F1403" s="33" t="s">
        <v>26</v>
      </c>
      <c r="G1403" s="33" t="s">
        <v>1776</v>
      </c>
      <c r="H1403" s="34">
        <v>46175</v>
      </c>
      <c r="I1403" t="s">
        <v>14</v>
      </c>
      <c r="J1403">
        <f>VLOOKUP(E1403,'Room Count'!A$2:B$2616,2,FALSE)</f>
        <v>83</v>
      </c>
    </row>
    <row r="1404" spans="1:10" hidden="1">
      <c r="A1404" s="33" t="s">
        <v>44</v>
      </c>
      <c r="B1404" s="33" t="s">
        <v>1777</v>
      </c>
      <c r="C1404" s="33">
        <v>112203</v>
      </c>
      <c r="D1404" s="33" t="s">
        <v>1777</v>
      </c>
      <c r="E1404" s="33">
        <v>1542</v>
      </c>
      <c r="F1404" s="33" t="s">
        <v>26</v>
      </c>
      <c r="G1404" s="33" t="s">
        <v>1778</v>
      </c>
      <c r="H1404" s="34">
        <v>46175</v>
      </c>
      <c r="I1404" t="s">
        <v>14</v>
      </c>
      <c r="J1404">
        <f>VLOOKUP(E1404,'Room Count'!A$2:B$2616,2,FALSE)</f>
        <v>135</v>
      </c>
    </row>
    <row r="1405" spans="1:10" hidden="1">
      <c r="A1405" s="33" t="s">
        <v>44</v>
      </c>
      <c r="B1405" s="33" t="s">
        <v>1779</v>
      </c>
      <c r="C1405" s="33">
        <v>112281</v>
      </c>
      <c r="D1405" s="33" t="s">
        <v>1779</v>
      </c>
      <c r="E1405" s="33">
        <v>1581</v>
      </c>
      <c r="F1405" s="33" t="s">
        <v>26</v>
      </c>
      <c r="G1405" s="33" t="s">
        <v>1780</v>
      </c>
      <c r="H1405" s="34">
        <v>46175</v>
      </c>
      <c r="I1405" t="s">
        <v>14</v>
      </c>
      <c r="J1405">
        <f>VLOOKUP(E1405,'Room Count'!A$2:B$2616,2,FALSE)</f>
        <v>80</v>
      </c>
    </row>
    <row r="1406" spans="1:10" hidden="1">
      <c r="A1406" s="33" t="s">
        <v>44</v>
      </c>
      <c r="B1406" s="33" t="s">
        <v>1781</v>
      </c>
      <c r="C1406" s="33">
        <v>112233</v>
      </c>
      <c r="D1406" s="33" t="s">
        <v>1781</v>
      </c>
      <c r="E1406" s="33">
        <v>1557</v>
      </c>
      <c r="F1406" s="33" t="s">
        <v>26</v>
      </c>
      <c r="G1406" s="33" t="s">
        <v>1782</v>
      </c>
      <c r="H1406" s="34">
        <v>46175</v>
      </c>
      <c r="I1406" t="s">
        <v>14</v>
      </c>
      <c r="J1406">
        <f>VLOOKUP(E1406,'Room Count'!A$2:B$2616,2,FALSE)</f>
        <v>137</v>
      </c>
    </row>
    <row r="1407" spans="1:10" hidden="1">
      <c r="A1407" s="33" t="s">
        <v>44</v>
      </c>
      <c r="B1407" s="33" t="s">
        <v>1783</v>
      </c>
      <c r="C1407" s="33">
        <v>112039</v>
      </c>
      <c r="D1407" s="33" t="s">
        <v>1783</v>
      </c>
      <c r="E1407" s="33">
        <v>1460</v>
      </c>
      <c r="F1407" s="33" t="s">
        <v>26</v>
      </c>
      <c r="G1407" s="33" t="s">
        <v>1784</v>
      </c>
      <c r="H1407" s="34">
        <v>46175</v>
      </c>
      <c r="I1407" t="s">
        <v>14</v>
      </c>
      <c r="J1407">
        <f>VLOOKUP(E1407,'Room Count'!A$2:B$2616,2,FALSE)</f>
        <v>79</v>
      </c>
    </row>
    <row r="1408" spans="1:10" hidden="1">
      <c r="A1408" s="33" t="s">
        <v>44</v>
      </c>
      <c r="B1408" s="33" t="s">
        <v>1785</v>
      </c>
      <c r="C1408" s="33">
        <v>112261</v>
      </c>
      <c r="D1408" s="33" t="s">
        <v>1785</v>
      </c>
      <c r="E1408" s="33">
        <v>1571</v>
      </c>
      <c r="F1408" s="33" t="s">
        <v>26</v>
      </c>
      <c r="G1408" s="33" t="s">
        <v>1786</v>
      </c>
      <c r="H1408" s="34">
        <v>46175</v>
      </c>
      <c r="I1408" t="s">
        <v>14</v>
      </c>
      <c r="J1408">
        <f>VLOOKUP(E1408,'Room Count'!A$2:B$2616,2,FALSE)</f>
        <v>90</v>
      </c>
    </row>
    <row r="1409" spans="1:10" hidden="1">
      <c r="A1409" s="33" t="s">
        <v>44</v>
      </c>
      <c r="B1409" s="33" t="s">
        <v>1787</v>
      </c>
      <c r="C1409" s="33">
        <v>112237</v>
      </c>
      <c r="D1409" s="33" t="s">
        <v>1787</v>
      </c>
      <c r="E1409" s="33">
        <v>1559</v>
      </c>
      <c r="F1409" s="33" t="s">
        <v>26</v>
      </c>
      <c r="G1409" s="33" t="s">
        <v>1788</v>
      </c>
      <c r="H1409" s="34">
        <v>46175</v>
      </c>
      <c r="I1409" t="s">
        <v>14</v>
      </c>
      <c r="J1409">
        <f>VLOOKUP(E1409,'Room Count'!A$2:B$2616,2,FALSE)</f>
        <v>130</v>
      </c>
    </row>
    <row r="1410" spans="1:10" hidden="1">
      <c r="A1410" s="33" t="s">
        <v>44</v>
      </c>
      <c r="B1410" s="33" t="s">
        <v>1789</v>
      </c>
      <c r="C1410" s="33">
        <v>112167</v>
      </c>
      <c r="D1410" s="33" t="s">
        <v>1789</v>
      </c>
      <c r="E1410" s="33">
        <v>1524</v>
      </c>
      <c r="F1410" s="33" t="s">
        <v>26</v>
      </c>
      <c r="G1410" s="33" t="s">
        <v>1790</v>
      </c>
      <c r="H1410" s="34">
        <v>46175</v>
      </c>
      <c r="I1410" t="s">
        <v>14</v>
      </c>
      <c r="J1410">
        <f>VLOOKUP(E1410,'Room Count'!A$2:B$2616,2,FALSE)</f>
        <v>78</v>
      </c>
    </row>
    <row r="1411" spans="1:10" hidden="1">
      <c r="A1411" s="33" t="s">
        <v>44</v>
      </c>
      <c r="B1411" s="33" t="s">
        <v>1791</v>
      </c>
      <c r="C1411" s="33">
        <v>112275</v>
      </c>
      <c r="D1411" s="33" t="s">
        <v>1791</v>
      </c>
      <c r="E1411" s="33">
        <v>1578</v>
      </c>
      <c r="F1411" s="33" t="s">
        <v>26</v>
      </c>
      <c r="G1411" s="33" t="s">
        <v>1792</v>
      </c>
      <c r="H1411" s="34">
        <v>46175</v>
      </c>
      <c r="I1411" t="s">
        <v>14</v>
      </c>
      <c r="J1411">
        <f>VLOOKUP(E1411,'Room Count'!A$2:B$2616,2,FALSE)</f>
        <v>124</v>
      </c>
    </row>
    <row r="1412" spans="1:10" hidden="1">
      <c r="A1412" s="33" t="s">
        <v>44</v>
      </c>
      <c r="B1412" s="33" t="s">
        <v>1793</v>
      </c>
      <c r="C1412" s="33">
        <v>112121</v>
      </c>
      <c r="D1412" s="33" t="s">
        <v>1793</v>
      </c>
      <c r="E1412" s="33">
        <v>1501</v>
      </c>
      <c r="F1412" s="33" t="s">
        <v>26</v>
      </c>
      <c r="G1412" s="33" t="s">
        <v>1794</v>
      </c>
      <c r="H1412" s="34">
        <v>46175</v>
      </c>
      <c r="I1412" t="s">
        <v>14</v>
      </c>
      <c r="J1412">
        <f>VLOOKUP(E1412,'Room Count'!A$2:B$2616,2,FALSE)</f>
        <v>92</v>
      </c>
    </row>
    <row r="1413" spans="1:10" hidden="1">
      <c r="A1413" s="33" t="s">
        <v>44</v>
      </c>
      <c r="B1413" s="33" t="s">
        <v>1795</v>
      </c>
      <c r="C1413" s="33">
        <v>112127</v>
      </c>
      <c r="D1413" s="33" t="s">
        <v>1795</v>
      </c>
      <c r="E1413" s="33">
        <v>1504</v>
      </c>
      <c r="F1413" s="33" t="s">
        <v>26</v>
      </c>
      <c r="G1413" s="33" t="s">
        <v>1796</v>
      </c>
      <c r="H1413" s="34">
        <v>46175</v>
      </c>
      <c r="I1413" t="s">
        <v>14</v>
      </c>
      <c r="J1413">
        <f>VLOOKUP(E1413,'Room Count'!A$2:B$2616,2,FALSE)</f>
        <v>101</v>
      </c>
    </row>
    <row r="1414" spans="1:10" hidden="1">
      <c r="A1414" s="33" t="s">
        <v>44</v>
      </c>
      <c r="B1414" s="33" t="s">
        <v>1797</v>
      </c>
      <c r="C1414" s="33">
        <v>112145</v>
      </c>
      <c r="D1414" s="33" t="s">
        <v>1797</v>
      </c>
      <c r="E1414" s="33">
        <v>1513</v>
      </c>
      <c r="F1414" s="33" t="s">
        <v>26</v>
      </c>
      <c r="G1414" s="33" t="s">
        <v>1798</v>
      </c>
      <c r="H1414" s="34">
        <v>46175</v>
      </c>
      <c r="I1414" t="s">
        <v>14</v>
      </c>
      <c r="J1414">
        <f>VLOOKUP(E1414,'Room Count'!A$2:B$2616,2,FALSE)</f>
        <v>99</v>
      </c>
    </row>
    <row r="1415" spans="1:10" hidden="1">
      <c r="A1415" s="33" t="s">
        <v>44</v>
      </c>
      <c r="B1415" s="33" t="s">
        <v>1799</v>
      </c>
      <c r="C1415" s="33">
        <v>112019</v>
      </c>
      <c r="D1415" s="33" t="s">
        <v>1799</v>
      </c>
      <c r="E1415" s="33">
        <v>1450</v>
      </c>
      <c r="F1415" s="33" t="s">
        <v>26</v>
      </c>
      <c r="G1415" s="33" t="s">
        <v>1800</v>
      </c>
      <c r="H1415" s="34">
        <v>46175</v>
      </c>
      <c r="I1415" t="s">
        <v>14</v>
      </c>
      <c r="J1415">
        <f>VLOOKUP(E1415,'Room Count'!A$2:B$2616,2,FALSE)</f>
        <v>78</v>
      </c>
    </row>
    <row r="1416" spans="1:10" hidden="1">
      <c r="A1416" s="33" t="s">
        <v>44</v>
      </c>
      <c r="B1416" s="33" t="s">
        <v>1801</v>
      </c>
      <c r="C1416" s="33">
        <v>112125</v>
      </c>
      <c r="D1416" s="33" t="s">
        <v>1801</v>
      </c>
      <c r="E1416" s="33">
        <v>1503</v>
      </c>
      <c r="F1416" s="33" t="s">
        <v>26</v>
      </c>
      <c r="G1416" s="33" t="s">
        <v>1802</v>
      </c>
      <c r="H1416" s="34">
        <v>46175</v>
      </c>
      <c r="I1416" t="s">
        <v>14</v>
      </c>
      <c r="J1416">
        <f>VLOOKUP(E1416,'Room Count'!A$2:B$2616,2,FALSE)</f>
        <v>118</v>
      </c>
    </row>
    <row r="1417" spans="1:10" hidden="1">
      <c r="A1417" s="33" t="s">
        <v>44</v>
      </c>
      <c r="B1417" s="33" t="s">
        <v>1803</v>
      </c>
      <c r="C1417" s="33">
        <v>112091</v>
      </c>
      <c r="D1417" s="33" t="s">
        <v>1803</v>
      </c>
      <c r="E1417" s="33">
        <v>1486</v>
      </c>
      <c r="F1417" s="33" t="s">
        <v>26</v>
      </c>
      <c r="G1417" s="33" t="s">
        <v>1804</v>
      </c>
      <c r="H1417" s="34">
        <v>46175</v>
      </c>
      <c r="I1417" t="s">
        <v>14</v>
      </c>
      <c r="J1417">
        <f>VLOOKUP(E1417,'Room Count'!A$2:B$2616,2,FALSE)</f>
        <v>95</v>
      </c>
    </row>
    <row r="1418" spans="1:10" hidden="1">
      <c r="A1418" s="33" t="s">
        <v>44</v>
      </c>
      <c r="B1418" s="33" t="s">
        <v>1805</v>
      </c>
      <c r="C1418" s="33">
        <v>112193</v>
      </c>
      <c r="D1418" s="33" t="s">
        <v>1805</v>
      </c>
      <c r="E1418" s="33">
        <v>1537</v>
      </c>
      <c r="F1418" s="33" t="s">
        <v>26</v>
      </c>
      <c r="G1418" s="33" t="s">
        <v>1806</v>
      </c>
      <c r="H1418" s="34">
        <v>46175</v>
      </c>
      <c r="I1418" t="s">
        <v>14</v>
      </c>
      <c r="J1418">
        <f>VLOOKUP(E1418,'Room Count'!A$2:B$2616,2,FALSE)</f>
        <v>79</v>
      </c>
    </row>
    <row r="1419" spans="1:10" hidden="1">
      <c r="A1419" s="33" t="s">
        <v>44</v>
      </c>
      <c r="B1419" s="33" t="s">
        <v>1807</v>
      </c>
      <c r="C1419" s="33">
        <v>112031</v>
      </c>
      <c r="D1419" s="33" t="s">
        <v>1807</v>
      </c>
      <c r="E1419" s="33">
        <v>1456</v>
      </c>
      <c r="F1419" s="33" t="s">
        <v>26</v>
      </c>
      <c r="G1419" s="33" t="s">
        <v>1808</v>
      </c>
      <c r="H1419" s="34">
        <v>46175</v>
      </c>
      <c r="I1419" t="s">
        <v>14</v>
      </c>
      <c r="J1419">
        <f>VLOOKUP(E1419,'Room Count'!A$2:B$2616,2,FALSE)</f>
        <v>82</v>
      </c>
    </row>
    <row r="1420" spans="1:10" hidden="1">
      <c r="A1420" s="33" t="s">
        <v>44</v>
      </c>
      <c r="B1420" s="33" t="s">
        <v>1809</v>
      </c>
      <c r="C1420" s="33">
        <v>112023</v>
      </c>
      <c r="D1420" s="33" t="s">
        <v>1809</v>
      </c>
      <c r="E1420" s="33">
        <v>1452</v>
      </c>
      <c r="F1420" s="33" t="s">
        <v>26</v>
      </c>
      <c r="G1420" s="33" t="s">
        <v>1810</v>
      </c>
      <c r="H1420" s="34">
        <v>46175</v>
      </c>
      <c r="I1420" t="s">
        <v>14</v>
      </c>
      <c r="J1420">
        <f>VLOOKUP(E1420,'Room Count'!A$2:B$2616,2,FALSE)</f>
        <v>109</v>
      </c>
    </row>
    <row r="1421" spans="1:10" hidden="1">
      <c r="A1421" s="33" t="s">
        <v>44</v>
      </c>
      <c r="B1421" s="33" t="s">
        <v>1811</v>
      </c>
      <c r="C1421" s="33">
        <v>112227</v>
      </c>
      <c r="D1421" s="33" t="s">
        <v>1811</v>
      </c>
      <c r="E1421" s="33">
        <v>1554</v>
      </c>
      <c r="F1421" s="33" t="s">
        <v>26</v>
      </c>
      <c r="G1421" s="33" t="s">
        <v>1812</v>
      </c>
      <c r="H1421" s="34">
        <v>46175</v>
      </c>
      <c r="I1421" t="s">
        <v>14</v>
      </c>
      <c r="J1421">
        <f>VLOOKUP(E1421,'Room Count'!A$2:B$2616,2,FALSE)</f>
        <v>79</v>
      </c>
    </row>
    <row r="1422" spans="1:10" hidden="1">
      <c r="A1422" s="33" t="s">
        <v>44</v>
      </c>
      <c r="B1422" s="33" t="s">
        <v>1813</v>
      </c>
      <c r="C1422" s="33">
        <v>112207</v>
      </c>
      <c r="D1422" s="33" t="s">
        <v>1813</v>
      </c>
      <c r="E1422" s="33">
        <v>1544</v>
      </c>
      <c r="F1422" s="33" t="s">
        <v>26</v>
      </c>
      <c r="G1422" s="33" t="s">
        <v>1814</v>
      </c>
      <c r="H1422" s="34">
        <v>46175</v>
      </c>
      <c r="I1422" t="s">
        <v>14</v>
      </c>
      <c r="J1422">
        <f>VLOOKUP(E1422,'Room Count'!A$2:B$2616,2,FALSE)</f>
        <v>107</v>
      </c>
    </row>
    <row r="1423" spans="1:10" hidden="1">
      <c r="A1423" s="33" t="s">
        <v>44</v>
      </c>
      <c r="B1423" s="33" t="s">
        <v>1815</v>
      </c>
      <c r="C1423" s="33">
        <v>112053</v>
      </c>
      <c r="D1423" s="33" t="s">
        <v>1815</v>
      </c>
      <c r="E1423" s="33">
        <v>1467</v>
      </c>
      <c r="F1423" s="33" t="s">
        <v>26</v>
      </c>
      <c r="G1423" s="33" t="s">
        <v>1816</v>
      </c>
      <c r="H1423" s="34">
        <v>46175</v>
      </c>
      <c r="I1423" t="s">
        <v>14</v>
      </c>
      <c r="J1423">
        <f>VLOOKUP(E1423,'Room Count'!A$2:B$2616,2,FALSE)</f>
        <v>73</v>
      </c>
    </row>
    <row r="1424" spans="1:10" hidden="1">
      <c r="A1424" s="33" t="s">
        <v>44</v>
      </c>
      <c r="B1424" s="33" t="s">
        <v>1817</v>
      </c>
      <c r="C1424" s="33">
        <v>112079</v>
      </c>
      <c r="D1424" s="33" t="s">
        <v>1817</v>
      </c>
      <c r="E1424" s="33">
        <v>1480</v>
      </c>
      <c r="F1424" s="33" t="s">
        <v>26</v>
      </c>
      <c r="G1424" s="33" t="s">
        <v>1818</v>
      </c>
      <c r="H1424" s="34">
        <v>46175</v>
      </c>
      <c r="I1424" t="s">
        <v>14</v>
      </c>
      <c r="J1424">
        <f>VLOOKUP(E1424,'Room Count'!A$2:B$2616,2,FALSE)</f>
        <v>80</v>
      </c>
    </row>
    <row r="1425" spans="1:10" hidden="1">
      <c r="A1425" s="33" t="s">
        <v>44</v>
      </c>
      <c r="B1425" s="33" t="s">
        <v>1819</v>
      </c>
      <c r="C1425" s="33">
        <v>112051</v>
      </c>
      <c r="D1425" s="33" t="s">
        <v>1819</v>
      </c>
      <c r="E1425" s="33">
        <v>1466</v>
      </c>
      <c r="F1425" s="33" t="s">
        <v>26</v>
      </c>
      <c r="G1425" s="33" t="s">
        <v>1820</v>
      </c>
      <c r="H1425" s="34">
        <v>46175</v>
      </c>
      <c r="I1425" t="s">
        <v>14</v>
      </c>
      <c r="J1425">
        <f>VLOOKUP(E1425,'Room Count'!A$2:B$2616,2,FALSE)</f>
        <v>84</v>
      </c>
    </row>
    <row r="1426" spans="1:10" hidden="1">
      <c r="A1426" s="33" t="s">
        <v>44</v>
      </c>
      <c r="B1426" s="33" t="s">
        <v>1821</v>
      </c>
      <c r="C1426" s="33">
        <v>112139</v>
      </c>
      <c r="D1426" s="33" t="s">
        <v>1821</v>
      </c>
      <c r="E1426" s="33">
        <v>1510</v>
      </c>
      <c r="F1426" s="33" t="s">
        <v>26</v>
      </c>
      <c r="G1426" s="33" t="s">
        <v>1822</v>
      </c>
      <c r="H1426" s="34">
        <v>46175</v>
      </c>
      <c r="I1426" t="s">
        <v>14</v>
      </c>
      <c r="J1426">
        <f>VLOOKUP(E1426,'Room Count'!A$2:B$2616,2,FALSE)</f>
        <v>214</v>
      </c>
    </row>
    <row r="1427" spans="1:10" hidden="1">
      <c r="A1427" s="33" t="s">
        <v>44</v>
      </c>
      <c r="B1427" s="33" t="s">
        <v>1823</v>
      </c>
      <c r="C1427" s="33">
        <v>112191</v>
      </c>
      <c r="D1427" s="33" t="s">
        <v>1823</v>
      </c>
      <c r="E1427" s="33">
        <v>1536</v>
      </c>
      <c r="F1427" s="33" t="s">
        <v>26</v>
      </c>
      <c r="G1427" s="33" t="s">
        <v>1824</v>
      </c>
      <c r="H1427" s="34">
        <v>46175</v>
      </c>
      <c r="I1427" t="s">
        <v>14</v>
      </c>
      <c r="J1427">
        <f>VLOOKUP(E1427,'Room Count'!A$2:B$2616,2,FALSE)</f>
        <v>100</v>
      </c>
    </row>
    <row r="1428" spans="1:10" hidden="1">
      <c r="A1428" s="33" t="s">
        <v>44</v>
      </c>
      <c r="B1428" s="33" t="s">
        <v>1825</v>
      </c>
      <c r="C1428" s="33">
        <v>112239</v>
      </c>
      <c r="D1428" s="33" t="s">
        <v>1825</v>
      </c>
      <c r="E1428" s="33">
        <v>1560</v>
      </c>
      <c r="F1428" s="33" t="s">
        <v>26</v>
      </c>
      <c r="G1428" s="33" t="s">
        <v>1826</v>
      </c>
      <c r="H1428" s="34">
        <v>46175</v>
      </c>
      <c r="I1428" t="s">
        <v>14</v>
      </c>
      <c r="J1428">
        <f>VLOOKUP(E1428,'Room Count'!A$2:B$2616,2,FALSE)</f>
        <v>122</v>
      </c>
    </row>
    <row r="1429" spans="1:10" hidden="1">
      <c r="A1429" s="33" t="s">
        <v>44</v>
      </c>
      <c r="B1429" s="33" t="s">
        <v>1827</v>
      </c>
      <c r="C1429" s="33">
        <v>112149</v>
      </c>
      <c r="D1429" s="33" t="s">
        <v>1827</v>
      </c>
      <c r="E1429" s="33">
        <v>1515</v>
      </c>
      <c r="F1429" s="33" t="s">
        <v>26</v>
      </c>
      <c r="G1429" s="33" t="s">
        <v>1828</v>
      </c>
      <c r="H1429" s="34">
        <v>46175</v>
      </c>
      <c r="I1429" t="s">
        <v>14</v>
      </c>
      <c r="J1429">
        <f>VLOOKUP(E1429,'Room Count'!A$2:B$2616,2,FALSE)</f>
        <v>128</v>
      </c>
    </row>
    <row r="1430" spans="1:10" hidden="1">
      <c r="A1430" s="33" t="s">
        <v>44</v>
      </c>
      <c r="B1430" s="33" t="s">
        <v>1829</v>
      </c>
      <c r="C1430" s="33">
        <v>112093</v>
      </c>
      <c r="D1430" s="33" t="s">
        <v>1829</v>
      </c>
      <c r="E1430" s="33">
        <v>1487</v>
      </c>
      <c r="F1430" s="33" t="s">
        <v>26</v>
      </c>
      <c r="G1430" s="33" t="s">
        <v>1830</v>
      </c>
      <c r="H1430" s="34">
        <v>46175</v>
      </c>
      <c r="I1430" t="s">
        <v>14</v>
      </c>
      <c r="J1430">
        <f>VLOOKUP(E1430,'Room Count'!A$2:B$2616,2,FALSE)</f>
        <v>87</v>
      </c>
    </row>
    <row r="1431" spans="1:10" hidden="1">
      <c r="A1431" s="33" t="s">
        <v>44</v>
      </c>
      <c r="B1431" s="33" t="s">
        <v>1831</v>
      </c>
      <c r="C1431" s="33">
        <v>112001</v>
      </c>
      <c r="D1431" s="33" t="s">
        <v>1831</v>
      </c>
      <c r="E1431" s="33">
        <v>1441</v>
      </c>
      <c r="F1431" s="33" t="s">
        <v>26</v>
      </c>
      <c r="G1431" s="33" t="s">
        <v>1832</v>
      </c>
      <c r="H1431" s="34">
        <v>46175</v>
      </c>
      <c r="I1431" t="s">
        <v>14</v>
      </c>
      <c r="J1431">
        <f>VLOOKUP(E1431,'Room Count'!A$2:B$2616,2,FALSE)</f>
        <v>94</v>
      </c>
    </row>
    <row r="1432" spans="1:10" hidden="1">
      <c r="A1432" s="33" t="s">
        <v>44</v>
      </c>
      <c r="B1432" s="33" t="s">
        <v>1833</v>
      </c>
      <c r="C1432" s="33">
        <v>112213</v>
      </c>
      <c r="D1432" s="33" t="s">
        <v>1833</v>
      </c>
      <c r="E1432" s="33">
        <v>1547</v>
      </c>
      <c r="F1432" s="33" t="s">
        <v>26</v>
      </c>
      <c r="G1432" s="33" t="s">
        <v>1834</v>
      </c>
      <c r="H1432" s="34">
        <v>46175</v>
      </c>
      <c r="I1432" t="s">
        <v>14</v>
      </c>
      <c r="J1432">
        <f>VLOOKUP(E1432,'Room Count'!A$2:B$2616,2,FALSE)</f>
        <v>83</v>
      </c>
    </row>
    <row r="1433" spans="1:10" hidden="1">
      <c r="A1433" s="33" t="s">
        <v>44</v>
      </c>
      <c r="B1433" s="33" t="s">
        <v>1835</v>
      </c>
      <c r="C1433" s="33">
        <v>112231</v>
      </c>
      <c r="D1433" s="33" t="s">
        <v>1835</v>
      </c>
      <c r="E1433" s="33">
        <v>1556</v>
      </c>
      <c r="F1433" s="33" t="s">
        <v>26</v>
      </c>
      <c r="G1433" s="33" t="s">
        <v>1836</v>
      </c>
      <c r="H1433" s="34">
        <v>46175</v>
      </c>
      <c r="I1433" t="s">
        <v>14</v>
      </c>
      <c r="J1433">
        <f>VLOOKUP(E1433,'Room Count'!A$2:B$2616,2,FALSE)</f>
        <v>110</v>
      </c>
    </row>
    <row r="1434" spans="1:10" hidden="1">
      <c r="A1434" s="33" t="s">
        <v>44</v>
      </c>
      <c r="B1434" s="33" t="s">
        <v>1837</v>
      </c>
      <c r="C1434" s="33">
        <v>112229</v>
      </c>
      <c r="D1434" s="33" t="s">
        <v>1837</v>
      </c>
      <c r="E1434" s="33">
        <v>1555</v>
      </c>
      <c r="F1434" s="33" t="s">
        <v>26</v>
      </c>
      <c r="G1434" s="33" t="s">
        <v>1838</v>
      </c>
      <c r="H1434" s="34">
        <v>46175</v>
      </c>
      <c r="I1434" t="s">
        <v>14</v>
      </c>
      <c r="J1434">
        <f>VLOOKUP(E1434,'Room Count'!A$2:B$2616,2,FALSE)</f>
        <v>91</v>
      </c>
    </row>
    <row r="1435" spans="1:10" hidden="1">
      <c r="A1435" s="33" t="s">
        <v>44</v>
      </c>
      <c r="B1435" s="33" t="s">
        <v>1839</v>
      </c>
      <c r="C1435" s="33">
        <v>112135</v>
      </c>
      <c r="D1435" s="33" t="s">
        <v>1839</v>
      </c>
      <c r="E1435" s="33">
        <v>1508</v>
      </c>
      <c r="F1435" s="33" t="s">
        <v>26</v>
      </c>
      <c r="G1435" s="33" t="s">
        <v>1840</v>
      </c>
      <c r="H1435" s="34">
        <v>46175</v>
      </c>
      <c r="I1435" t="s">
        <v>14</v>
      </c>
      <c r="J1435">
        <f>VLOOKUP(E1435,'Room Count'!A$2:B$2616,2,FALSE)</f>
        <v>95</v>
      </c>
    </row>
    <row r="1436" spans="1:10" hidden="1">
      <c r="A1436" s="33" t="s">
        <v>44</v>
      </c>
      <c r="B1436" s="33" t="s">
        <v>1841</v>
      </c>
      <c r="C1436" s="33">
        <v>112219</v>
      </c>
      <c r="D1436" s="33" t="s">
        <v>1841</v>
      </c>
      <c r="E1436" s="33">
        <v>1550</v>
      </c>
      <c r="F1436" s="33" t="s">
        <v>26</v>
      </c>
      <c r="G1436" s="33" t="s">
        <v>1842</v>
      </c>
      <c r="H1436" s="34">
        <v>46175</v>
      </c>
      <c r="I1436" t="s">
        <v>14</v>
      </c>
      <c r="J1436">
        <f>VLOOKUP(E1436,'Room Count'!A$2:B$2616,2,FALSE)</f>
        <v>121</v>
      </c>
    </row>
    <row r="1437" spans="1:10" hidden="1">
      <c r="A1437" s="33" t="s">
        <v>44</v>
      </c>
      <c r="B1437" s="33" t="s">
        <v>1843</v>
      </c>
      <c r="C1437" s="33">
        <v>112045</v>
      </c>
      <c r="D1437" s="33" t="s">
        <v>1843</v>
      </c>
      <c r="E1437" s="33">
        <v>1463</v>
      </c>
      <c r="F1437" s="33" t="s">
        <v>26</v>
      </c>
      <c r="G1437" s="33" t="s">
        <v>1844</v>
      </c>
      <c r="H1437" s="34">
        <v>46175</v>
      </c>
      <c r="I1437" t="s">
        <v>14</v>
      </c>
      <c r="J1437">
        <f>VLOOKUP(E1437,'Room Count'!A$2:B$2616,2,FALSE)</f>
        <v>199</v>
      </c>
    </row>
    <row r="1438" spans="1:10" hidden="1">
      <c r="A1438" s="33" t="s">
        <v>44</v>
      </c>
      <c r="B1438" s="33" t="s">
        <v>1845</v>
      </c>
      <c r="C1438" s="33">
        <v>112097</v>
      </c>
      <c r="D1438" s="33" t="s">
        <v>1845</v>
      </c>
      <c r="E1438" s="33">
        <v>1489</v>
      </c>
      <c r="F1438" s="33" t="s">
        <v>26</v>
      </c>
      <c r="G1438" s="33" t="s">
        <v>1846</v>
      </c>
      <c r="H1438" s="34">
        <v>46175</v>
      </c>
      <c r="I1438" t="s">
        <v>14</v>
      </c>
      <c r="J1438">
        <f>VLOOKUP(E1438,'Room Count'!A$2:B$2616,2,FALSE)</f>
        <v>119</v>
      </c>
    </row>
    <row r="1439" spans="1:10" hidden="1">
      <c r="A1439" s="33" t="s">
        <v>44</v>
      </c>
      <c r="B1439" s="33" t="s">
        <v>1847</v>
      </c>
      <c r="C1439" s="33">
        <v>112151</v>
      </c>
      <c r="D1439" s="33" t="s">
        <v>1847</v>
      </c>
      <c r="E1439" s="33">
        <v>1516</v>
      </c>
      <c r="F1439" s="33" t="s">
        <v>26</v>
      </c>
      <c r="G1439" s="33" t="s">
        <v>1848</v>
      </c>
      <c r="H1439" s="34">
        <v>46175</v>
      </c>
      <c r="I1439" t="s">
        <v>14</v>
      </c>
      <c r="J1439">
        <f>VLOOKUP(E1439,'Room Count'!A$2:B$2616,2,FALSE)</f>
        <v>144</v>
      </c>
    </row>
    <row r="1440" spans="1:10" hidden="1">
      <c r="A1440" s="33" t="s">
        <v>44</v>
      </c>
      <c r="B1440" s="33" t="s">
        <v>1849</v>
      </c>
      <c r="C1440" s="33">
        <v>112197</v>
      </c>
      <c r="D1440" s="33" t="s">
        <v>1849</v>
      </c>
      <c r="E1440" s="33">
        <v>1539</v>
      </c>
      <c r="F1440" s="33" t="s">
        <v>26</v>
      </c>
      <c r="G1440" s="33" t="s">
        <v>1850</v>
      </c>
      <c r="H1440" s="34">
        <v>46175</v>
      </c>
      <c r="I1440" t="s">
        <v>14</v>
      </c>
      <c r="J1440">
        <f>VLOOKUP(E1440,'Room Count'!A$2:B$2616,2,FALSE)</f>
        <v>122</v>
      </c>
    </row>
    <row r="1441" spans="1:10" hidden="1">
      <c r="A1441" s="33" t="s">
        <v>44</v>
      </c>
      <c r="B1441" s="33" t="s">
        <v>1851</v>
      </c>
      <c r="C1441" s="33">
        <v>112087</v>
      </c>
      <c r="D1441" s="33" t="s">
        <v>1851</v>
      </c>
      <c r="E1441" s="33">
        <v>1484</v>
      </c>
      <c r="F1441" s="33" t="s">
        <v>26</v>
      </c>
      <c r="G1441" s="33" t="s">
        <v>1852</v>
      </c>
      <c r="H1441" s="34">
        <v>46175</v>
      </c>
      <c r="I1441" t="s">
        <v>14</v>
      </c>
      <c r="J1441">
        <f>VLOOKUP(E1441,'Room Count'!A$2:B$2616,2,FALSE)</f>
        <v>60</v>
      </c>
    </row>
    <row r="1442" spans="1:10" hidden="1">
      <c r="A1442" s="33" t="s">
        <v>44</v>
      </c>
      <c r="B1442" s="33" t="s">
        <v>1853</v>
      </c>
      <c r="C1442" s="33">
        <v>112089</v>
      </c>
      <c r="D1442" s="33" t="s">
        <v>1853</v>
      </c>
      <c r="E1442" s="33">
        <v>1485</v>
      </c>
      <c r="F1442" s="33" t="s">
        <v>26</v>
      </c>
      <c r="G1442" s="33" t="s">
        <v>1854</v>
      </c>
      <c r="H1442" s="34">
        <v>46175</v>
      </c>
      <c r="I1442" t="s">
        <v>14</v>
      </c>
      <c r="J1442">
        <f>VLOOKUP(E1442,'Room Count'!A$2:B$2616,2,FALSE)</f>
        <v>84</v>
      </c>
    </row>
    <row r="1443" spans="1:10" hidden="1">
      <c r="A1443" s="33" t="s">
        <v>44</v>
      </c>
      <c r="B1443" s="33" t="s">
        <v>1855</v>
      </c>
      <c r="C1443" s="33">
        <v>112199</v>
      </c>
      <c r="D1443" s="33" t="s">
        <v>1855</v>
      </c>
      <c r="E1443" s="33">
        <v>1540</v>
      </c>
      <c r="F1443" s="33" t="s">
        <v>26</v>
      </c>
      <c r="G1443" s="33" t="s">
        <v>1856</v>
      </c>
      <c r="H1443" s="34">
        <v>46175</v>
      </c>
      <c r="I1443" t="s">
        <v>14</v>
      </c>
      <c r="J1443">
        <f>VLOOKUP(E1443,'Room Count'!A$2:B$2616,2,FALSE)</f>
        <v>65</v>
      </c>
    </row>
    <row r="1444" spans="1:10" hidden="1">
      <c r="A1444" s="33" t="s">
        <v>44</v>
      </c>
      <c r="B1444" s="33" t="s">
        <v>1857</v>
      </c>
      <c r="C1444" s="33">
        <v>112159</v>
      </c>
      <c r="D1444" s="33" t="s">
        <v>1857</v>
      </c>
      <c r="E1444" s="33">
        <v>1520</v>
      </c>
      <c r="F1444" s="33" t="s">
        <v>26</v>
      </c>
      <c r="G1444" s="33" t="s">
        <v>1858</v>
      </c>
      <c r="H1444" s="34">
        <v>46175</v>
      </c>
      <c r="I1444" t="s">
        <v>14</v>
      </c>
      <c r="J1444">
        <f>VLOOKUP(E1444,'Room Count'!A$2:B$2616,2,FALSE)</f>
        <v>128</v>
      </c>
    </row>
    <row r="1445" spans="1:10" hidden="1">
      <c r="A1445" s="33" t="s">
        <v>44</v>
      </c>
      <c r="B1445" s="33" t="s">
        <v>1859</v>
      </c>
      <c r="C1445" s="33">
        <v>112269</v>
      </c>
      <c r="D1445" s="33" t="s">
        <v>1859</v>
      </c>
      <c r="E1445" s="33">
        <v>1575</v>
      </c>
      <c r="F1445" s="33" t="s">
        <v>26</v>
      </c>
      <c r="G1445" s="33" t="s">
        <v>1860</v>
      </c>
      <c r="H1445" s="34">
        <v>46175</v>
      </c>
      <c r="I1445" t="s">
        <v>14</v>
      </c>
      <c r="J1445">
        <f>VLOOKUP(E1445,'Room Count'!A$2:B$2616,2,FALSE)</f>
        <v>106</v>
      </c>
    </row>
    <row r="1446" spans="1:10" hidden="1">
      <c r="A1446" s="33" t="s">
        <v>44</v>
      </c>
      <c r="B1446" s="33" t="s">
        <v>1861</v>
      </c>
      <c r="C1446" s="33">
        <v>112259</v>
      </c>
      <c r="D1446" s="33" t="s">
        <v>1861</v>
      </c>
      <c r="E1446" s="33">
        <v>1570</v>
      </c>
      <c r="F1446" s="33" t="s">
        <v>26</v>
      </c>
      <c r="G1446" s="33" t="s">
        <v>1862</v>
      </c>
      <c r="H1446" s="34">
        <v>46175</v>
      </c>
      <c r="I1446" t="s">
        <v>14</v>
      </c>
      <c r="J1446">
        <f>VLOOKUP(E1446,'Room Count'!A$2:B$2616,2,FALSE)</f>
        <v>206</v>
      </c>
    </row>
    <row r="1447" spans="1:10" hidden="1">
      <c r="A1447" s="33" t="s">
        <v>44</v>
      </c>
      <c r="B1447" s="33" t="s">
        <v>1863</v>
      </c>
      <c r="C1447" s="33">
        <v>112005</v>
      </c>
      <c r="D1447" s="33" t="s">
        <v>1863</v>
      </c>
      <c r="E1447" s="33">
        <v>1443</v>
      </c>
      <c r="F1447" s="33" t="s">
        <v>26</v>
      </c>
      <c r="G1447" s="33" t="s">
        <v>1864</v>
      </c>
      <c r="H1447" s="34">
        <v>46175</v>
      </c>
      <c r="I1447" t="s">
        <v>14</v>
      </c>
      <c r="J1447">
        <f>VLOOKUP(E1447,'Room Count'!A$2:B$2616,2,FALSE)</f>
        <v>89</v>
      </c>
    </row>
    <row r="1448" spans="1:10" hidden="1">
      <c r="A1448" s="33" t="s">
        <v>44</v>
      </c>
      <c r="B1448" s="33" t="s">
        <v>1865</v>
      </c>
      <c r="C1448" s="33">
        <v>112099</v>
      </c>
      <c r="D1448" s="33" t="s">
        <v>1865</v>
      </c>
      <c r="E1448" s="33">
        <v>1490</v>
      </c>
      <c r="F1448" s="33" t="s">
        <v>26</v>
      </c>
      <c r="G1448" s="33" t="s">
        <v>1866</v>
      </c>
      <c r="H1448" s="34">
        <v>46175</v>
      </c>
      <c r="I1448" t="s">
        <v>14</v>
      </c>
      <c r="J1448">
        <f>VLOOKUP(E1448,'Room Count'!A$2:B$2616,2,FALSE)</f>
        <v>103</v>
      </c>
    </row>
    <row r="1449" spans="1:10" hidden="1">
      <c r="A1449" s="33" t="s">
        <v>44</v>
      </c>
      <c r="B1449" s="33" t="s">
        <v>1867</v>
      </c>
      <c r="C1449" s="33">
        <v>112211</v>
      </c>
      <c r="D1449" s="33" t="s">
        <v>1867</v>
      </c>
      <c r="E1449" s="33">
        <v>1546</v>
      </c>
      <c r="F1449" s="33" t="s">
        <v>26</v>
      </c>
      <c r="G1449" s="33" t="s">
        <v>1868</v>
      </c>
      <c r="H1449" s="34">
        <v>46175</v>
      </c>
      <c r="I1449" t="s">
        <v>14</v>
      </c>
      <c r="J1449">
        <f>VLOOKUP(E1449,'Room Count'!A$2:B$2616,2,FALSE)</f>
        <v>122</v>
      </c>
    </row>
    <row r="1450" spans="1:10" hidden="1">
      <c r="A1450" s="33" t="s">
        <v>44</v>
      </c>
      <c r="B1450" s="33" t="s">
        <v>1869</v>
      </c>
      <c r="C1450" s="33">
        <v>112175</v>
      </c>
      <c r="D1450" s="33" t="s">
        <v>1869</v>
      </c>
      <c r="E1450" s="33">
        <v>1528</v>
      </c>
      <c r="F1450" s="33" t="s">
        <v>26</v>
      </c>
      <c r="G1450" s="33" t="s">
        <v>1870</v>
      </c>
      <c r="H1450" s="34">
        <v>46175</v>
      </c>
      <c r="I1450" t="s">
        <v>14</v>
      </c>
      <c r="J1450">
        <f>VLOOKUP(E1450,'Room Count'!A$2:B$2616,2,FALSE)</f>
        <v>78</v>
      </c>
    </row>
    <row r="1451" spans="1:10" hidden="1">
      <c r="A1451" s="33" t="s">
        <v>44</v>
      </c>
      <c r="B1451" s="33" t="s">
        <v>1871</v>
      </c>
      <c r="C1451" s="33">
        <v>112205</v>
      </c>
      <c r="D1451" s="33" t="s">
        <v>1871</v>
      </c>
      <c r="E1451" s="33">
        <v>1543</v>
      </c>
      <c r="F1451" s="33" t="s">
        <v>26</v>
      </c>
      <c r="G1451" s="33" t="s">
        <v>1872</v>
      </c>
      <c r="H1451" s="34">
        <v>46175</v>
      </c>
      <c r="I1451" t="s">
        <v>14</v>
      </c>
      <c r="J1451">
        <f>VLOOKUP(E1451,'Room Count'!A$2:B$2616,2,FALSE)</f>
        <v>122</v>
      </c>
    </row>
    <row r="1452" spans="1:10" hidden="1">
      <c r="A1452" s="33" t="s">
        <v>44</v>
      </c>
      <c r="B1452" s="33" t="s">
        <v>1873</v>
      </c>
      <c r="C1452" s="33">
        <v>112063</v>
      </c>
      <c r="D1452" s="33" t="s">
        <v>1873</v>
      </c>
      <c r="E1452" s="33">
        <v>1472</v>
      </c>
      <c r="F1452" s="33" t="s">
        <v>26</v>
      </c>
      <c r="G1452" s="33" t="s">
        <v>1874</v>
      </c>
      <c r="H1452" s="34">
        <v>46175</v>
      </c>
      <c r="I1452" t="s">
        <v>14</v>
      </c>
      <c r="J1452">
        <f>VLOOKUP(E1452,'Room Count'!A$2:B$2616,2,FALSE)</f>
        <v>103</v>
      </c>
    </row>
    <row r="1453" spans="1:10" hidden="1">
      <c r="A1453" s="33" t="s">
        <v>44</v>
      </c>
      <c r="B1453" s="33" t="s">
        <v>1875</v>
      </c>
      <c r="C1453" s="33">
        <v>112143</v>
      </c>
      <c r="D1453" s="33" t="s">
        <v>1875</v>
      </c>
      <c r="E1453" s="33">
        <v>1512</v>
      </c>
      <c r="F1453" s="33" t="s">
        <v>26</v>
      </c>
      <c r="G1453" s="33" t="s">
        <v>1876</v>
      </c>
      <c r="H1453" s="34">
        <v>46175</v>
      </c>
      <c r="I1453" t="s">
        <v>14</v>
      </c>
      <c r="J1453">
        <f>VLOOKUP(E1453,'Room Count'!A$2:B$2616,2,FALSE)</f>
        <v>81</v>
      </c>
    </row>
    <row r="1454" spans="1:10" hidden="1">
      <c r="A1454" s="33" t="s">
        <v>44</v>
      </c>
      <c r="B1454" s="33" t="s">
        <v>1877</v>
      </c>
      <c r="C1454" s="33">
        <v>112267</v>
      </c>
      <c r="D1454" s="33" t="s">
        <v>1877</v>
      </c>
      <c r="E1454" s="33">
        <v>1574</v>
      </c>
      <c r="F1454" s="33" t="s">
        <v>26</v>
      </c>
      <c r="G1454" s="33" t="s">
        <v>1878</v>
      </c>
      <c r="H1454" s="34">
        <v>46175</v>
      </c>
      <c r="I1454" t="s">
        <v>14</v>
      </c>
      <c r="J1454">
        <f>VLOOKUP(E1454,'Room Count'!A$2:B$2616,2,FALSE)</f>
        <v>121</v>
      </c>
    </row>
    <row r="1455" spans="1:10" hidden="1">
      <c r="A1455" s="33" t="s">
        <v>44</v>
      </c>
      <c r="B1455" s="33" t="s">
        <v>1879</v>
      </c>
      <c r="C1455" s="33">
        <v>112271</v>
      </c>
      <c r="D1455" s="33" t="s">
        <v>1879</v>
      </c>
      <c r="E1455" s="33">
        <v>1576</v>
      </c>
      <c r="F1455" s="33" t="s">
        <v>26</v>
      </c>
      <c r="G1455" s="33" t="s">
        <v>1880</v>
      </c>
      <c r="H1455" s="34">
        <v>46175</v>
      </c>
      <c r="I1455" t="s">
        <v>14</v>
      </c>
      <c r="J1455">
        <f>VLOOKUP(E1455,'Room Count'!A$2:B$2616,2,FALSE)</f>
        <v>74</v>
      </c>
    </row>
    <row r="1456" spans="1:10" hidden="1">
      <c r="A1456" s="33" t="s">
        <v>44</v>
      </c>
      <c r="B1456" s="33" t="s">
        <v>1881</v>
      </c>
      <c r="C1456" s="33">
        <v>112037</v>
      </c>
      <c r="D1456" s="33" t="s">
        <v>1881</v>
      </c>
      <c r="E1456" s="33">
        <v>1459</v>
      </c>
      <c r="F1456" s="33" t="s">
        <v>26</v>
      </c>
      <c r="G1456" s="33" t="s">
        <v>1882</v>
      </c>
      <c r="H1456" s="34">
        <v>46175</v>
      </c>
      <c r="I1456" t="s">
        <v>14</v>
      </c>
      <c r="J1456">
        <f>VLOOKUP(E1456,'Room Count'!A$2:B$2616,2,FALSE)</f>
        <v>121</v>
      </c>
    </row>
    <row r="1457" spans="1:10" hidden="1">
      <c r="A1457" s="33" t="s">
        <v>44</v>
      </c>
      <c r="B1457" s="33" t="s">
        <v>1883</v>
      </c>
      <c r="C1457" s="33">
        <v>112189</v>
      </c>
      <c r="D1457" s="33" t="s">
        <v>1883</v>
      </c>
      <c r="E1457" s="33">
        <v>1535</v>
      </c>
      <c r="F1457" s="33" t="s">
        <v>26</v>
      </c>
      <c r="G1457" s="33" t="s">
        <v>1884</v>
      </c>
      <c r="H1457" s="34">
        <v>46175</v>
      </c>
      <c r="I1457" t="s">
        <v>14</v>
      </c>
      <c r="J1457">
        <f>VLOOKUP(E1457,'Room Count'!A$2:B$2616,2,FALSE)</f>
        <v>74</v>
      </c>
    </row>
    <row r="1458" spans="1:10" hidden="1">
      <c r="A1458" s="33" t="s">
        <v>44</v>
      </c>
      <c r="B1458" s="33" t="s">
        <v>1885</v>
      </c>
      <c r="C1458" s="33">
        <v>112021</v>
      </c>
      <c r="D1458" s="33" t="s">
        <v>1885</v>
      </c>
      <c r="E1458" s="33">
        <v>1451</v>
      </c>
      <c r="F1458" s="33" t="s">
        <v>26</v>
      </c>
      <c r="G1458" s="33" t="s">
        <v>1886</v>
      </c>
      <c r="H1458" s="34">
        <v>46175</v>
      </c>
      <c r="I1458" t="s">
        <v>14</v>
      </c>
      <c r="J1458">
        <f>VLOOKUP(E1458,'Room Count'!A$2:B$2616,2,FALSE)</f>
        <v>170</v>
      </c>
    </row>
    <row r="1459" spans="1:10" hidden="1">
      <c r="A1459" s="33" t="s">
        <v>44</v>
      </c>
      <c r="B1459" s="33" t="s">
        <v>1887</v>
      </c>
      <c r="C1459" s="33">
        <v>112165</v>
      </c>
      <c r="D1459" s="33" t="s">
        <v>1887</v>
      </c>
      <c r="E1459" s="33">
        <v>1523</v>
      </c>
      <c r="F1459" s="33" t="s">
        <v>26</v>
      </c>
      <c r="G1459" s="33" t="s">
        <v>1888</v>
      </c>
      <c r="H1459" s="34">
        <v>46175</v>
      </c>
      <c r="I1459" t="s">
        <v>14</v>
      </c>
      <c r="J1459">
        <f>VLOOKUP(E1459,'Room Count'!A$2:B$2616,2,FALSE)</f>
        <v>150</v>
      </c>
    </row>
    <row r="1460" spans="1:10" hidden="1">
      <c r="A1460" s="33" t="s">
        <v>44</v>
      </c>
      <c r="B1460" s="33" t="s">
        <v>1889</v>
      </c>
      <c r="C1460" s="33">
        <v>112009</v>
      </c>
      <c r="D1460" s="33" t="s">
        <v>1889</v>
      </c>
      <c r="E1460" s="33">
        <v>1445</v>
      </c>
      <c r="F1460" s="33" t="s">
        <v>26</v>
      </c>
      <c r="G1460" s="33" t="s">
        <v>1890</v>
      </c>
      <c r="H1460" s="34">
        <v>46175</v>
      </c>
      <c r="I1460" t="s">
        <v>14</v>
      </c>
      <c r="J1460">
        <f>VLOOKUP(E1460,'Room Count'!A$2:B$2616,2,FALSE)</f>
        <v>112</v>
      </c>
    </row>
    <row r="1461" spans="1:10" hidden="1">
      <c r="A1461" s="33" t="s">
        <v>44</v>
      </c>
      <c r="B1461" s="33" t="s">
        <v>1891</v>
      </c>
      <c r="C1461" s="33">
        <v>112235</v>
      </c>
      <c r="D1461" s="33" t="s">
        <v>1891</v>
      </c>
      <c r="E1461" s="33">
        <v>1558</v>
      </c>
      <c r="F1461" s="33" t="s">
        <v>26</v>
      </c>
      <c r="G1461" s="33" t="s">
        <v>1892</v>
      </c>
      <c r="H1461" s="34">
        <v>46175</v>
      </c>
      <c r="I1461" t="s">
        <v>14</v>
      </c>
      <c r="J1461">
        <f>VLOOKUP(E1461,'Room Count'!A$2:B$2616,2,FALSE)</f>
        <v>83</v>
      </c>
    </row>
    <row r="1462" spans="1:10" hidden="1">
      <c r="A1462" s="33" t="s">
        <v>44</v>
      </c>
      <c r="B1462" s="33" t="s">
        <v>1893</v>
      </c>
      <c r="C1462" s="33">
        <v>112279</v>
      </c>
      <c r="D1462" s="33" t="s">
        <v>1893</v>
      </c>
      <c r="E1462" s="33">
        <v>1580</v>
      </c>
      <c r="F1462" s="33" t="s">
        <v>26</v>
      </c>
      <c r="G1462" s="33" t="s">
        <v>1894</v>
      </c>
      <c r="H1462" s="34">
        <v>46175</v>
      </c>
      <c r="I1462" t="s">
        <v>14</v>
      </c>
      <c r="J1462">
        <f>VLOOKUP(E1462,'Room Count'!A$2:B$2616,2,FALSE)</f>
        <v>80</v>
      </c>
    </row>
    <row r="1463" spans="1:10" hidden="1">
      <c r="A1463" s="33" t="s">
        <v>44</v>
      </c>
      <c r="B1463" s="33" t="s">
        <v>1895</v>
      </c>
      <c r="C1463" s="33">
        <v>112283</v>
      </c>
      <c r="D1463" s="33" t="s">
        <v>1895</v>
      </c>
      <c r="E1463" s="33">
        <v>1582</v>
      </c>
      <c r="F1463" s="33" t="s">
        <v>26</v>
      </c>
      <c r="G1463" s="33" t="s">
        <v>1896</v>
      </c>
      <c r="H1463" s="34">
        <v>46175</v>
      </c>
      <c r="I1463" t="s">
        <v>14</v>
      </c>
      <c r="J1463">
        <f>VLOOKUP(E1463,'Room Count'!A$2:B$2616,2,FALSE)</f>
        <v>130</v>
      </c>
    </row>
    <row r="1464" spans="1:10" hidden="1">
      <c r="A1464" s="33" t="s">
        <v>44</v>
      </c>
      <c r="B1464" s="33" t="s">
        <v>1897</v>
      </c>
      <c r="C1464" s="33">
        <v>112049</v>
      </c>
      <c r="D1464" s="33" t="s">
        <v>1897</v>
      </c>
      <c r="E1464" s="33">
        <v>1465</v>
      </c>
      <c r="F1464" s="33" t="s">
        <v>26</v>
      </c>
      <c r="G1464" s="33" t="s">
        <v>1898</v>
      </c>
      <c r="H1464" s="34">
        <v>46175</v>
      </c>
      <c r="I1464" t="s">
        <v>14</v>
      </c>
      <c r="J1464">
        <f>VLOOKUP(E1464,'Room Count'!A$2:B$2616,2,FALSE)</f>
        <v>105</v>
      </c>
    </row>
    <row r="1465" spans="1:10" hidden="1">
      <c r="A1465" s="33" t="s">
        <v>44</v>
      </c>
      <c r="B1465" s="33" t="s">
        <v>1899</v>
      </c>
      <c r="C1465" s="33">
        <v>112069</v>
      </c>
      <c r="D1465" s="33" t="s">
        <v>1899</v>
      </c>
      <c r="E1465" s="33">
        <v>1475</v>
      </c>
      <c r="F1465" s="33" t="s">
        <v>26</v>
      </c>
      <c r="G1465" s="33" t="s">
        <v>1900</v>
      </c>
      <c r="H1465" s="34">
        <v>46175</v>
      </c>
      <c r="I1465" t="s">
        <v>14</v>
      </c>
      <c r="J1465">
        <f>VLOOKUP(E1465,'Room Count'!A$2:B$2616,2,FALSE)</f>
        <v>59</v>
      </c>
    </row>
    <row r="1466" spans="1:10" hidden="1">
      <c r="A1466" s="33" t="s">
        <v>44</v>
      </c>
      <c r="B1466" s="33" t="s">
        <v>1901</v>
      </c>
      <c r="C1466" s="33">
        <v>112257</v>
      </c>
      <c r="D1466" s="33" t="s">
        <v>1901</v>
      </c>
      <c r="E1466" s="33">
        <v>1569</v>
      </c>
      <c r="F1466" s="33" t="s">
        <v>26</v>
      </c>
      <c r="G1466" s="33" t="s">
        <v>1902</v>
      </c>
      <c r="H1466" s="34">
        <v>46175</v>
      </c>
      <c r="I1466" t="s">
        <v>14</v>
      </c>
      <c r="J1466">
        <f>VLOOKUP(E1466,'Room Count'!A$2:B$2616,2,FALSE)</f>
        <v>132</v>
      </c>
    </row>
    <row r="1467" spans="1:10" hidden="1">
      <c r="A1467" s="33" t="s">
        <v>44</v>
      </c>
      <c r="B1467" s="33" t="s">
        <v>1903</v>
      </c>
      <c r="C1467" s="33">
        <v>112183</v>
      </c>
      <c r="D1467" s="33" t="s">
        <v>1903</v>
      </c>
      <c r="E1467" s="33">
        <v>1532</v>
      </c>
      <c r="F1467" s="33" t="s">
        <v>26</v>
      </c>
      <c r="G1467" s="33" t="s">
        <v>1904</v>
      </c>
      <c r="H1467" s="34">
        <v>46175</v>
      </c>
      <c r="I1467" t="s">
        <v>14</v>
      </c>
      <c r="J1467">
        <f>VLOOKUP(E1467,'Room Count'!A$2:B$2616,2,FALSE)</f>
        <v>83</v>
      </c>
    </row>
    <row r="1468" spans="1:10" hidden="1">
      <c r="A1468" s="33" t="s">
        <v>44</v>
      </c>
      <c r="B1468" s="33" t="s">
        <v>1905</v>
      </c>
      <c r="C1468" s="33">
        <v>112061</v>
      </c>
      <c r="D1468" s="33" t="s">
        <v>1905</v>
      </c>
      <c r="E1468" s="33">
        <v>1471</v>
      </c>
      <c r="F1468" s="33" t="s">
        <v>26</v>
      </c>
      <c r="G1468" s="33" t="s">
        <v>1906</v>
      </c>
      <c r="H1468" s="34">
        <v>46175</v>
      </c>
      <c r="I1468" t="s">
        <v>14</v>
      </c>
      <c r="J1468">
        <f>VLOOKUP(E1468,'Room Count'!A$2:B$2616,2,FALSE)</f>
        <v>116</v>
      </c>
    </row>
    <row r="1469" spans="1:10" hidden="1">
      <c r="A1469" s="33" t="s">
        <v>44</v>
      </c>
      <c r="B1469" s="33" t="s">
        <v>1907</v>
      </c>
      <c r="C1469" s="33">
        <v>112033</v>
      </c>
      <c r="D1469" s="33" t="s">
        <v>1907</v>
      </c>
      <c r="E1469" s="33">
        <v>1457</v>
      </c>
      <c r="F1469" s="33" t="s">
        <v>26</v>
      </c>
      <c r="G1469" s="33" t="s">
        <v>1908</v>
      </c>
      <c r="H1469" s="34">
        <v>46175</v>
      </c>
      <c r="I1469" t="s">
        <v>14</v>
      </c>
      <c r="J1469">
        <f>VLOOKUP(E1469,'Room Count'!A$2:B$2616,2,FALSE)</f>
        <v>151</v>
      </c>
    </row>
    <row r="1470" spans="1:10" hidden="1">
      <c r="A1470" s="33" t="s">
        <v>44</v>
      </c>
      <c r="B1470" s="33" t="s">
        <v>1909</v>
      </c>
      <c r="C1470" s="33">
        <v>112131</v>
      </c>
      <c r="D1470" s="33" t="s">
        <v>1909</v>
      </c>
      <c r="E1470" s="33">
        <v>1506</v>
      </c>
      <c r="F1470" s="33" t="s">
        <v>26</v>
      </c>
      <c r="G1470" s="33" t="s">
        <v>1910</v>
      </c>
      <c r="H1470" s="34">
        <v>46175</v>
      </c>
      <c r="I1470" t="s">
        <v>14</v>
      </c>
      <c r="J1470">
        <f>VLOOKUP(E1470,'Room Count'!A$2:B$2616,2,FALSE)</f>
        <v>98</v>
      </c>
    </row>
    <row r="1471" spans="1:10" hidden="1">
      <c r="A1471" s="33" t="s">
        <v>44</v>
      </c>
      <c r="B1471" s="33" t="s">
        <v>1911</v>
      </c>
      <c r="C1471" s="33">
        <v>112215</v>
      </c>
      <c r="D1471" s="33" t="s">
        <v>1911</v>
      </c>
      <c r="E1471" s="33">
        <v>1548</v>
      </c>
      <c r="F1471" s="33" t="s">
        <v>26</v>
      </c>
      <c r="G1471" s="33" t="s">
        <v>1912</v>
      </c>
      <c r="H1471" s="34">
        <v>46175</v>
      </c>
      <c r="I1471" t="s">
        <v>14</v>
      </c>
      <c r="J1471">
        <f>VLOOKUP(E1471,'Room Count'!A$2:B$2616,2,FALSE)</f>
        <v>95</v>
      </c>
    </row>
    <row r="1472" spans="1:10" hidden="1">
      <c r="A1472" s="33" t="s">
        <v>44</v>
      </c>
      <c r="B1472" s="33" t="s">
        <v>1913</v>
      </c>
      <c r="C1472" s="33">
        <v>112291</v>
      </c>
      <c r="D1472" s="33" t="s">
        <v>1913</v>
      </c>
      <c r="E1472" s="33">
        <v>1599</v>
      </c>
      <c r="F1472" s="33" t="s">
        <v>26</v>
      </c>
      <c r="G1472" s="33" t="s">
        <v>1914</v>
      </c>
      <c r="H1472" s="34">
        <v>46175</v>
      </c>
      <c r="I1472" t="s">
        <v>14</v>
      </c>
      <c r="J1472">
        <f>VLOOKUP(E1472,'Room Count'!A$2:B$2616,2,FALSE)</f>
        <v>91</v>
      </c>
    </row>
    <row r="1473" spans="1:10" hidden="1">
      <c r="A1473" s="33" t="s">
        <v>44</v>
      </c>
      <c r="B1473" s="33" t="s">
        <v>1915</v>
      </c>
      <c r="C1473" s="33">
        <v>112293</v>
      </c>
      <c r="D1473" s="33" t="s">
        <v>1915</v>
      </c>
      <c r="E1473" s="33">
        <v>1601</v>
      </c>
      <c r="F1473" s="33" t="s">
        <v>26</v>
      </c>
      <c r="G1473" s="33" t="s">
        <v>1916</v>
      </c>
      <c r="H1473" s="34">
        <v>46175</v>
      </c>
      <c r="I1473" t="s">
        <v>14</v>
      </c>
      <c r="J1473">
        <f>VLOOKUP(E1473,'Room Count'!A$2:B$2616,2,FALSE)</f>
        <v>83</v>
      </c>
    </row>
    <row r="1474" spans="1:10" hidden="1">
      <c r="A1474" s="33" t="s">
        <v>44</v>
      </c>
      <c r="B1474" s="33" t="s">
        <v>1917</v>
      </c>
      <c r="C1474" s="33">
        <v>112147</v>
      </c>
      <c r="D1474" s="33" t="s">
        <v>1917</v>
      </c>
      <c r="E1474" s="33">
        <v>1514</v>
      </c>
      <c r="F1474" s="33" t="s">
        <v>26</v>
      </c>
      <c r="G1474" s="33" t="s">
        <v>1918</v>
      </c>
      <c r="H1474" s="34">
        <v>46175</v>
      </c>
      <c r="I1474" t="s">
        <v>14</v>
      </c>
      <c r="J1474">
        <f>VLOOKUP(E1474,'Room Count'!A$2:B$2616,2,FALSE)</f>
        <v>105</v>
      </c>
    </row>
    <row r="1475" spans="1:10" hidden="1">
      <c r="A1475" s="33" t="s">
        <v>44</v>
      </c>
      <c r="B1475" s="33" t="s">
        <v>1919</v>
      </c>
      <c r="C1475" s="33">
        <v>112187</v>
      </c>
      <c r="D1475" s="33" t="s">
        <v>1919</v>
      </c>
      <c r="E1475" s="33">
        <v>1534</v>
      </c>
      <c r="F1475" s="33" t="s">
        <v>26</v>
      </c>
      <c r="G1475" s="33" t="s">
        <v>1920</v>
      </c>
      <c r="H1475" s="34">
        <v>46175</v>
      </c>
      <c r="I1475" t="s">
        <v>14</v>
      </c>
      <c r="J1475">
        <f>VLOOKUP(E1475,'Room Count'!A$2:B$2616,2,FALSE)</f>
        <v>168</v>
      </c>
    </row>
    <row r="1476" spans="1:10" hidden="1">
      <c r="A1476" s="33" t="s">
        <v>44</v>
      </c>
      <c r="B1476" s="33" t="s">
        <v>1921</v>
      </c>
      <c r="C1476" s="33">
        <v>112081</v>
      </c>
      <c r="D1476" s="33" t="s">
        <v>1921</v>
      </c>
      <c r="E1476" s="33">
        <v>1481</v>
      </c>
      <c r="F1476" s="33" t="s">
        <v>26</v>
      </c>
      <c r="G1476" s="33" t="s">
        <v>1922</v>
      </c>
      <c r="H1476" s="34">
        <v>46175</v>
      </c>
      <c r="I1476" t="s">
        <v>14</v>
      </c>
      <c r="J1476">
        <f>VLOOKUP(E1476,'Room Count'!A$2:B$2616,2,FALSE)</f>
        <v>134</v>
      </c>
    </row>
    <row r="1477" spans="1:10" hidden="1">
      <c r="A1477" s="33" t="s">
        <v>44</v>
      </c>
      <c r="B1477" s="33" t="s">
        <v>1923</v>
      </c>
      <c r="C1477" s="33">
        <v>112245</v>
      </c>
      <c r="D1477" s="33" t="s">
        <v>1923</v>
      </c>
      <c r="E1477" s="33">
        <v>1563</v>
      </c>
      <c r="F1477" s="33" t="s">
        <v>26</v>
      </c>
      <c r="G1477" s="33" t="s">
        <v>1924</v>
      </c>
      <c r="H1477" s="34">
        <v>46175</v>
      </c>
      <c r="I1477" t="s">
        <v>14</v>
      </c>
      <c r="J1477">
        <f>VLOOKUP(E1477,'Room Count'!A$2:B$2616,2,FALSE)</f>
        <v>84</v>
      </c>
    </row>
    <row r="1478" spans="1:10" hidden="1">
      <c r="A1478" s="33" t="s">
        <v>44</v>
      </c>
      <c r="B1478" s="33" t="s">
        <v>1925</v>
      </c>
      <c r="C1478" s="33">
        <v>112071</v>
      </c>
      <c r="D1478" s="33" t="s">
        <v>1925</v>
      </c>
      <c r="E1478" s="33">
        <v>1476</v>
      </c>
      <c r="F1478" s="33" t="s">
        <v>26</v>
      </c>
      <c r="G1478" s="33" t="s">
        <v>1926</v>
      </c>
      <c r="H1478" s="34">
        <v>46175</v>
      </c>
      <c r="I1478" t="s">
        <v>14</v>
      </c>
      <c r="J1478">
        <f>VLOOKUP(E1478,'Room Count'!A$2:B$2616,2,FALSE)</f>
        <v>120</v>
      </c>
    </row>
    <row r="1479" spans="1:10" hidden="1">
      <c r="A1479" s="33" t="s">
        <v>44</v>
      </c>
      <c r="B1479" s="33" t="s">
        <v>1927</v>
      </c>
      <c r="C1479" s="33">
        <v>112241</v>
      </c>
      <c r="D1479" s="33" t="s">
        <v>1927</v>
      </c>
      <c r="E1479" s="33">
        <v>1561</v>
      </c>
      <c r="F1479" s="33" t="s">
        <v>26</v>
      </c>
      <c r="G1479" s="33" t="s">
        <v>1928</v>
      </c>
      <c r="H1479" s="34">
        <v>46175</v>
      </c>
      <c r="I1479" t="s">
        <v>14</v>
      </c>
      <c r="J1479">
        <f>VLOOKUP(E1479,'Room Count'!A$2:B$2616,2,FALSE)</f>
        <v>97</v>
      </c>
    </row>
    <row r="1480" spans="1:10" hidden="1">
      <c r="A1480" s="33" t="s">
        <v>44</v>
      </c>
      <c r="B1480" s="33" t="s">
        <v>1929</v>
      </c>
      <c r="C1480" s="33">
        <v>112117</v>
      </c>
      <c r="D1480" s="33" t="s">
        <v>1929</v>
      </c>
      <c r="E1480" s="33">
        <v>1499</v>
      </c>
      <c r="F1480" s="33" t="s">
        <v>26</v>
      </c>
      <c r="G1480" s="33" t="s">
        <v>1930</v>
      </c>
      <c r="H1480" s="34">
        <v>46175</v>
      </c>
      <c r="I1480" t="s">
        <v>14</v>
      </c>
      <c r="J1480">
        <f>VLOOKUP(E1480,'Room Count'!A$2:B$2616,2,FALSE)</f>
        <v>94</v>
      </c>
    </row>
    <row r="1481" spans="1:10" hidden="1">
      <c r="A1481" s="33" t="s">
        <v>44</v>
      </c>
      <c r="B1481" s="33" t="s">
        <v>1931</v>
      </c>
      <c r="C1481" s="33">
        <v>112057</v>
      </c>
      <c r="D1481" s="33" t="s">
        <v>1931</v>
      </c>
      <c r="E1481" s="33">
        <v>1469</v>
      </c>
      <c r="F1481" s="33" t="s">
        <v>26</v>
      </c>
      <c r="G1481" s="33" t="s">
        <v>1932</v>
      </c>
      <c r="H1481" s="34">
        <v>46175</v>
      </c>
      <c r="I1481" t="s">
        <v>14</v>
      </c>
      <c r="J1481">
        <f>VLOOKUP(E1481,'Room Count'!A$2:B$2616,2,FALSE)</f>
        <v>124</v>
      </c>
    </row>
    <row r="1482" spans="1:10" hidden="1">
      <c r="A1482" s="33" t="s">
        <v>44</v>
      </c>
      <c r="B1482" s="33" t="s">
        <v>1933</v>
      </c>
      <c r="C1482" s="33">
        <v>112013</v>
      </c>
      <c r="D1482" s="33" t="s">
        <v>1933</v>
      </c>
      <c r="E1482" s="33">
        <v>1447</v>
      </c>
      <c r="F1482" s="33" t="s">
        <v>26</v>
      </c>
      <c r="G1482" s="33" t="s">
        <v>1934</v>
      </c>
      <c r="H1482" s="34">
        <v>46175</v>
      </c>
      <c r="I1482" t="s">
        <v>14</v>
      </c>
      <c r="J1482">
        <f>VLOOKUP(E1482,'Room Count'!A$2:B$2616,2,FALSE)</f>
        <v>115</v>
      </c>
    </row>
    <row r="1483" spans="1:10" hidden="1">
      <c r="A1483" s="33" t="s">
        <v>44</v>
      </c>
      <c r="B1483" s="33" t="s">
        <v>1935</v>
      </c>
      <c r="C1483" s="33">
        <v>112201</v>
      </c>
      <c r="D1483" s="33" t="s">
        <v>1935</v>
      </c>
      <c r="E1483" s="33">
        <v>1541</v>
      </c>
      <c r="F1483" s="33" t="s">
        <v>26</v>
      </c>
      <c r="G1483" s="33" t="s">
        <v>1936</v>
      </c>
      <c r="H1483" s="34">
        <v>46175</v>
      </c>
      <c r="I1483" t="s">
        <v>14</v>
      </c>
      <c r="J1483">
        <f>VLOOKUP(E1483,'Room Count'!A$2:B$2616,2,FALSE)</f>
        <v>86</v>
      </c>
    </row>
    <row r="1484" spans="1:10" hidden="1">
      <c r="A1484" s="33" t="s">
        <v>44</v>
      </c>
      <c r="B1484" s="33" t="s">
        <v>1937</v>
      </c>
      <c r="C1484" s="33">
        <v>112225</v>
      </c>
      <c r="D1484" s="33" t="s">
        <v>1937</v>
      </c>
      <c r="E1484" s="33">
        <v>1553</v>
      </c>
      <c r="F1484" s="33" t="s">
        <v>26</v>
      </c>
      <c r="G1484" s="33" t="s">
        <v>1938</v>
      </c>
      <c r="H1484" s="34">
        <v>46175</v>
      </c>
      <c r="I1484" t="s">
        <v>14</v>
      </c>
      <c r="J1484">
        <f>VLOOKUP(E1484,'Room Count'!A$2:B$2616,2,FALSE)</f>
        <v>139</v>
      </c>
    </row>
    <row r="1485" spans="1:10" hidden="1">
      <c r="A1485" s="33" t="s">
        <v>44</v>
      </c>
      <c r="B1485" s="33" t="s">
        <v>1939</v>
      </c>
      <c r="C1485" s="33">
        <v>112123</v>
      </c>
      <c r="D1485" s="33" t="s">
        <v>1939</v>
      </c>
      <c r="E1485" s="33">
        <v>1502</v>
      </c>
      <c r="F1485" s="33" t="s">
        <v>26</v>
      </c>
      <c r="G1485" s="33" t="s">
        <v>1940</v>
      </c>
      <c r="H1485" s="34">
        <v>46175</v>
      </c>
      <c r="I1485" t="s">
        <v>14</v>
      </c>
      <c r="J1485">
        <f>VLOOKUP(E1485,'Room Count'!A$2:B$2616,2,FALSE)</f>
        <v>133</v>
      </c>
    </row>
    <row r="1486" spans="1:10" hidden="1">
      <c r="A1486" s="33" t="s">
        <v>44</v>
      </c>
      <c r="B1486" s="33" t="s">
        <v>1941</v>
      </c>
      <c r="C1486" s="33">
        <v>112109</v>
      </c>
      <c r="D1486" s="33" t="s">
        <v>1941</v>
      </c>
      <c r="E1486" s="33">
        <v>1495</v>
      </c>
      <c r="F1486" s="33" t="s">
        <v>26</v>
      </c>
      <c r="G1486" s="33" t="s">
        <v>1942</v>
      </c>
      <c r="H1486" s="34">
        <v>46175</v>
      </c>
      <c r="I1486" t="s">
        <v>14</v>
      </c>
      <c r="J1486">
        <f>VLOOKUP(E1486,'Room Count'!A$2:B$2616,2,FALSE)</f>
        <v>101</v>
      </c>
    </row>
    <row r="1487" spans="1:10" hidden="1">
      <c r="A1487" s="33" t="s">
        <v>44</v>
      </c>
      <c r="B1487" s="33" t="s">
        <v>1943</v>
      </c>
      <c r="C1487" s="33">
        <v>112133</v>
      </c>
      <c r="D1487" s="33" t="s">
        <v>1943</v>
      </c>
      <c r="E1487" s="33">
        <v>1507</v>
      </c>
      <c r="F1487" s="33" t="s">
        <v>26</v>
      </c>
      <c r="G1487" s="33" t="s">
        <v>1944</v>
      </c>
      <c r="H1487" s="34">
        <v>46175</v>
      </c>
      <c r="I1487" t="s">
        <v>14</v>
      </c>
      <c r="J1487">
        <f>VLOOKUP(E1487,'Room Count'!A$2:B$2616,2,FALSE)</f>
        <v>103</v>
      </c>
    </row>
    <row r="1488" spans="1:10" hidden="1">
      <c r="A1488" s="33" t="s">
        <v>44</v>
      </c>
      <c r="B1488" s="33" t="s">
        <v>1945</v>
      </c>
      <c r="C1488" s="33">
        <v>112101</v>
      </c>
      <c r="D1488" s="33" t="s">
        <v>1945</v>
      </c>
      <c r="E1488" s="33">
        <v>1491</v>
      </c>
      <c r="F1488" s="33" t="s">
        <v>26</v>
      </c>
      <c r="G1488" s="33" t="s">
        <v>1946</v>
      </c>
      <c r="H1488" s="34">
        <v>46175</v>
      </c>
      <c r="I1488" t="s">
        <v>14</v>
      </c>
      <c r="J1488">
        <f>VLOOKUP(E1488,'Room Count'!A$2:B$2616,2,FALSE)</f>
        <v>92</v>
      </c>
    </row>
    <row r="1489" spans="1:10" hidden="1">
      <c r="A1489" s="33" t="s">
        <v>44</v>
      </c>
      <c r="B1489" s="33" t="s">
        <v>1947</v>
      </c>
      <c r="C1489" s="33">
        <v>112137</v>
      </c>
      <c r="D1489" s="33" t="s">
        <v>1947</v>
      </c>
      <c r="E1489" s="33">
        <v>1509</v>
      </c>
      <c r="F1489" s="33" t="s">
        <v>26</v>
      </c>
      <c r="G1489" s="33" t="s">
        <v>1948</v>
      </c>
      <c r="H1489" s="34">
        <v>46175</v>
      </c>
      <c r="I1489" t="s">
        <v>14</v>
      </c>
      <c r="J1489">
        <f>VLOOKUP(E1489,'Room Count'!A$2:B$2616,2,FALSE)</f>
        <v>81</v>
      </c>
    </row>
    <row r="1490" spans="1:10" hidden="1">
      <c r="A1490" s="33" t="s">
        <v>44</v>
      </c>
      <c r="B1490" s="33" t="s">
        <v>1949</v>
      </c>
      <c r="C1490" s="33">
        <v>112155</v>
      </c>
      <c r="D1490" s="33" t="s">
        <v>1949</v>
      </c>
      <c r="E1490" s="33">
        <v>1518</v>
      </c>
      <c r="F1490" s="33" t="s">
        <v>26</v>
      </c>
      <c r="G1490" s="33" t="s">
        <v>1950</v>
      </c>
      <c r="H1490" s="34">
        <v>46175</v>
      </c>
      <c r="I1490" t="s">
        <v>14</v>
      </c>
      <c r="J1490">
        <f>VLOOKUP(E1490,'Room Count'!A$2:B$2616,2,FALSE)</f>
        <v>169</v>
      </c>
    </row>
    <row r="1491" spans="1:10" hidden="1">
      <c r="A1491" s="33" t="s">
        <v>44</v>
      </c>
      <c r="B1491" s="33" t="s">
        <v>1951</v>
      </c>
      <c r="C1491" s="33">
        <v>112285</v>
      </c>
      <c r="D1491" s="33" t="s">
        <v>1951</v>
      </c>
      <c r="E1491" s="33">
        <v>1583</v>
      </c>
      <c r="F1491" s="33" t="s">
        <v>26</v>
      </c>
      <c r="G1491" s="33" t="s">
        <v>1952</v>
      </c>
      <c r="H1491" s="34">
        <v>46175</v>
      </c>
      <c r="I1491" t="s">
        <v>14</v>
      </c>
      <c r="J1491">
        <f>VLOOKUP(E1491,'Room Count'!A$2:B$2616,2,FALSE)</f>
        <v>89</v>
      </c>
    </row>
    <row r="1492" spans="1:10" hidden="1">
      <c r="A1492" s="33" t="s">
        <v>44</v>
      </c>
      <c r="B1492" s="33" t="s">
        <v>1953</v>
      </c>
      <c r="C1492" s="33">
        <v>112007</v>
      </c>
      <c r="D1492" s="33" t="s">
        <v>1953</v>
      </c>
      <c r="E1492" s="33">
        <v>1444</v>
      </c>
      <c r="F1492" s="33" t="s">
        <v>26</v>
      </c>
      <c r="G1492" s="33" t="s">
        <v>1954</v>
      </c>
      <c r="H1492" s="34">
        <v>46175</v>
      </c>
      <c r="I1492" t="s">
        <v>14</v>
      </c>
      <c r="J1492">
        <f>VLOOKUP(E1492,'Room Count'!A$2:B$2616,2,FALSE)</f>
        <v>83</v>
      </c>
    </row>
    <row r="1493" spans="1:10" hidden="1">
      <c r="A1493" s="33" t="s">
        <v>44</v>
      </c>
      <c r="B1493" s="33" t="s">
        <v>1955</v>
      </c>
      <c r="C1493" s="33">
        <v>112173</v>
      </c>
      <c r="D1493" s="33" t="s">
        <v>1955</v>
      </c>
      <c r="E1493" s="33">
        <v>1527</v>
      </c>
      <c r="F1493" s="33" t="s">
        <v>26</v>
      </c>
      <c r="G1493" s="33" t="s">
        <v>1956</v>
      </c>
      <c r="H1493" s="34">
        <v>46175</v>
      </c>
      <c r="I1493" t="s">
        <v>14</v>
      </c>
      <c r="J1493">
        <f>VLOOKUP(E1493,'Room Count'!A$2:B$2616,2,FALSE)</f>
        <v>150</v>
      </c>
    </row>
    <row r="1494" spans="1:10" hidden="1">
      <c r="A1494" s="33" t="s">
        <v>44</v>
      </c>
      <c r="B1494" s="33" t="s">
        <v>1957</v>
      </c>
      <c r="C1494" s="33">
        <v>112251</v>
      </c>
      <c r="D1494" s="33" t="s">
        <v>1957</v>
      </c>
      <c r="E1494" s="33">
        <v>1566</v>
      </c>
      <c r="F1494" s="33" t="s">
        <v>26</v>
      </c>
      <c r="G1494" s="33" t="s">
        <v>1958</v>
      </c>
      <c r="H1494" s="34">
        <v>46175</v>
      </c>
      <c r="I1494" t="s">
        <v>14</v>
      </c>
      <c r="J1494">
        <f>VLOOKUP(E1494,'Room Count'!A$2:B$2616,2,FALSE)</f>
        <v>103</v>
      </c>
    </row>
    <row r="1495" spans="1:10" hidden="1">
      <c r="A1495" s="33" t="s">
        <v>44</v>
      </c>
      <c r="B1495" s="33" t="s">
        <v>1959</v>
      </c>
      <c r="C1495" s="33">
        <v>112263</v>
      </c>
      <c r="D1495" s="33" t="s">
        <v>1959</v>
      </c>
      <c r="E1495" s="33">
        <v>1572</v>
      </c>
      <c r="F1495" s="33" t="s">
        <v>26</v>
      </c>
      <c r="G1495" s="33" t="s">
        <v>1960</v>
      </c>
      <c r="H1495" s="34">
        <v>46175</v>
      </c>
      <c r="I1495" t="s">
        <v>14</v>
      </c>
      <c r="J1495">
        <f>VLOOKUP(E1495,'Room Count'!A$2:B$2616,2,FALSE)</f>
        <v>122</v>
      </c>
    </row>
    <row r="1496" spans="1:10" hidden="1">
      <c r="A1496" s="33" t="s">
        <v>44</v>
      </c>
      <c r="B1496" s="33" t="s">
        <v>1961</v>
      </c>
      <c r="C1496" s="33">
        <v>112243</v>
      </c>
      <c r="D1496" s="33" t="s">
        <v>1961</v>
      </c>
      <c r="E1496" s="33">
        <v>1562</v>
      </c>
      <c r="F1496" s="33" t="s">
        <v>26</v>
      </c>
      <c r="G1496" s="33" t="s">
        <v>1962</v>
      </c>
      <c r="H1496" s="34">
        <v>46175</v>
      </c>
      <c r="I1496" t="s">
        <v>14</v>
      </c>
      <c r="J1496">
        <f>VLOOKUP(E1496,'Room Count'!A$2:B$2616,2,FALSE)</f>
        <v>149</v>
      </c>
    </row>
    <row r="1497" spans="1:10" hidden="1">
      <c r="A1497" s="33" t="s">
        <v>44</v>
      </c>
      <c r="B1497" s="33" t="s">
        <v>1963</v>
      </c>
      <c r="C1497" s="33">
        <v>112025</v>
      </c>
      <c r="D1497" s="33" t="s">
        <v>1963</v>
      </c>
      <c r="E1497" s="33">
        <v>1453</v>
      </c>
      <c r="F1497" s="33" t="s">
        <v>26</v>
      </c>
      <c r="G1497" s="33" t="s">
        <v>1964</v>
      </c>
      <c r="H1497" s="34">
        <v>46175</v>
      </c>
      <c r="I1497" t="s">
        <v>14</v>
      </c>
      <c r="J1497">
        <f>VLOOKUP(E1497,'Room Count'!A$2:B$2616,2,FALSE)</f>
        <v>109</v>
      </c>
    </row>
    <row r="1498" spans="1:10" hidden="1">
      <c r="A1498" s="33" t="s">
        <v>44</v>
      </c>
      <c r="B1498" s="33" t="s">
        <v>1965</v>
      </c>
      <c r="C1498" s="33">
        <v>112179</v>
      </c>
      <c r="D1498" s="33" t="s">
        <v>1965</v>
      </c>
      <c r="E1498" s="33">
        <v>1530</v>
      </c>
      <c r="F1498" s="33" t="s">
        <v>26</v>
      </c>
      <c r="G1498" s="33" t="s">
        <v>1966</v>
      </c>
      <c r="H1498" s="34">
        <v>46175</v>
      </c>
      <c r="I1498" t="s">
        <v>14</v>
      </c>
      <c r="J1498">
        <f>VLOOKUP(E1498,'Room Count'!A$2:B$2616,2,FALSE)</f>
        <v>104</v>
      </c>
    </row>
    <row r="1499" spans="1:10" hidden="1">
      <c r="A1499" s="33" t="s">
        <v>44</v>
      </c>
      <c r="B1499" s="33" t="s">
        <v>1967</v>
      </c>
      <c r="C1499" s="33">
        <v>112141</v>
      </c>
      <c r="D1499" s="33" t="s">
        <v>1967</v>
      </c>
      <c r="E1499" s="33">
        <v>1511</v>
      </c>
      <c r="F1499" s="33" t="s">
        <v>26</v>
      </c>
      <c r="G1499" s="33" t="s">
        <v>1968</v>
      </c>
      <c r="H1499" s="34">
        <v>46175</v>
      </c>
      <c r="I1499" t="s">
        <v>14</v>
      </c>
      <c r="J1499">
        <f>VLOOKUP(E1499,'Room Count'!A$2:B$2616,2,FALSE)</f>
        <v>140</v>
      </c>
    </row>
    <row r="1500" spans="1:10" hidden="1">
      <c r="A1500" s="33" t="s">
        <v>44</v>
      </c>
      <c r="B1500" s="33" t="s">
        <v>1969</v>
      </c>
      <c r="C1500" s="33">
        <v>112249</v>
      </c>
      <c r="D1500" s="33" t="s">
        <v>1969</v>
      </c>
      <c r="E1500" s="33">
        <v>1565</v>
      </c>
      <c r="F1500" s="33" t="s">
        <v>26</v>
      </c>
      <c r="G1500" s="33" t="s">
        <v>1970</v>
      </c>
      <c r="H1500" s="34">
        <v>46175</v>
      </c>
      <c r="I1500" t="s">
        <v>14</v>
      </c>
      <c r="J1500">
        <f>VLOOKUP(E1500,'Room Count'!A$2:B$2616,2,FALSE)</f>
        <v>92</v>
      </c>
    </row>
    <row r="1501" spans="1:10" hidden="1">
      <c r="A1501" s="33" t="s">
        <v>44</v>
      </c>
      <c r="B1501" s="33" t="s">
        <v>1971</v>
      </c>
      <c r="C1501" s="33">
        <v>112075</v>
      </c>
      <c r="D1501" s="33" t="s">
        <v>1971</v>
      </c>
      <c r="E1501" s="33">
        <v>1478</v>
      </c>
      <c r="F1501" s="33" t="s">
        <v>26</v>
      </c>
      <c r="G1501" s="33" t="s">
        <v>1972</v>
      </c>
      <c r="H1501" s="34">
        <v>46175</v>
      </c>
      <c r="I1501" t="s">
        <v>14</v>
      </c>
      <c r="J1501">
        <f>VLOOKUP(E1501,'Room Count'!A$2:B$2616,2,FALSE)</f>
        <v>92</v>
      </c>
    </row>
    <row r="1502" spans="1:10" hidden="1">
      <c r="A1502" s="33" t="s">
        <v>44</v>
      </c>
      <c r="B1502" s="33" t="s">
        <v>1973</v>
      </c>
      <c r="C1502" s="33">
        <v>112253</v>
      </c>
      <c r="D1502" s="33" t="s">
        <v>1973</v>
      </c>
      <c r="E1502" s="33">
        <v>1567</v>
      </c>
      <c r="F1502" s="33" t="s">
        <v>26</v>
      </c>
      <c r="G1502" s="33" t="s">
        <v>1974</v>
      </c>
      <c r="H1502" s="34">
        <v>46175</v>
      </c>
      <c r="I1502" t="s">
        <v>14</v>
      </c>
      <c r="J1502">
        <f>VLOOKUP(E1502,'Room Count'!A$2:B$2616,2,FALSE)</f>
        <v>86</v>
      </c>
    </row>
    <row r="1503" spans="1:10" hidden="1">
      <c r="A1503" s="33" t="s">
        <v>44</v>
      </c>
      <c r="B1503" s="33" t="s">
        <v>1975</v>
      </c>
      <c r="C1503" s="33">
        <v>112047</v>
      </c>
      <c r="D1503" s="33" t="s">
        <v>1975</v>
      </c>
      <c r="E1503" s="33">
        <v>1464</v>
      </c>
      <c r="F1503" s="33" t="s">
        <v>26</v>
      </c>
      <c r="G1503" s="33" t="s">
        <v>1976</v>
      </c>
      <c r="H1503" s="34">
        <v>46175</v>
      </c>
      <c r="I1503" t="s">
        <v>14</v>
      </c>
      <c r="J1503">
        <f>VLOOKUP(E1503,'Room Count'!A$2:B$2616,2,FALSE)</f>
        <v>78</v>
      </c>
    </row>
    <row r="1504" spans="1:10" hidden="1">
      <c r="A1504" s="33" t="s">
        <v>44</v>
      </c>
      <c r="B1504" s="33" t="s">
        <v>1977</v>
      </c>
      <c r="C1504" s="33">
        <v>112067</v>
      </c>
      <c r="D1504" s="33" t="s">
        <v>1977</v>
      </c>
      <c r="E1504" s="33">
        <v>1474</v>
      </c>
      <c r="F1504" s="33" t="s">
        <v>26</v>
      </c>
      <c r="G1504" s="33" t="s">
        <v>1978</v>
      </c>
      <c r="H1504" s="34">
        <v>46175</v>
      </c>
      <c r="I1504" t="s">
        <v>14</v>
      </c>
      <c r="J1504">
        <f>VLOOKUP(E1504,'Room Count'!A$2:B$2616,2,FALSE)</f>
        <v>92</v>
      </c>
    </row>
    <row r="1505" spans="1:10" hidden="1">
      <c r="A1505" s="33" t="s">
        <v>44</v>
      </c>
      <c r="B1505" s="33" t="s">
        <v>1979</v>
      </c>
      <c r="C1505" s="33">
        <v>112153</v>
      </c>
      <c r="D1505" s="33" t="s">
        <v>1979</v>
      </c>
      <c r="E1505" s="33">
        <v>1517</v>
      </c>
      <c r="F1505" s="33" t="s">
        <v>26</v>
      </c>
      <c r="G1505" s="33" t="s">
        <v>1980</v>
      </c>
      <c r="H1505" s="34">
        <v>46175</v>
      </c>
      <c r="I1505" t="s">
        <v>14</v>
      </c>
      <c r="J1505">
        <f>VLOOKUP(E1505,'Room Count'!A$2:B$2616,2,FALSE)</f>
        <v>82</v>
      </c>
    </row>
    <row r="1506" spans="1:10" hidden="1">
      <c r="A1506" s="33" t="s">
        <v>44</v>
      </c>
      <c r="B1506" s="33" t="s">
        <v>1981</v>
      </c>
      <c r="C1506" s="33">
        <v>112217</v>
      </c>
      <c r="D1506" s="33" t="s">
        <v>1981</v>
      </c>
      <c r="E1506" s="33">
        <v>1549</v>
      </c>
      <c r="F1506" s="33" t="s">
        <v>26</v>
      </c>
      <c r="G1506" s="33" t="s">
        <v>1982</v>
      </c>
      <c r="H1506" s="34">
        <v>46175</v>
      </c>
      <c r="I1506" t="s">
        <v>14</v>
      </c>
      <c r="J1506">
        <f>VLOOKUP(E1506,'Room Count'!A$2:B$2616,2,FALSE)</f>
        <v>70</v>
      </c>
    </row>
    <row r="1507" spans="1:10" hidden="1">
      <c r="A1507" s="33" t="s">
        <v>44</v>
      </c>
      <c r="B1507" s="33" t="s">
        <v>1983</v>
      </c>
      <c r="C1507" s="33">
        <v>112041</v>
      </c>
      <c r="D1507" s="33" t="s">
        <v>1983</v>
      </c>
      <c r="E1507" s="33">
        <v>1461</v>
      </c>
      <c r="F1507" s="33" t="s">
        <v>26</v>
      </c>
      <c r="G1507" s="33" t="s">
        <v>1984</v>
      </c>
      <c r="H1507" s="34">
        <v>46175</v>
      </c>
      <c r="I1507" t="s">
        <v>14</v>
      </c>
      <c r="J1507">
        <f>VLOOKUP(E1507,'Room Count'!A$2:B$2616,2,FALSE)</f>
        <v>98</v>
      </c>
    </row>
    <row r="1508" spans="1:10" hidden="1">
      <c r="A1508" s="33" t="s">
        <v>44</v>
      </c>
      <c r="B1508" s="33" t="s">
        <v>1985</v>
      </c>
      <c r="C1508" s="33">
        <v>112027</v>
      </c>
      <c r="D1508" s="33" t="s">
        <v>1985</v>
      </c>
      <c r="E1508" s="33">
        <v>1454</v>
      </c>
      <c r="F1508" s="33" t="s">
        <v>26</v>
      </c>
      <c r="G1508" s="33" t="s">
        <v>1986</v>
      </c>
      <c r="H1508" s="34">
        <v>46175</v>
      </c>
      <c r="I1508" t="s">
        <v>14</v>
      </c>
      <c r="J1508">
        <f>VLOOKUP(E1508,'Room Count'!A$2:B$2616,2,FALSE)</f>
        <v>71</v>
      </c>
    </row>
    <row r="1509" spans="1:10" hidden="1">
      <c r="A1509" s="33" t="s">
        <v>44</v>
      </c>
      <c r="B1509" s="33" t="s">
        <v>1987</v>
      </c>
      <c r="C1509" s="33">
        <v>112105</v>
      </c>
      <c r="D1509" s="33" t="s">
        <v>1987</v>
      </c>
      <c r="E1509" s="33">
        <v>1493</v>
      </c>
      <c r="F1509" s="33" t="s">
        <v>26</v>
      </c>
      <c r="G1509" s="33" t="s">
        <v>1988</v>
      </c>
      <c r="H1509" s="34">
        <v>46175</v>
      </c>
      <c r="I1509" t="s">
        <v>14</v>
      </c>
      <c r="J1509">
        <f>VLOOKUP(E1509,'Room Count'!A$2:B$2616,2,FALSE)</f>
        <v>131</v>
      </c>
    </row>
    <row r="1510" spans="1:10" hidden="1">
      <c r="A1510" s="33" t="s">
        <v>44</v>
      </c>
      <c r="B1510" s="33" t="s">
        <v>1989</v>
      </c>
      <c r="C1510" s="33">
        <v>112209</v>
      </c>
      <c r="D1510" s="33" t="s">
        <v>1989</v>
      </c>
      <c r="E1510" s="33">
        <v>1545</v>
      </c>
      <c r="F1510" s="33" t="s">
        <v>26</v>
      </c>
      <c r="G1510" s="33" t="s">
        <v>1990</v>
      </c>
      <c r="H1510" s="34">
        <v>46175</v>
      </c>
      <c r="I1510" t="s">
        <v>14</v>
      </c>
      <c r="J1510">
        <f>VLOOKUP(E1510,'Room Count'!A$2:B$2616,2,FALSE)</f>
        <v>134</v>
      </c>
    </row>
    <row r="1511" spans="1:10" hidden="1">
      <c r="A1511" s="33" t="s">
        <v>44</v>
      </c>
      <c r="B1511" s="33" t="s">
        <v>1991</v>
      </c>
      <c r="C1511" s="33">
        <v>112277</v>
      </c>
      <c r="D1511" s="33" t="s">
        <v>1991</v>
      </c>
      <c r="E1511" s="33">
        <v>1579</v>
      </c>
      <c r="F1511" s="33" t="s">
        <v>26</v>
      </c>
      <c r="G1511" s="33" t="s">
        <v>1992</v>
      </c>
      <c r="H1511" s="34">
        <v>46175</v>
      </c>
      <c r="I1511" t="s">
        <v>14</v>
      </c>
      <c r="J1511">
        <f>VLOOKUP(E1511,'Room Count'!A$2:B$2616,2,FALSE)</f>
        <v>106</v>
      </c>
    </row>
    <row r="1512" spans="1:10" hidden="1">
      <c r="A1512" s="33" t="s">
        <v>44</v>
      </c>
      <c r="B1512" s="33" t="s">
        <v>1993</v>
      </c>
      <c r="C1512" s="33">
        <v>112017</v>
      </c>
      <c r="D1512" s="33" t="s">
        <v>1993</v>
      </c>
      <c r="E1512" s="33">
        <v>1449</v>
      </c>
      <c r="F1512" s="33" t="s">
        <v>26</v>
      </c>
      <c r="G1512" s="33" t="s">
        <v>1994</v>
      </c>
      <c r="H1512" s="34">
        <v>46175</v>
      </c>
      <c r="I1512" t="s">
        <v>14</v>
      </c>
      <c r="J1512">
        <f>VLOOKUP(E1512,'Room Count'!A$2:B$2616,2,FALSE)</f>
        <v>84</v>
      </c>
    </row>
    <row r="1513" spans="1:10" hidden="1">
      <c r="A1513" s="33" t="s">
        <v>44</v>
      </c>
      <c r="B1513" s="33" t="s">
        <v>1995</v>
      </c>
      <c r="C1513" s="33">
        <v>112043</v>
      </c>
      <c r="D1513" s="33" t="s">
        <v>1995</v>
      </c>
      <c r="E1513" s="33">
        <v>1462</v>
      </c>
      <c r="F1513" s="33" t="s">
        <v>26</v>
      </c>
      <c r="G1513" s="33" t="s">
        <v>1996</v>
      </c>
      <c r="H1513" s="34">
        <v>46175</v>
      </c>
      <c r="I1513" t="s">
        <v>14</v>
      </c>
      <c r="J1513">
        <f>VLOOKUP(E1513,'Room Count'!A$2:B$2616,2,FALSE)</f>
        <v>98</v>
      </c>
    </row>
    <row r="1514" spans="1:10" hidden="1">
      <c r="A1514" s="33" t="s">
        <v>44</v>
      </c>
      <c r="B1514" s="33" t="s">
        <v>1997</v>
      </c>
      <c r="C1514" s="33">
        <v>112181</v>
      </c>
      <c r="D1514" s="33" t="s">
        <v>1997</v>
      </c>
      <c r="E1514" s="33">
        <v>1531</v>
      </c>
      <c r="F1514" s="33" t="s">
        <v>26</v>
      </c>
      <c r="G1514" s="33" t="s">
        <v>1998</v>
      </c>
      <c r="H1514" s="34">
        <v>46175</v>
      </c>
      <c r="I1514" t="s">
        <v>14</v>
      </c>
      <c r="J1514">
        <f>VLOOKUP(E1514,'Room Count'!A$2:B$2616,2,FALSE)</f>
        <v>96</v>
      </c>
    </row>
    <row r="1515" spans="1:10" hidden="1">
      <c r="A1515" s="33" t="s">
        <v>44</v>
      </c>
      <c r="B1515" s="33" t="s">
        <v>1999</v>
      </c>
      <c r="C1515" s="33">
        <v>112065</v>
      </c>
      <c r="D1515" s="33" t="s">
        <v>1999</v>
      </c>
      <c r="E1515" s="33">
        <v>1473</v>
      </c>
      <c r="F1515" s="33" t="s">
        <v>26</v>
      </c>
      <c r="G1515" s="33" t="s">
        <v>2000</v>
      </c>
      <c r="H1515" s="34">
        <v>46175</v>
      </c>
      <c r="I1515" t="s">
        <v>14</v>
      </c>
      <c r="J1515">
        <f>VLOOKUP(E1515,'Room Count'!A$2:B$2616,2,FALSE)</f>
        <v>88</v>
      </c>
    </row>
    <row r="1516" spans="1:10" hidden="1">
      <c r="A1516" s="33" t="s">
        <v>44</v>
      </c>
      <c r="B1516" s="33" t="s">
        <v>2001</v>
      </c>
      <c r="C1516" s="33">
        <v>112169</v>
      </c>
      <c r="D1516" s="33" t="s">
        <v>2001</v>
      </c>
      <c r="E1516" s="33">
        <v>1525</v>
      </c>
      <c r="F1516" s="33" t="s">
        <v>26</v>
      </c>
      <c r="G1516" s="33" t="s">
        <v>2002</v>
      </c>
      <c r="H1516" s="34">
        <v>46175</v>
      </c>
      <c r="I1516" t="s">
        <v>14</v>
      </c>
      <c r="J1516">
        <f>VLOOKUP(E1516,'Room Count'!A$2:B$2616,2,FALSE)</f>
        <v>137</v>
      </c>
    </row>
    <row r="1517" spans="1:10" hidden="1">
      <c r="A1517" s="33" t="s">
        <v>44</v>
      </c>
      <c r="B1517" s="33" t="s">
        <v>2003</v>
      </c>
      <c r="C1517" s="33">
        <v>112015</v>
      </c>
      <c r="D1517" s="33" t="s">
        <v>2003</v>
      </c>
      <c r="E1517" s="33">
        <v>1448</v>
      </c>
      <c r="F1517" s="33" t="s">
        <v>26</v>
      </c>
      <c r="G1517" s="33" t="s">
        <v>2004</v>
      </c>
      <c r="H1517" s="34">
        <v>46175</v>
      </c>
      <c r="I1517" t="s">
        <v>14</v>
      </c>
      <c r="J1517">
        <f>VLOOKUP(E1517,'Room Count'!A$2:B$2616,2,FALSE)</f>
        <v>90</v>
      </c>
    </row>
    <row r="1518" spans="1:10" hidden="1">
      <c r="A1518" s="33" t="s">
        <v>44</v>
      </c>
      <c r="B1518" s="33" t="s">
        <v>2005</v>
      </c>
      <c r="C1518" s="33">
        <v>112035</v>
      </c>
      <c r="D1518" s="33" t="s">
        <v>2005</v>
      </c>
      <c r="E1518" s="33">
        <v>1458</v>
      </c>
      <c r="F1518" s="33" t="s">
        <v>26</v>
      </c>
      <c r="G1518" s="33" t="s">
        <v>2006</v>
      </c>
      <c r="H1518" s="34">
        <v>46175</v>
      </c>
      <c r="I1518" t="s">
        <v>14</v>
      </c>
      <c r="J1518">
        <f>VLOOKUP(E1518,'Room Count'!A$2:B$2616,2,FALSE)</f>
        <v>84</v>
      </c>
    </row>
    <row r="1519" spans="1:10" hidden="1">
      <c r="A1519" s="33" t="s">
        <v>44</v>
      </c>
      <c r="B1519" s="33" t="s">
        <v>2007</v>
      </c>
      <c r="C1519" s="33">
        <v>112129</v>
      </c>
      <c r="D1519" s="33" t="s">
        <v>2007</v>
      </c>
      <c r="E1519" s="33">
        <v>1505</v>
      </c>
      <c r="F1519" s="33" t="s">
        <v>26</v>
      </c>
      <c r="G1519" s="33" t="s">
        <v>2008</v>
      </c>
      <c r="H1519" s="34">
        <v>46175</v>
      </c>
      <c r="I1519" t="s">
        <v>14</v>
      </c>
      <c r="J1519">
        <f>VLOOKUP(E1519,'Room Count'!A$2:B$2616,2,FALSE)</f>
        <v>114</v>
      </c>
    </row>
    <row r="1520" spans="1:10" hidden="1">
      <c r="A1520" s="33" t="s">
        <v>44</v>
      </c>
      <c r="B1520" s="33" t="s">
        <v>2009</v>
      </c>
      <c r="C1520" s="33">
        <v>112083</v>
      </c>
      <c r="D1520" s="33" t="s">
        <v>2009</v>
      </c>
      <c r="E1520" s="33">
        <v>1482</v>
      </c>
      <c r="F1520" s="33" t="s">
        <v>26</v>
      </c>
      <c r="G1520" s="33" t="s">
        <v>2010</v>
      </c>
      <c r="H1520" s="34">
        <v>46175</v>
      </c>
      <c r="I1520" t="s">
        <v>14</v>
      </c>
      <c r="J1520">
        <f>VLOOKUP(E1520,'Room Count'!A$2:B$2616,2,FALSE)</f>
        <v>110</v>
      </c>
    </row>
    <row r="1521" spans="1:10" hidden="1">
      <c r="A1521" s="33" t="s">
        <v>44</v>
      </c>
      <c r="B1521" s="33" t="s">
        <v>2011</v>
      </c>
      <c r="C1521" s="33">
        <v>112107</v>
      </c>
      <c r="D1521" s="33" t="s">
        <v>2011</v>
      </c>
      <c r="E1521" s="33">
        <v>1494</v>
      </c>
      <c r="F1521" s="33" t="s">
        <v>26</v>
      </c>
      <c r="G1521" s="33" t="s">
        <v>2012</v>
      </c>
      <c r="H1521" s="34">
        <v>46175</v>
      </c>
      <c r="I1521" t="s">
        <v>14</v>
      </c>
      <c r="J1521">
        <f>VLOOKUP(E1521,'Room Count'!A$2:B$2616,2,FALSE)</f>
        <v>62</v>
      </c>
    </row>
    <row r="1522" spans="1:10" hidden="1">
      <c r="A1522" s="33" t="s">
        <v>44</v>
      </c>
      <c r="B1522" s="33" t="s">
        <v>2013</v>
      </c>
      <c r="C1522" s="33">
        <v>112255</v>
      </c>
      <c r="D1522" s="33" t="s">
        <v>2013</v>
      </c>
      <c r="E1522" s="33">
        <v>1568</v>
      </c>
      <c r="F1522" s="33" t="s">
        <v>26</v>
      </c>
      <c r="G1522" s="33" t="s">
        <v>2014</v>
      </c>
      <c r="H1522" s="34">
        <v>46175</v>
      </c>
      <c r="I1522" t="s">
        <v>14</v>
      </c>
      <c r="J1522">
        <f>VLOOKUP(E1522,'Room Count'!A$2:B$2616,2,FALSE)</f>
        <v>100</v>
      </c>
    </row>
    <row r="1523" spans="1:10" hidden="1">
      <c r="A1523" s="33" t="s">
        <v>45</v>
      </c>
      <c r="B1523" s="33" t="s">
        <v>2015</v>
      </c>
      <c r="C1523" s="33">
        <v>211049</v>
      </c>
      <c r="D1523" s="33" t="s">
        <v>2015</v>
      </c>
      <c r="E1523" s="33">
        <v>1636</v>
      </c>
      <c r="F1523" s="33" t="s">
        <v>25</v>
      </c>
      <c r="G1523" s="33" t="s">
        <v>2016</v>
      </c>
      <c r="H1523" s="34">
        <v>46182</v>
      </c>
      <c r="I1523" t="s">
        <v>14</v>
      </c>
      <c r="J1523">
        <f>VLOOKUP(E1523,'Room Count'!A$2:B$2616,2,FALSE)</f>
        <v>135</v>
      </c>
    </row>
    <row r="1524" spans="1:10" hidden="1">
      <c r="A1524" s="33" t="s">
        <v>45</v>
      </c>
      <c r="B1524" s="33" t="s">
        <v>2017</v>
      </c>
      <c r="C1524" s="33">
        <v>211055</v>
      </c>
      <c r="D1524" s="33" t="s">
        <v>2017</v>
      </c>
      <c r="E1524" s="33">
        <v>1643</v>
      </c>
      <c r="F1524" s="33" t="s">
        <v>25</v>
      </c>
      <c r="G1524" s="33" t="s">
        <v>2018</v>
      </c>
      <c r="H1524" s="34">
        <v>46182</v>
      </c>
      <c r="I1524" t="s">
        <v>14</v>
      </c>
      <c r="J1524">
        <f>VLOOKUP(E1524,'Room Count'!A$2:B$2616,2,FALSE)</f>
        <v>139</v>
      </c>
    </row>
    <row r="1525" spans="1:10" hidden="1">
      <c r="A1525" s="33" t="s">
        <v>45</v>
      </c>
      <c r="B1525" s="33" t="s">
        <v>2019</v>
      </c>
      <c r="C1525" s="33">
        <v>211057</v>
      </c>
      <c r="D1525" s="33" t="s">
        <v>2019</v>
      </c>
      <c r="E1525" s="33">
        <v>1644</v>
      </c>
      <c r="F1525" s="33" t="s">
        <v>25</v>
      </c>
      <c r="G1525" s="33" t="s">
        <v>2020</v>
      </c>
      <c r="H1525" s="34">
        <v>46182</v>
      </c>
      <c r="I1525" t="s">
        <v>14</v>
      </c>
      <c r="J1525">
        <f>VLOOKUP(E1525,'Room Count'!A$2:B$2616,2,FALSE)</f>
        <v>120</v>
      </c>
    </row>
    <row r="1526" spans="1:10" hidden="1">
      <c r="A1526" s="33" t="s">
        <v>45</v>
      </c>
      <c r="B1526" s="33" t="s">
        <v>2021</v>
      </c>
      <c r="C1526" s="33">
        <v>211059</v>
      </c>
      <c r="D1526" s="33" t="s">
        <v>2021</v>
      </c>
      <c r="E1526" s="33">
        <v>1645</v>
      </c>
      <c r="F1526" s="33" t="s">
        <v>25</v>
      </c>
      <c r="G1526" s="33" t="s">
        <v>2022</v>
      </c>
      <c r="H1526" s="34">
        <v>46182</v>
      </c>
      <c r="I1526" t="s">
        <v>14</v>
      </c>
      <c r="J1526">
        <f>VLOOKUP(E1526,'Room Count'!A$2:B$2616,2,FALSE)</f>
        <v>89</v>
      </c>
    </row>
    <row r="1527" spans="1:10" hidden="1">
      <c r="A1527" s="33" t="s">
        <v>45</v>
      </c>
      <c r="B1527" s="33" t="s">
        <v>2023</v>
      </c>
      <c r="C1527" s="33">
        <v>211061</v>
      </c>
      <c r="D1527" s="33" t="s">
        <v>2023</v>
      </c>
      <c r="E1527" s="33">
        <v>1646</v>
      </c>
      <c r="F1527" s="33" t="s">
        <v>25</v>
      </c>
      <c r="G1527" s="33" t="s">
        <v>2024</v>
      </c>
      <c r="H1527" s="34">
        <v>46182</v>
      </c>
      <c r="I1527" t="s">
        <v>14</v>
      </c>
      <c r="J1527">
        <f>VLOOKUP(E1527,'Room Count'!A$2:B$2616,2,FALSE)</f>
        <v>136</v>
      </c>
    </row>
    <row r="1528" spans="1:10" hidden="1">
      <c r="A1528" s="33" t="s">
        <v>45</v>
      </c>
      <c r="B1528" s="33" t="s">
        <v>2025</v>
      </c>
      <c r="C1528" s="33">
        <v>211051</v>
      </c>
      <c r="D1528" s="33" t="s">
        <v>2025</v>
      </c>
      <c r="E1528" s="33">
        <v>1637</v>
      </c>
      <c r="F1528" s="33" t="s">
        <v>25</v>
      </c>
      <c r="G1528" s="33" t="s">
        <v>2026</v>
      </c>
      <c r="H1528" s="34">
        <v>46182</v>
      </c>
      <c r="I1528" t="s">
        <v>14</v>
      </c>
      <c r="J1528">
        <f>VLOOKUP(E1528,'Room Count'!A$2:B$2616,2,FALSE)</f>
        <v>144</v>
      </c>
    </row>
    <row r="1529" spans="1:10" hidden="1">
      <c r="A1529" s="33" t="s">
        <v>45</v>
      </c>
      <c r="B1529" s="33" t="s">
        <v>2027</v>
      </c>
      <c r="C1529" s="33">
        <v>211053</v>
      </c>
      <c r="D1529" s="33" t="s">
        <v>2027</v>
      </c>
      <c r="E1529" s="33">
        <v>1641</v>
      </c>
      <c r="F1529" s="33" t="s">
        <v>25</v>
      </c>
      <c r="G1529" s="33" t="s">
        <v>2028</v>
      </c>
      <c r="H1529" s="34">
        <v>46182</v>
      </c>
      <c r="I1529" t="s">
        <v>14</v>
      </c>
      <c r="J1529">
        <f>VLOOKUP(E1529,'Room Count'!A$2:B$2616,2,FALSE)</f>
        <v>104</v>
      </c>
    </row>
    <row r="1530" spans="1:10" hidden="1">
      <c r="A1530" s="33" t="s">
        <v>45</v>
      </c>
      <c r="B1530" s="33" t="s">
        <v>2029</v>
      </c>
      <c r="C1530" s="33">
        <v>211047</v>
      </c>
      <c r="D1530" s="33" t="s">
        <v>2029</v>
      </c>
      <c r="E1530" s="33">
        <v>1635</v>
      </c>
      <c r="F1530" s="33" t="s">
        <v>25</v>
      </c>
      <c r="G1530" s="33" t="s">
        <v>2030</v>
      </c>
      <c r="H1530" s="34">
        <v>46182</v>
      </c>
      <c r="I1530" t="s">
        <v>14</v>
      </c>
      <c r="J1530">
        <f>VLOOKUP(E1530,'Room Count'!A$2:B$2616,2,FALSE)</f>
        <v>136</v>
      </c>
    </row>
    <row r="1531" spans="1:10" hidden="1">
      <c r="A1531" s="33" t="s">
        <v>45</v>
      </c>
      <c r="B1531" s="33" t="s">
        <v>2031</v>
      </c>
      <c r="C1531" s="33">
        <v>211063</v>
      </c>
      <c r="D1531" s="33" t="s">
        <v>2031</v>
      </c>
      <c r="E1531" s="33">
        <v>1647</v>
      </c>
      <c r="F1531" s="33" t="s">
        <v>25</v>
      </c>
      <c r="G1531" s="33" t="s">
        <v>2032</v>
      </c>
      <c r="H1531" s="34">
        <v>46182</v>
      </c>
      <c r="I1531" t="s">
        <v>14</v>
      </c>
      <c r="J1531">
        <f>VLOOKUP(E1531,'Room Count'!A$2:B$2616,2,FALSE)</f>
        <v>121</v>
      </c>
    </row>
    <row r="1532" spans="1:10" hidden="1">
      <c r="A1532" s="33" t="s">
        <v>45</v>
      </c>
      <c r="B1532" s="33" t="s">
        <v>2033</v>
      </c>
      <c r="C1532" s="33">
        <v>112317</v>
      </c>
      <c r="D1532" s="33" t="s">
        <v>2033</v>
      </c>
      <c r="E1532" s="33">
        <v>1639</v>
      </c>
      <c r="F1532" s="33" t="s">
        <v>26</v>
      </c>
      <c r="G1532" s="33" t="s">
        <v>2034</v>
      </c>
      <c r="H1532" s="34">
        <v>46182</v>
      </c>
      <c r="I1532" t="s">
        <v>14</v>
      </c>
      <c r="J1532">
        <f>VLOOKUP(E1532,'Room Count'!A$2:B$2616,2,FALSE)</f>
        <v>80</v>
      </c>
    </row>
    <row r="1533" spans="1:10" hidden="1">
      <c r="A1533" s="33" t="s">
        <v>45</v>
      </c>
      <c r="B1533" s="33" t="s">
        <v>2035</v>
      </c>
      <c r="C1533" s="33">
        <v>112319</v>
      </c>
      <c r="D1533" s="33" t="s">
        <v>2035</v>
      </c>
      <c r="E1533" s="33">
        <v>1640</v>
      </c>
      <c r="F1533" s="33" t="s">
        <v>26</v>
      </c>
      <c r="G1533" s="33" t="s">
        <v>2036</v>
      </c>
      <c r="H1533" s="34">
        <v>46182</v>
      </c>
      <c r="I1533" t="s">
        <v>14</v>
      </c>
      <c r="J1533">
        <f>VLOOKUP(E1533,'Room Count'!A$2:B$2616,2,FALSE)</f>
        <v>111</v>
      </c>
    </row>
    <row r="1534" spans="1:10" hidden="1">
      <c r="A1534" s="33" t="s">
        <v>45</v>
      </c>
      <c r="B1534" s="33" t="s">
        <v>2037</v>
      </c>
      <c r="C1534" s="33">
        <v>112307</v>
      </c>
      <c r="D1534" s="33" t="s">
        <v>2037</v>
      </c>
      <c r="E1534" s="33">
        <v>1631</v>
      </c>
      <c r="F1534" s="33" t="s">
        <v>26</v>
      </c>
      <c r="G1534" s="33" t="s">
        <v>2038</v>
      </c>
      <c r="H1534" s="34">
        <v>46182</v>
      </c>
      <c r="I1534" t="s">
        <v>14</v>
      </c>
      <c r="J1534">
        <f>VLOOKUP(E1534,'Room Count'!A$2:B$2616,2,FALSE)</f>
        <v>136</v>
      </c>
    </row>
    <row r="1535" spans="1:10" hidden="1">
      <c r="A1535" s="33" t="s">
        <v>45</v>
      </c>
      <c r="B1535" s="33" t="s">
        <v>2039</v>
      </c>
      <c r="C1535" s="33">
        <v>112299</v>
      </c>
      <c r="D1535" s="33" t="s">
        <v>2039</v>
      </c>
      <c r="E1535" s="33">
        <v>1627</v>
      </c>
      <c r="F1535" s="33" t="s">
        <v>26</v>
      </c>
      <c r="G1535" s="33" t="s">
        <v>2040</v>
      </c>
      <c r="H1535" s="34">
        <v>46182</v>
      </c>
      <c r="I1535" t="s">
        <v>14</v>
      </c>
      <c r="J1535">
        <f>VLOOKUP(E1535,'Room Count'!A$2:B$2616,2,FALSE)</f>
        <v>175</v>
      </c>
    </row>
    <row r="1536" spans="1:10" hidden="1">
      <c r="A1536" s="33" t="s">
        <v>45</v>
      </c>
      <c r="B1536" s="33" t="s">
        <v>2041</v>
      </c>
      <c r="C1536" s="33">
        <v>112309</v>
      </c>
      <c r="D1536" s="33" t="s">
        <v>2041</v>
      </c>
      <c r="E1536" s="33">
        <v>1632</v>
      </c>
      <c r="F1536" s="33" t="s">
        <v>26</v>
      </c>
      <c r="G1536" s="33" t="s">
        <v>2042</v>
      </c>
      <c r="H1536" s="34">
        <v>46182</v>
      </c>
      <c r="I1536" t="s">
        <v>14</v>
      </c>
      <c r="J1536">
        <f>VLOOKUP(E1536,'Room Count'!A$2:B$2616,2,FALSE)</f>
        <v>138</v>
      </c>
    </row>
    <row r="1537" spans="1:10" hidden="1">
      <c r="A1537" s="33" t="s">
        <v>45</v>
      </c>
      <c r="B1537" s="33" t="s">
        <v>2043</v>
      </c>
      <c r="C1537" s="33">
        <v>112301</v>
      </c>
      <c r="D1537" s="33" t="s">
        <v>2043</v>
      </c>
      <c r="E1537" s="33">
        <v>1628</v>
      </c>
      <c r="F1537" s="33" t="s">
        <v>26</v>
      </c>
      <c r="G1537" s="33" t="s">
        <v>2044</v>
      </c>
      <c r="H1537" s="34">
        <v>46182</v>
      </c>
      <c r="I1537" t="s">
        <v>14</v>
      </c>
      <c r="J1537">
        <f>VLOOKUP(E1537,'Room Count'!A$2:B$2616,2,FALSE)</f>
        <v>146</v>
      </c>
    </row>
    <row r="1538" spans="1:10" hidden="1">
      <c r="A1538" s="33" t="s">
        <v>45</v>
      </c>
      <c r="B1538" s="33" t="s">
        <v>2045</v>
      </c>
      <c r="C1538" s="33">
        <v>112313</v>
      </c>
      <c r="D1538" s="33" t="s">
        <v>2045</v>
      </c>
      <c r="E1538" s="33">
        <v>1634</v>
      </c>
      <c r="F1538" s="33" t="s">
        <v>26</v>
      </c>
      <c r="G1538" s="33" t="s">
        <v>2046</v>
      </c>
      <c r="H1538" s="34">
        <v>46182</v>
      </c>
      <c r="I1538" t="s">
        <v>14</v>
      </c>
      <c r="J1538">
        <f>VLOOKUP(E1538,'Room Count'!A$2:B$2616,2,FALSE)</f>
        <v>128</v>
      </c>
    </row>
    <row r="1539" spans="1:10" hidden="1">
      <c r="A1539" s="33" t="s">
        <v>45</v>
      </c>
      <c r="B1539" s="33" t="s">
        <v>2047</v>
      </c>
      <c r="C1539" s="33">
        <v>112321</v>
      </c>
      <c r="D1539" s="33" t="s">
        <v>2047</v>
      </c>
      <c r="E1539" s="33">
        <v>1642</v>
      </c>
      <c r="F1539" s="33" t="s">
        <v>26</v>
      </c>
      <c r="G1539" s="33" t="s">
        <v>2048</v>
      </c>
      <c r="H1539" s="34">
        <v>46182</v>
      </c>
      <c r="I1539" t="s">
        <v>14</v>
      </c>
      <c r="J1539">
        <f>VLOOKUP(E1539,'Room Count'!A$2:B$2616,2,FALSE)</f>
        <v>160</v>
      </c>
    </row>
    <row r="1540" spans="1:10" hidden="1">
      <c r="A1540" s="33" t="s">
        <v>45</v>
      </c>
      <c r="B1540" s="33" t="s">
        <v>2049</v>
      </c>
      <c r="C1540" s="33">
        <v>112315</v>
      </c>
      <c r="D1540" s="33" t="s">
        <v>2049</v>
      </c>
      <c r="E1540" s="33">
        <v>1638</v>
      </c>
      <c r="F1540" s="33" t="s">
        <v>26</v>
      </c>
      <c r="G1540" s="33" t="s">
        <v>2050</v>
      </c>
      <c r="H1540" s="34">
        <v>46182</v>
      </c>
      <c r="I1540" t="s">
        <v>14</v>
      </c>
      <c r="J1540">
        <f>VLOOKUP(E1540,'Room Count'!A$2:B$2616,2,FALSE)</f>
        <v>150</v>
      </c>
    </row>
    <row r="1541" spans="1:10" hidden="1">
      <c r="A1541" s="33" t="s">
        <v>45</v>
      </c>
      <c r="B1541" s="33" t="s">
        <v>2051</v>
      </c>
      <c r="C1541" s="33">
        <v>112311</v>
      </c>
      <c r="D1541" s="33" t="s">
        <v>2051</v>
      </c>
      <c r="E1541" s="33">
        <v>1633</v>
      </c>
      <c r="F1541" s="33" t="s">
        <v>26</v>
      </c>
      <c r="G1541" s="33" t="s">
        <v>2052</v>
      </c>
      <c r="H1541" s="34">
        <v>46182</v>
      </c>
      <c r="I1541" t="s">
        <v>14</v>
      </c>
      <c r="J1541">
        <f>VLOOKUP(E1541,'Room Count'!A$2:B$2616,2,FALSE)</f>
        <v>157</v>
      </c>
    </row>
    <row r="1542" spans="1:10" hidden="1">
      <c r="A1542" s="33" t="s">
        <v>45</v>
      </c>
      <c r="B1542" s="33" t="s">
        <v>2053</v>
      </c>
      <c r="C1542" s="33">
        <v>112305</v>
      </c>
      <c r="D1542" s="33" t="s">
        <v>2053</v>
      </c>
      <c r="E1542" s="33">
        <v>1630</v>
      </c>
      <c r="F1542" s="33" t="s">
        <v>26</v>
      </c>
      <c r="G1542" s="33" t="s">
        <v>2054</v>
      </c>
      <c r="H1542" s="34">
        <v>46182</v>
      </c>
      <c r="I1542" t="s">
        <v>14</v>
      </c>
      <c r="J1542">
        <f>VLOOKUP(E1542,'Room Count'!A$2:B$2616,2,FALSE)</f>
        <v>82</v>
      </c>
    </row>
    <row r="1543" spans="1:10" hidden="1">
      <c r="A1543" s="33" t="s">
        <v>45</v>
      </c>
      <c r="B1543" s="33" t="s">
        <v>2055</v>
      </c>
      <c r="C1543" s="33">
        <v>112303</v>
      </c>
      <c r="D1543" s="33" t="s">
        <v>2055</v>
      </c>
      <c r="E1543" s="33">
        <v>1629</v>
      </c>
      <c r="F1543" s="33" t="s">
        <v>26</v>
      </c>
      <c r="G1543" s="33" t="s">
        <v>2056</v>
      </c>
      <c r="H1543" s="34">
        <v>46182</v>
      </c>
      <c r="I1543" t="s">
        <v>14</v>
      </c>
      <c r="J1543">
        <f>VLOOKUP(E1543,'Room Count'!A$2:B$2616,2,FALSE)</f>
        <v>120</v>
      </c>
    </row>
    <row r="1544" spans="1:10" hidden="1">
      <c r="A1544" s="33" t="s">
        <v>45</v>
      </c>
      <c r="B1544" s="33" t="s">
        <v>2057</v>
      </c>
      <c r="C1544" s="33">
        <v>112297</v>
      </c>
      <c r="D1544" s="33" t="s">
        <v>2057</v>
      </c>
      <c r="E1544" s="33">
        <v>1626</v>
      </c>
      <c r="F1544" s="33" t="s">
        <v>26</v>
      </c>
      <c r="G1544" s="33" t="s">
        <v>2058</v>
      </c>
      <c r="H1544" s="34">
        <v>46182</v>
      </c>
      <c r="I1544" t="s">
        <v>14</v>
      </c>
      <c r="J1544">
        <f>VLOOKUP(E1544,'Room Count'!A$2:B$2616,2,FALSE)</f>
        <v>107</v>
      </c>
    </row>
    <row r="1545" spans="1:10" hidden="1">
      <c r="A1545" s="33" t="s">
        <v>46</v>
      </c>
      <c r="B1545" s="33" t="s">
        <v>2059</v>
      </c>
      <c r="C1545" s="33">
        <v>212075</v>
      </c>
      <c r="D1545" s="33" t="s">
        <v>2059</v>
      </c>
      <c r="E1545" s="33">
        <v>1755</v>
      </c>
      <c r="F1545" s="33" t="s">
        <v>27</v>
      </c>
      <c r="G1545" s="33" t="s">
        <v>2060</v>
      </c>
      <c r="H1545" s="34">
        <v>46189</v>
      </c>
      <c r="I1545" t="s">
        <v>14</v>
      </c>
      <c r="J1545">
        <f>VLOOKUP(E1545,'Room Count'!A$2:B$2616,2,FALSE)</f>
        <v>65</v>
      </c>
    </row>
    <row r="1546" spans="1:10" hidden="1">
      <c r="A1546" s="33" t="s">
        <v>46</v>
      </c>
      <c r="B1546" s="33" t="s">
        <v>2061</v>
      </c>
      <c r="C1546" s="33">
        <v>212071</v>
      </c>
      <c r="D1546" s="33" t="s">
        <v>2061</v>
      </c>
      <c r="E1546" s="33">
        <v>1753</v>
      </c>
      <c r="F1546" s="33" t="s">
        <v>27</v>
      </c>
      <c r="G1546" s="33" t="s">
        <v>2062</v>
      </c>
      <c r="H1546" s="34">
        <v>46189</v>
      </c>
      <c r="I1546" t="s">
        <v>14</v>
      </c>
      <c r="J1546">
        <f>VLOOKUP(E1546,'Room Count'!A$2:B$2616,2,FALSE)</f>
        <v>125</v>
      </c>
    </row>
    <row r="1547" spans="1:10" hidden="1">
      <c r="A1547" s="33" t="s">
        <v>46</v>
      </c>
      <c r="B1547" s="33" t="s">
        <v>2063</v>
      </c>
      <c r="C1547" s="33">
        <v>212069</v>
      </c>
      <c r="D1547" s="33" t="s">
        <v>2063</v>
      </c>
      <c r="E1547" s="33">
        <v>1750</v>
      </c>
      <c r="F1547" s="33" t="s">
        <v>27</v>
      </c>
      <c r="G1547" s="33" t="s">
        <v>2064</v>
      </c>
      <c r="H1547" s="34">
        <v>46189</v>
      </c>
      <c r="I1547" t="s">
        <v>14</v>
      </c>
      <c r="J1547">
        <f>VLOOKUP(E1547,'Room Count'!A$2:B$2616,2,FALSE)</f>
        <v>160</v>
      </c>
    </row>
    <row r="1548" spans="1:10" hidden="1">
      <c r="A1548" s="33" t="s">
        <v>46</v>
      </c>
      <c r="B1548" s="33" t="s">
        <v>2065</v>
      </c>
      <c r="C1548" s="33">
        <v>212079</v>
      </c>
      <c r="D1548" s="33" t="s">
        <v>2065</v>
      </c>
      <c r="E1548" s="33">
        <v>1757</v>
      </c>
      <c r="F1548" s="33" t="s">
        <v>27</v>
      </c>
      <c r="G1548" s="33" t="s">
        <v>2066</v>
      </c>
      <c r="H1548" s="34">
        <v>46189</v>
      </c>
      <c r="I1548" t="s">
        <v>14</v>
      </c>
      <c r="J1548">
        <f>VLOOKUP(E1548,'Room Count'!A$2:B$2616,2,FALSE)</f>
        <v>60</v>
      </c>
    </row>
    <row r="1549" spans="1:10" hidden="1">
      <c r="A1549" s="33" t="s">
        <v>46</v>
      </c>
      <c r="B1549" s="33" t="s">
        <v>2067</v>
      </c>
      <c r="C1549" s="33">
        <v>212165</v>
      </c>
      <c r="D1549" s="33" t="s">
        <v>2067</v>
      </c>
      <c r="E1549" s="33">
        <v>1802</v>
      </c>
      <c r="F1549" s="33" t="s">
        <v>27</v>
      </c>
      <c r="G1549" s="33" t="s">
        <v>2068</v>
      </c>
      <c r="H1549" s="34">
        <v>46189</v>
      </c>
      <c r="I1549" t="s">
        <v>14</v>
      </c>
      <c r="J1549">
        <f>VLOOKUP(E1549,'Room Count'!A$2:B$2616,2,FALSE)</f>
        <v>93</v>
      </c>
    </row>
    <row r="1550" spans="1:10" hidden="1">
      <c r="A1550" s="33" t="s">
        <v>46</v>
      </c>
      <c r="B1550" s="33" t="s">
        <v>2069</v>
      </c>
      <c r="C1550" s="33">
        <v>212181</v>
      </c>
      <c r="D1550" s="33" t="s">
        <v>2069</v>
      </c>
      <c r="E1550" s="33">
        <v>1810</v>
      </c>
      <c r="F1550" s="33" t="s">
        <v>27</v>
      </c>
      <c r="G1550" s="33" t="s">
        <v>2070</v>
      </c>
      <c r="H1550" s="34">
        <v>46189</v>
      </c>
      <c r="I1550" t="s">
        <v>14</v>
      </c>
      <c r="J1550">
        <f>VLOOKUP(E1550,'Room Count'!A$2:B$2616,2,FALSE)</f>
        <v>109</v>
      </c>
    </row>
    <row r="1551" spans="1:10" hidden="1">
      <c r="A1551" s="33" t="s">
        <v>46</v>
      </c>
      <c r="B1551" s="33" t="s">
        <v>2071</v>
      </c>
      <c r="C1551" s="33">
        <v>212017</v>
      </c>
      <c r="D1551" s="33" t="s">
        <v>2071</v>
      </c>
      <c r="E1551" s="33">
        <v>1706</v>
      </c>
      <c r="F1551" s="33" t="s">
        <v>27</v>
      </c>
      <c r="G1551" s="33" t="s">
        <v>2072</v>
      </c>
      <c r="H1551" s="34">
        <v>46189</v>
      </c>
      <c r="I1551" t="s">
        <v>14</v>
      </c>
      <c r="J1551">
        <f>VLOOKUP(E1551,'Room Count'!A$2:B$2616,2,FALSE)</f>
        <v>80</v>
      </c>
    </row>
    <row r="1552" spans="1:10" hidden="1">
      <c r="A1552" s="33" t="s">
        <v>46</v>
      </c>
      <c r="B1552" s="33" t="s">
        <v>2073</v>
      </c>
      <c r="C1552" s="33">
        <v>212001</v>
      </c>
      <c r="D1552" s="33" t="s">
        <v>2073</v>
      </c>
      <c r="E1552" s="33">
        <v>1692</v>
      </c>
      <c r="F1552" s="33" t="s">
        <v>27</v>
      </c>
      <c r="G1552" s="33" t="s">
        <v>2074</v>
      </c>
      <c r="H1552" s="34">
        <v>46189</v>
      </c>
      <c r="I1552" t="s">
        <v>14</v>
      </c>
      <c r="J1552">
        <f>VLOOKUP(E1552,'Room Count'!A$2:B$2616,2,FALSE)</f>
        <v>78</v>
      </c>
    </row>
    <row r="1553" spans="1:10" hidden="1">
      <c r="A1553" s="33" t="s">
        <v>46</v>
      </c>
      <c r="B1553" s="33" t="s">
        <v>2075</v>
      </c>
      <c r="C1553" s="33">
        <v>212043</v>
      </c>
      <c r="D1553" s="33" t="s">
        <v>2075</v>
      </c>
      <c r="E1553" s="33">
        <v>1733</v>
      </c>
      <c r="F1553" s="33" t="s">
        <v>27</v>
      </c>
      <c r="G1553" s="33" t="s">
        <v>2076</v>
      </c>
      <c r="H1553" s="34">
        <v>46189</v>
      </c>
      <c r="I1553" t="s">
        <v>14</v>
      </c>
      <c r="J1553">
        <f>VLOOKUP(E1553,'Room Count'!A$2:B$2616,2,FALSE)</f>
        <v>103</v>
      </c>
    </row>
    <row r="1554" spans="1:10" hidden="1">
      <c r="A1554" s="33" t="s">
        <v>46</v>
      </c>
      <c r="B1554" s="33" t="s">
        <v>2077</v>
      </c>
      <c r="C1554" s="33">
        <v>212027</v>
      </c>
      <c r="D1554" s="33" t="s">
        <v>2077</v>
      </c>
      <c r="E1554" s="33">
        <v>1720</v>
      </c>
      <c r="F1554" s="33" t="s">
        <v>27</v>
      </c>
      <c r="G1554" s="33" t="s">
        <v>2078</v>
      </c>
      <c r="H1554" s="34">
        <v>46189</v>
      </c>
      <c r="I1554" t="s">
        <v>14</v>
      </c>
      <c r="J1554">
        <f>VLOOKUP(E1554,'Room Count'!A$2:B$2616,2,FALSE)</f>
        <v>108</v>
      </c>
    </row>
    <row r="1555" spans="1:10" hidden="1">
      <c r="A1555" s="33" t="s">
        <v>46</v>
      </c>
      <c r="B1555" s="33" t="s">
        <v>2079</v>
      </c>
      <c r="C1555" s="33">
        <v>212029</v>
      </c>
      <c r="D1555" s="33" t="s">
        <v>2079</v>
      </c>
      <c r="E1555" s="33">
        <v>1721</v>
      </c>
      <c r="F1555" s="33" t="s">
        <v>27</v>
      </c>
      <c r="G1555" s="33" t="s">
        <v>2080</v>
      </c>
      <c r="H1555" s="34">
        <v>46189</v>
      </c>
      <c r="I1555" t="s">
        <v>14</v>
      </c>
      <c r="J1555">
        <f>VLOOKUP(E1555,'Room Count'!A$2:B$2616,2,FALSE)</f>
        <v>101</v>
      </c>
    </row>
    <row r="1556" spans="1:10" hidden="1">
      <c r="A1556" s="33" t="s">
        <v>46</v>
      </c>
      <c r="B1556" s="33" t="s">
        <v>2081</v>
      </c>
      <c r="C1556" s="33">
        <v>212033</v>
      </c>
      <c r="D1556" s="33" t="s">
        <v>2081</v>
      </c>
      <c r="E1556" s="33">
        <v>1724</v>
      </c>
      <c r="F1556" s="33" t="s">
        <v>27</v>
      </c>
      <c r="G1556" s="33" t="s">
        <v>2082</v>
      </c>
      <c r="H1556" s="34">
        <v>46189</v>
      </c>
      <c r="I1556" t="s">
        <v>14</v>
      </c>
      <c r="J1556">
        <f>VLOOKUP(E1556,'Room Count'!A$2:B$2616,2,FALSE)</f>
        <v>89</v>
      </c>
    </row>
    <row r="1557" spans="1:10" hidden="1">
      <c r="A1557" s="33" t="s">
        <v>46</v>
      </c>
      <c r="B1557" s="33" t="s">
        <v>2083</v>
      </c>
      <c r="C1557" s="33">
        <v>212039</v>
      </c>
      <c r="D1557" s="33" t="s">
        <v>2083</v>
      </c>
      <c r="E1557" s="33">
        <v>1730</v>
      </c>
      <c r="F1557" s="33" t="s">
        <v>27</v>
      </c>
      <c r="G1557" s="33" t="s">
        <v>2084</v>
      </c>
      <c r="H1557" s="34">
        <v>46189</v>
      </c>
      <c r="I1557" t="s">
        <v>14</v>
      </c>
      <c r="J1557">
        <f>VLOOKUP(E1557,'Room Count'!A$2:B$2616,2,FALSE)</f>
        <v>83</v>
      </c>
    </row>
    <row r="1558" spans="1:10" hidden="1">
      <c r="A1558" s="33" t="s">
        <v>46</v>
      </c>
      <c r="B1558" s="33" t="s">
        <v>2085</v>
      </c>
      <c r="C1558" s="33">
        <v>212009</v>
      </c>
      <c r="D1558" s="33" t="s">
        <v>2085</v>
      </c>
      <c r="E1558" s="33">
        <v>1699</v>
      </c>
      <c r="F1558" s="33" t="s">
        <v>27</v>
      </c>
      <c r="G1558" s="33" t="s">
        <v>2086</v>
      </c>
      <c r="H1558" s="34">
        <v>46189</v>
      </c>
      <c r="I1558" t="s">
        <v>14</v>
      </c>
      <c r="J1558">
        <f>VLOOKUP(E1558,'Room Count'!A$2:B$2616,2,FALSE)</f>
        <v>120</v>
      </c>
    </row>
    <row r="1559" spans="1:10" hidden="1">
      <c r="A1559" s="33" t="s">
        <v>46</v>
      </c>
      <c r="B1559" s="33" t="s">
        <v>2087</v>
      </c>
      <c r="C1559" s="33">
        <v>212005</v>
      </c>
      <c r="D1559" s="33" t="s">
        <v>2087</v>
      </c>
      <c r="E1559" s="33">
        <v>1696</v>
      </c>
      <c r="F1559" s="33" t="s">
        <v>27</v>
      </c>
      <c r="G1559" s="33" t="s">
        <v>2088</v>
      </c>
      <c r="H1559" s="34">
        <v>46189</v>
      </c>
      <c r="I1559" t="s">
        <v>14</v>
      </c>
      <c r="J1559">
        <f>VLOOKUP(E1559,'Room Count'!A$2:B$2616,2,FALSE)</f>
        <v>116</v>
      </c>
    </row>
    <row r="1560" spans="1:10" hidden="1">
      <c r="A1560" s="33" t="s">
        <v>46</v>
      </c>
      <c r="B1560" s="33" t="s">
        <v>2089</v>
      </c>
      <c r="C1560" s="33">
        <v>212025</v>
      </c>
      <c r="D1560" s="33" t="s">
        <v>2089</v>
      </c>
      <c r="E1560" s="33">
        <v>1716</v>
      </c>
      <c r="F1560" s="33" t="s">
        <v>27</v>
      </c>
      <c r="G1560" s="33" t="s">
        <v>2090</v>
      </c>
      <c r="H1560" s="34">
        <v>46189</v>
      </c>
      <c r="I1560" t="s">
        <v>14</v>
      </c>
      <c r="J1560">
        <f>VLOOKUP(E1560,'Room Count'!A$2:B$2616,2,FALSE)</f>
        <v>84</v>
      </c>
    </row>
    <row r="1561" spans="1:10" hidden="1">
      <c r="A1561" s="33" t="s">
        <v>46</v>
      </c>
      <c r="B1561" s="33" t="s">
        <v>2091</v>
      </c>
      <c r="C1561" s="33">
        <v>212015</v>
      </c>
      <c r="D1561" s="33" t="s">
        <v>2091</v>
      </c>
      <c r="E1561" s="33">
        <v>1704</v>
      </c>
      <c r="F1561" s="33" t="s">
        <v>27</v>
      </c>
      <c r="G1561" s="33" t="s">
        <v>2092</v>
      </c>
      <c r="H1561" s="34">
        <v>46189</v>
      </c>
      <c r="I1561" t="s">
        <v>14</v>
      </c>
      <c r="J1561">
        <f>VLOOKUP(E1561,'Room Count'!A$2:B$2616,2,FALSE)</f>
        <v>103</v>
      </c>
    </row>
    <row r="1562" spans="1:10" hidden="1">
      <c r="A1562" s="33" t="s">
        <v>46</v>
      </c>
      <c r="B1562" s="33" t="s">
        <v>2093</v>
      </c>
      <c r="C1562" s="33">
        <v>212037</v>
      </c>
      <c r="D1562" s="33" t="s">
        <v>2093</v>
      </c>
      <c r="E1562" s="33">
        <v>1728</v>
      </c>
      <c r="F1562" s="33" t="s">
        <v>27</v>
      </c>
      <c r="G1562" s="33" t="s">
        <v>2094</v>
      </c>
      <c r="H1562" s="34">
        <v>46189</v>
      </c>
      <c r="I1562" t="s">
        <v>14</v>
      </c>
      <c r="J1562">
        <f>VLOOKUP(E1562,'Room Count'!A$2:B$2616,2,FALSE)</f>
        <v>124</v>
      </c>
    </row>
    <row r="1563" spans="1:10" hidden="1">
      <c r="A1563" s="33" t="s">
        <v>46</v>
      </c>
      <c r="B1563" s="33" t="s">
        <v>2095</v>
      </c>
      <c r="C1563" s="33">
        <v>212019</v>
      </c>
      <c r="D1563" s="33" t="s">
        <v>2095</v>
      </c>
      <c r="E1563" s="33">
        <v>1707</v>
      </c>
      <c r="F1563" s="33" t="s">
        <v>27</v>
      </c>
      <c r="G1563" s="33" t="s">
        <v>2096</v>
      </c>
      <c r="H1563" s="34">
        <v>46189</v>
      </c>
      <c r="I1563" t="s">
        <v>14</v>
      </c>
      <c r="J1563">
        <f>VLOOKUP(E1563,'Room Count'!A$2:B$2616,2,FALSE)</f>
        <v>123</v>
      </c>
    </row>
    <row r="1564" spans="1:10" hidden="1">
      <c r="A1564" s="33" t="s">
        <v>46</v>
      </c>
      <c r="B1564" s="33" t="s">
        <v>2097</v>
      </c>
      <c r="C1564" s="33">
        <v>212035</v>
      </c>
      <c r="D1564" s="33" t="s">
        <v>2097</v>
      </c>
      <c r="E1564" s="33">
        <v>1725</v>
      </c>
      <c r="F1564" s="33" t="s">
        <v>27</v>
      </c>
      <c r="G1564" s="33" t="s">
        <v>2098</v>
      </c>
      <c r="H1564" s="34">
        <v>46189</v>
      </c>
      <c r="I1564" t="s">
        <v>14</v>
      </c>
      <c r="J1564">
        <f>VLOOKUP(E1564,'Room Count'!A$2:B$2616,2,FALSE)</f>
        <v>76</v>
      </c>
    </row>
    <row r="1565" spans="1:10" hidden="1">
      <c r="A1565" s="33" t="s">
        <v>46</v>
      </c>
      <c r="B1565" s="33" t="s">
        <v>2099</v>
      </c>
      <c r="C1565" s="33">
        <v>212003</v>
      </c>
      <c r="D1565" s="33" t="s">
        <v>2099</v>
      </c>
      <c r="E1565" s="33">
        <v>1694</v>
      </c>
      <c r="F1565" s="33" t="s">
        <v>27</v>
      </c>
      <c r="G1565" s="33" t="s">
        <v>2100</v>
      </c>
      <c r="H1565" s="34">
        <v>46189</v>
      </c>
      <c r="I1565" t="s">
        <v>14</v>
      </c>
      <c r="J1565">
        <f>VLOOKUP(E1565,'Room Count'!A$2:B$2616,2,FALSE)</f>
        <v>246</v>
      </c>
    </row>
    <row r="1566" spans="1:10" hidden="1">
      <c r="A1566" s="33" t="s">
        <v>46</v>
      </c>
      <c r="B1566" s="33" t="s">
        <v>2101</v>
      </c>
      <c r="C1566" s="33">
        <v>212013</v>
      </c>
      <c r="D1566" s="33" t="s">
        <v>2101</v>
      </c>
      <c r="E1566" s="33">
        <v>1703</v>
      </c>
      <c r="F1566" s="33" t="s">
        <v>27</v>
      </c>
      <c r="G1566" s="33" t="s">
        <v>2102</v>
      </c>
      <c r="H1566" s="34">
        <v>46189</v>
      </c>
      <c r="I1566" t="s">
        <v>14</v>
      </c>
      <c r="J1566">
        <f>VLOOKUP(E1566,'Room Count'!A$2:B$2616,2,FALSE)</f>
        <v>113</v>
      </c>
    </row>
    <row r="1567" spans="1:10" hidden="1">
      <c r="A1567" s="33" t="s">
        <v>46</v>
      </c>
      <c r="B1567" s="33" t="s">
        <v>2103</v>
      </c>
      <c r="C1567" s="33">
        <v>212173</v>
      </c>
      <c r="D1567" s="33" t="s">
        <v>2103</v>
      </c>
      <c r="E1567" s="33">
        <v>1806</v>
      </c>
      <c r="F1567" s="33" t="s">
        <v>27</v>
      </c>
      <c r="G1567" s="33" t="s">
        <v>2104</v>
      </c>
      <c r="H1567" s="34">
        <v>46189</v>
      </c>
      <c r="I1567" t="s">
        <v>14</v>
      </c>
      <c r="J1567">
        <f>VLOOKUP(E1567,'Room Count'!A$2:B$2616,2,FALSE)</f>
        <v>106</v>
      </c>
    </row>
    <row r="1568" spans="1:10" hidden="1">
      <c r="A1568" s="33" t="s">
        <v>46</v>
      </c>
      <c r="B1568" s="33" t="s">
        <v>2105</v>
      </c>
      <c r="C1568" s="33">
        <v>212169</v>
      </c>
      <c r="D1568" s="33" t="s">
        <v>2105</v>
      </c>
      <c r="E1568" s="33">
        <v>1804</v>
      </c>
      <c r="F1568" s="33" t="s">
        <v>27</v>
      </c>
      <c r="G1568" s="33" t="s">
        <v>2106</v>
      </c>
      <c r="H1568" s="34">
        <v>46189</v>
      </c>
      <c r="I1568" t="s">
        <v>14</v>
      </c>
      <c r="J1568">
        <f>VLOOKUP(E1568,'Room Count'!A$2:B$2616,2,FALSE)</f>
        <v>124</v>
      </c>
    </row>
    <row r="1569" spans="1:10" hidden="1">
      <c r="A1569" s="33" t="s">
        <v>46</v>
      </c>
      <c r="B1569" s="33" t="s">
        <v>2107</v>
      </c>
      <c r="C1569" s="33">
        <v>212135</v>
      </c>
      <c r="D1569" s="33" t="s">
        <v>2108</v>
      </c>
      <c r="E1569" s="33">
        <v>1829</v>
      </c>
      <c r="F1569" s="33" t="s">
        <v>27</v>
      </c>
      <c r="G1569" s="33" t="s">
        <v>2109</v>
      </c>
      <c r="H1569" s="34">
        <v>46189</v>
      </c>
      <c r="I1569" t="s">
        <v>14</v>
      </c>
      <c r="J1569">
        <f>VLOOKUP(E1569,'Room Count'!A$2:B$2616,2,FALSE)</f>
        <v>150</v>
      </c>
    </row>
    <row r="1570" spans="1:10" hidden="1">
      <c r="A1570" s="33" t="s">
        <v>46</v>
      </c>
      <c r="B1570" s="33" t="s">
        <v>2110</v>
      </c>
      <c r="C1570" s="33">
        <v>212135</v>
      </c>
      <c r="D1570" s="33" t="s">
        <v>2108</v>
      </c>
      <c r="E1570" s="33">
        <v>1787</v>
      </c>
      <c r="F1570" s="33" t="s">
        <v>27</v>
      </c>
      <c r="G1570" s="33" t="s">
        <v>2111</v>
      </c>
      <c r="H1570" s="34">
        <v>46189</v>
      </c>
      <c r="I1570" t="s">
        <v>14</v>
      </c>
      <c r="J1570">
        <f>VLOOKUP(E1570,'Room Count'!A$2:B$2616,2,FALSE)</f>
        <v>110</v>
      </c>
    </row>
    <row r="1571" spans="1:10" hidden="1">
      <c r="A1571" s="33" t="s">
        <v>46</v>
      </c>
      <c r="B1571" s="33" t="s">
        <v>2112</v>
      </c>
      <c r="C1571" s="33">
        <v>212051</v>
      </c>
      <c r="D1571" s="33" t="s">
        <v>2112</v>
      </c>
      <c r="E1571" s="33">
        <v>1739</v>
      </c>
      <c r="F1571" s="33" t="s">
        <v>27</v>
      </c>
      <c r="G1571" s="33" t="s">
        <v>2113</v>
      </c>
      <c r="H1571" s="34">
        <v>46189</v>
      </c>
      <c r="I1571" t="s">
        <v>14</v>
      </c>
      <c r="J1571">
        <f>VLOOKUP(E1571,'Room Count'!A$2:B$2616,2,FALSE)</f>
        <v>117</v>
      </c>
    </row>
    <row r="1572" spans="1:10" hidden="1">
      <c r="A1572" s="33" t="s">
        <v>46</v>
      </c>
      <c r="B1572" s="33" t="s">
        <v>2114</v>
      </c>
      <c r="C1572" s="33">
        <v>212111</v>
      </c>
      <c r="D1572" s="33" t="s">
        <v>2114</v>
      </c>
      <c r="E1572" s="33">
        <v>1775</v>
      </c>
      <c r="F1572" s="33" t="s">
        <v>27</v>
      </c>
      <c r="G1572" s="33" t="s">
        <v>2115</v>
      </c>
      <c r="H1572" s="34">
        <v>46189</v>
      </c>
      <c r="I1572" t="s">
        <v>14</v>
      </c>
      <c r="J1572">
        <f>VLOOKUP(E1572,'Room Count'!A$2:B$2616,2,FALSE)</f>
        <v>75</v>
      </c>
    </row>
    <row r="1573" spans="1:10" hidden="1">
      <c r="A1573" s="33" t="s">
        <v>46</v>
      </c>
      <c r="B1573" s="33" t="s">
        <v>2116</v>
      </c>
      <c r="C1573" s="33">
        <v>212031</v>
      </c>
      <c r="D1573" s="33" t="s">
        <v>2116</v>
      </c>
      <c r="E1573" s="33">
        <v>1723</v>
      </c>
      <c r="F1573" s="33" t="s">
        <v>27</v>
      </c>
      <c r="G1573" s="33" t="s">
        <v>2117</v>
      </c>
      <c r="H1573" s="34">
        <v>46189</v>
      </c>
      <c r="I1573" t="s">
        <v>14</v>
      </c>
      <c r="J1573">
        <f>VLOOKUP(E1573,'Room Count'!A$2:B$2616,2,FALSE)</f>
        <v>147</v>
      </c>
    </row>
    <row r="1574" spans="1:10" hidden="1">
      <c r="A1574" s="33" t="s">
        <v>46</v>
      </c>
      <c r="B1574" s="33" t="s">
        <v>2118</v>
      </c>
      <c r="C1574" s="33">
        <v>212041</v>
      </c>
      <c r="D1574" s="33" t="s">
        <v>2118</v>
      </c>
      <c r="E1574" s="33">
        <v>1732</v>
      </c>
      <c r="F1574" s="33" t="s">
        <v>27</v>
      </c>
      <c r="G1574" s="33" t="s">
        <v>2119</v>
      </c>
      <c r="H1574" s="34">
        <v>46189</v>
      </c>
      <c r="I1574" t="s">
        <v>14</v>
      </c>
      <c r="J1574">
        <f>VLOOKUP(E1574,'Room Count'!A$2:B$2616,2,FALSE)</f>
        <v>106</v>
      </c>
    </row>
    <row r="1575" spans="1:10" hidden="1">
      <c r="A1575" s="33" t="s">
        <v>46</v>
      </c>
      <c r="B1575" s="33" t="s">
        <v>2120</v>
      </c>
      <c r="C1575" s="33">
        <v>212137</v>
      </c>
      <c r="D1575" s="33" t="s">
        <v>2120</v>
      </c>
      <c r="E1575" s="33">
        <v>1788</v>
      </c>
      <c r="F1575" s="33" t="s">
        <v>27</v>
      </c>
      <c r="G1575" s="33" t="s">
        <v>2121</v>
      </c>
      <c r="H1575" s="34">
        <v>46189</v>
      </c>
      <c r="I1575" t="s">
        <v>14</v>
      </c>
      <c r="J1575">
        <f>VLOOKUP(E1575,'Room Count'!A$2:B$2616,2,FALSE)</f>
        <v>100</v>
      </c>
    </row>
    <row r="1576" spans="1:10" hidden="1">
      <c r="A1576" s="33" t="s">
        <v>46</v>
      </c>
      <c r="B1576" s="33" t="s">
        <v>2122</v>
      </c>
      <c r="C1576" s="33">
        <v>212215</v>
      </c>
      <c r="D1576" s="33" t="s">
        <v>2122</v>
      </c>
      <c r="E1576" s="33">
        <v>1827</v>
      </c>
      <c r="F1576" s="33" t="s">
        <v>27</v>
      </c>
      <c r="G1576" s="33" t="s">
        <v>2123</v>
      </c>
      <c r="H1576" s="34">
        <v>46189</v>
      </c>
      <c r="I1576" t="s">
        <v>14</v>
      </c>
      <c r="J1576">
        <f>VLOOKUP(E1576,'Room Count'!A$2:B$2616,2,FALSE)</f>
        <v>127</v>
      </c>
    </row>
    <row r="1577" spans="1:10" hidden="1">
      <c r="A1577" s="33" t="s">
        <v>46</v>
      </c>
      <c r="B1577" s="33" t="s">
        <v>2124</v>
      </c>
      <c r="C1577" s="33">
        <v>212105</v>
      </c>
      <c r="D1577" s="33" t="s">
        <v>2124</v>
      </c>
      <c r="E1577" s="33">
        <v>1772</v>
      </c>
      <c r="F1577" s="33" t="s">
        <v>27</v>
      </c>
      <c r="G1577" s="33" t="s">
        <v>2125</v>
      </c>
      <c r="H1577" s="34">
        <v>46189</v>
      </c>
      <c r="I1577" t="s">
        <v>14</v>
      </c>
      <c r="J1577">
        <f>VLOOKUP(E1577,'Room Count'!A$2:B$2616,2,FALSE)</f>
        <v>117</v>
      </c>
    </row>
    <row r="1578" spans="1:10" hidden="1">
      <c r="A1578" s="33" t="s">
        <v>46</v>
      </c>
      <c r="B1578" s="33" t="s">
        <v>2126</v>
      </c>
      <c r="C1578" s="33">
        <v>212211</v>
      </c>
      <c r="D1578" s="33" t="s">
        <v>2126</v>
      </c>
      <c r="E1578" s="33">
        <v>1825</v>
      </c>
      <c r="F1578" s="33" t="s">
        <v>27</v>
      </c>
      <c r="G1578" s="33" t="s">
        <v>2127</v>
      </c>
      <c r="H1578" s="34">
        <v>46189</v>
      </c>
      <c r="I1578" t="s">
        <v>14</v>
      </c>
      <c r="J1578">
        <f>VLOOKUP(E1578,'Room Count'!A$2:B$2616,2,FALSE)</f>
        <v>88</v>
      </c>
    </row>
    <row r="1579" spans="1:10" hidden="1">
      <c r="A1579" s="33" t="s">
        <v>46</v>
      </c>
      <c r="B1579" s="33" t="s">
        <v>2128</v>
      </c>
      <c r="C1579" s="33">
        <v>212121</v>
      </c>
      <c r="D1579" s="33" t="s">
        <v>2128</v>
      </c>
      <c r="E1579" s="33">
        <v>1780</v>
      </c>
      <c r="F1579" s="33" t="s">
        <v>27</v>
      </c>
      <c r="G1579" s="33" t="s">
        <v>2129</v>
      </c>
      <c r="H1579" s="34">
        <v>46189</v>
      </c>
      <c r="I1579" t="s">
        <v>14</v>
      </c>
      <c r="J1579">
        <f>VLOOKUP(E1579,'Room Count'!A$2:B$2616,2,FALSE)</f>
        <v>117</v>
      </c>
    </row>
    <row r="1580" spans="1:10" hidden="1">
      <c r="A1580" s="33" t="s">
        <v>46</v>
      </c>
      <c r="B1580" s="33" t="s">
        <v>2130</v>
      </c>
      <c r="C1580" s="33">
        <v>212201</v>
      </c>
      <c r="D1580" s="33" t="s">
        <v>2130</v>
      </c>
      <c r="E1580" s="33">
        <v>1820</v>
      </c>
      <c r="F1580" s="33" t="s">
        <v>27</v>
      </c>
      <c r="G1580" s="33" t="s">
        <v>2131</v>
      </c>
      <c r="H1580" s="34">
        <v>46189</v>
      </c>
      <c r="I1580" t="s">
        <v>14</v>
      </c>
      <c r="J1580">
        <f>VLOOKUP(E1580,'Room Count'!A$2:B$2616,2,FALSE)</f>
        <v>114</v>
      </c>
    </row>
    <row r="1581" spans="1:10" hidden="1">
      <c r="A1581" s="33" t="s">
        <v>46</v>
      </c>
      <c r="B1581" s="33" t="s">
        <v>2132</v>
      </c>
      <c r="C1581" s="33">
        <v>212007</v>
      </c>
      <c r="D1581" s="33" t="s">
        <v>2132</v>
      </c>
      <c r="E1581" s="33">
        <v>1698</v>
      </c>
      <c r="F1581" s="33" t="s">
        <v>27</v>
      </c>
      <c r="G1581" s="33" t="s">
        <v>2133</v>
      </c>
      <c r="H1581" s="34">
        <v>46189</v>
      </c>
      <c r="I1581" t="s">
        <v>14</v>
      </c>
      <c r="J1581">
        <f>VLOOKUP(E1581,'Room Count'!A$2:B$2616,2,FALSE)</f>
        <v>99</v>
      </c>
    </row>
    <row r="1582" spans="1:10" hidden="1">
      <c r="A1582" s="33" t="s">
        <v>46</v>
      </c>
      <c r="B1582" s="33" t="s">
        <v>2134</v>
      </c>
      <c r="C1582" s="33">
        <v>212183</v>
      </c>
      <c r="D1582" s="33" t="s">
        <v>2134</v>
      </c>
      <c r="E1582" s="33">
        <v>1811</v>
      </c>
      <c r="F1582" s="33" t="s">
        <v>27</v>
      </c>
      <c r="G1582" s="33" t="s">
        <v>2135</v>
      </c>
      <c r="H1582" s="34">
        <v>46189</v>
      </c>
      <c r="I1582" t="s">
        <v>14</v>
      </c>
      <c r="J1582">
        <f>VLOOKUP(E1582,'Room Count'!A$2:B$2616,2,FALSE)</f>
        <v>139</v>
      </c>
    </row>
    <row r="1583" spans="1:10" hidden="1">
      <c r="A1583" s="33" t="s">
        <v>46</v>
      </c>
      <c r="B1583" s="33" t="s">
        <v>2136</v>
      </c>
      <c r="C1583" s="33">
        <v>212103</v>
      </c>
      <c r="D1583" s="33" t="s">
        <v>2136</v>
      </c>
      <c r="E1583" s="33">
        <v>1771</v>
      </c>
      <c r="F1583" s="33" t="s">
        <v>27</v>
      </c>
      <c r="G1583" s="33" t="s">
        <v>2137</v>
      </c>
      <c r="H1583" s="34">
        <v>46189</v>
      </c>
      <c r="I1583" t="s">
        <v>14</v>
      </c>
      <c r="J1583">
        <f>VLOOKUP(E1583,'Room Count'!A$2:B$2616,2,FALSE)</f>
        <v>97</v>
      </c>
    </row>
    <row r="1584" spans="1:10" hidden="1">
      <c r="A1584" s="33" t="s">
        <v>46</v>
      </c>
      <c r="B1584" s="33" t="s">
        <v>2138</v>
      </c>
      <c r="C1584" s="33">
        <v>212167</v>
      </c>
      <c r="D1584" s="33" t="s">
        <v>2138</v>
      </c>
      <c r="E1584" s="33">
        <v>1803</v>
      </c>
      <c r="F1584" s="33" t="s">
        <v>27</v>
      </c>
      <c r="G1584" s="33" t="s">
        <v>2139</v>
      </c>
      <c r="H1584" s="34">
        <v>46189</v>
      </c>
      <c r="I1584" t="s">
        <v>14</v>
      </c>
      <c r="J1584">
        <f>VLOOKUP(E1584,'Room Count'!A$2:B$2616,2,FALSE)</f>
        <v>104</v>
      </c>
    </row>
    <row r="1585" spans="1:10" hidden="1">
      <c r="A1585" s="33" t="s">
        <v>46</v>
      </c>
      <c r="B1585" s="33" t="s">
        <v>2140</v>
      </c>
      <c r="C1585" s="33">
        <v>212151</v>
      </c>
      <c r="D1585" s="33" t="s">
        <v>2140</v>
      </c>
      <c r="E1585" s="33">
        <v>1795</v>
      </c>
      <c r="F1585" s="33" t="s">
        <v>27</v>
      </c>
      <c r="G1585" s="33" t="s">
        <v>2141</v>
      </c>
      <c r="H1585" s="34">
        <v>46189</v>
      </c>
      <c r="I1585" t="s">
        <v>14</v>
      </c>
      <c r="J1585">
        <f>VLOOKUP(E1585,'Room Count'!A$2:B$2616,2,FALSE)</f>
        <v>96</v>
      </c>
    </row>
    <row r="1586" spans="1:10" hidden="1">
      <c r="A1586" s="33" t="s">
        <v>46</v>
      </c>
      <c r="B1586" s="33" t="s">
        <v>2142</v>
      </c>
      <c r="C1586" s="33">
        <v>212127</v>
      </c>
      <c r="D1586" s="33" t="s">
        <v>2142</v>
      </c>
      <c r="E1586" s="33">
        <v>1783</v>
      </c>
      <c r="F1586" s="33" t="s">
        <v>27</v>
      </c>
      <c r="G1586" s="33" t="s">
        <v>2143</v>
      </c>
      <c r="H1586" s="34">
        <v>46189</v>
      </c>
      <c r="I1586" t="s">
        <v>14</v>
      </c>
      <c r="J1586">
        <f>VLOOKUP(E1586,'Room Count'!A$2:B$2616,2,FALSE)</f>
        <v>124</v>
      </c>
    </row>
    <row r="1587" spans="1:10" hidden="1">
      <c r="A1587" s="33" t="s">
        <v>46</v>
      </c>
      <c r="B1587" s="33" t="s">
        <v>2144</v>
      </c>
      <c r="C1587" s="33">
        <v>212185</v>
      </c>
      <c r="D1587" s="33" t="s">
        <v>2144</v>
      </c>
      <c r="E1587" s="33">
        <v>1812</v>
      </c>
      <c r="F1587" s="33" t="s">
        <v>27</v>
      </c>
      <c r="G1587" s="33" t="s">
        <v>2145</v>
      </c>
      <c r="H1587" s="34">
        <v>46189</v>
      </c>
      <c r="I1587" t="s">
        <v>14</v>
      </c>
      <c r="J1587">
        <f>VLOOKUP(E1587,'Room Count'!A$2:B$2616,2,FALSE)</f>
        <v>97</v>
      </c>
    </row>
    <row r="1588" spans="1:10" hidden="1">
      <c r="A1588" s="33" t="s">
        <v>46</v>
      </c>
      <c r="B1588" s="33" t="s">
        <v>2146</v>
      </c>
      <c r="C1588" s="33">
        <v>212209</v>
      </c>
      <c r="D1588" s="33" t="s">
        <v>2146</v>
      </c>
      <c r="E1588" s="33">
        <v>1824</v>
      </c>
      <c r="F1588" s="33" t="s">
        <v>27</v>
      </c>
      <c r="G1588" s="33" t="s">
        <v>2147</v>
      </c>
      <c r="H1588" s="34">
        <v>46189</v>
      </c>
      <c r="I1588" t="s">
        <v>14</v>
      </c>
      <c r="J1588">
        <f>VLOOKUP(E1588,'Room Count'!A$2:B$2616,2,FALSE)</f>
        <v>127</v>
      </c>
    </row>
    <row r="1589" spans="1:10" hidden="1">
      <c r="A1589" s="33" t="s">
        <v>46</v>
      </c>
      <c r="B1589" s="33" t="s">
        <v>2148</v>
      </c>
      <c r="C1589" s="33">
        <v>212153</v>
      </c>
      <c r="D1589" s="33" t="s">
        <v>2148</v>
      </c>
      <c r="E1589" s="33">
        <v>1796</v>
      </c>
      <c r="F1589" s="33" t="s">
        <v>27</v>
      </c>
      <c r="G1589" s="33" t="s">
        <v>2149</v>
      </c>
      <c r="H1589" s="34">
        <v>46189</v>
      </c>
      <c r="I1589" t="s">
        <v>14</v>
      </c>
      <c r="J1589">
        <f>VLOOKUP(E1589,'Room Count'!A$2:B$2616,2,FALSE)</f>
        <v>72</v>
      </c>
    </row>
    <row r="1590" spans="1:10" hidden="1">
      <c r="A1590" s="33" t="s">
        <v>46</v>
      </c>
      <c r="B1590" s="33" t="s">
        <v>2150</v>
      </c>
      <c r="C1590" s="33">
        <v>212139</v>
      </c>
      <c r="D1590" s="33" t="s">
        <v>2150</v>
      </c>
      <c r="E1590" s="33">
        <v>1789</v>
      </c>
      <c r="F1590" s="33" t="s">
        <v>27</v>
      </c>
      <c r="G1590" s="33" t="s">
        <v>2151</v>
      </c>
      <c r="H1590" s="34">
        <v>46189</v>
      </c>
      <c r="I1590" t="s">
        <v>14</v>
      </c>
      <c r="J1590">
        <f>VLOOKUP(E1590,'Room Count'!A$2:B$2616,2,FALSE)</f>
        <v>72</v>
      </c>
    </row>
    <row r="1591" spans="1:10" hidden="1">
      <c r="A1591" s="33" t="s">
        <v>46</v>
      </c>
      <c r="B1591" s="33" t="s">
        <v>2152</v>
      </c>
      <c r="C1591" s="33">
        <v>212055</v>
      </c>
      <c r="D1591" s="33" t="s">
        <v>2152</v>
      </c>
      <c r="E1591" s="33">
        <v>1743</v>
      </c>
      <c r="F1591" s="33" t="s">
        <v>27</v>
      </c>
      <c r="G1591" s="33" t="s">
        <v>2153</v>
      </c>
      <c r="H1591" s="34">
        <v>46189</v>
      </c>
      <c r="I1591" t="s">
        <v>14</v>
      </c>
      <c r="J1591">
        <f>VLOOKUP(E1591,'Room Count'!A$2:B$2616,2,FALSE)</f>
        <v>81</v>
      </c>
    </row>
    <row r="1592" spans="1:10" hidden="1">
      <c r="A1592" s="33" t="s">
        <v>46</v>
      </c>
      <c r="B1592" s="33" t="s">
        <v>2154</v>
      </c>
      <c r="C1592" s="33">
        <v>212199</v>
      </c>
      <c r="D1592" s="33" t="s">
        <v>2154</v>
      </c>
      <c r="E1592" s="33">
        <v>1819</v>
      </c>
      <c r="F1592" s="33" t="s">
        <v>27</v>
      </c>
      <c r="G1592" s="33" t="s">
        <v>2155</v>
      </c>
      <c r="H1592" s="34">
        <v>46189</v>
      </c>
      <c r="I1592" t="s">
        <v>14</v>
      </c>
      <c r="J1592">
        <f>VLOOKUP(E1592,'Room Count'!A$2:B$2616,2,FALSE)</f>
        <v>200</v>
      </c>
    </row>
    <row r="1593" spans="1:10" hidden="1">
      <c r="A1593" s="33" t="s">
        <v>46</v>
      </c>
      <c r="B1593" s="33" t="s">
        <v>2156</v>
      </c>
      <c r="C1593" s="33">
        <v>212197</v>
      </c>
      <c r="D1593" s="33" t="s">
        <v>2156</v>
      </c>
      <c r="E1593" s="33">
        <v>1818</v>
      </c>
      <c r="F1593" s="33" t="s">
        <v>27</v>
      </c>
      <c r="G1593" s="33" t="s">
        <v>2157</v>
      </c>
      <c r="H1593" s="34">
        <v>46189</v>
      </c>
      <c r="I1593" t="s">
        <v>14</v>
      </c>
      <c r="J1593">
        <f>VLOOKUP(E1593,'Room Count'!A$2:B$2616,2,FALSE)</f>
        <v>245</v>
      </c>
    </row>
    <row r="1594" spans="1:10" hidden="1">
      <c r="A1594" s="33" t="s">
        <v>46</v>
      </c>
      <c r="B1594" s="33" t="s">
        <v>2158</v>
      </c>
      <c r="C1594" s="33">
        <v>212107</v>
      </c>
      <c r="D1594" s="33" t="s">
        <v>2158</v>
      </c>
      <c r="E1594" s="33">
        <v>1773</v>
      </c>
      <c r="F1594" s="33" t="s">
        <v>27</v>
      </c>
      <c r="G1594" s="33" t="s">
        <v>2159</v>
      </c>
      <c r="H1594" s="34">
        <v>46189</v>
      </c>
      <c r="I1594" t="s">
        <v>14</v>
      </c>
      <c r="J1594">
        <f>VLOOKUP(E1594,'Room Count'!A$2:B$2616,2,FALSE)</f>
        <v>90</v>
      </c>
    </row>
    <row r="1595" spans="1:10" hidden="1">
      <c r="A1595" s="33" t="s">
        <v>46</v>
      </c>
      <c r="B1595" s="33" t="s">
        <v>2160</v>
      </c>
      <c r="C1595" s="33">
        <v>212175</v>
      </c>
      <c r="D1595" s="33" t="s">
        <v>2160</v>
      </c>
      <c r="E1595" s="33">
        <v>1807</v>
      </c>
      <c r="F1595" s="33" t="s">
        <v>27</v>
      </c>
      <c r="G1595" s="33" t="s">
        <v>2161</v>
      </c>
      <c r="H1595" s="34">
        <v>46189</v>
      </c>
      <c r="I1595" t="s">
        <v>14</v>
      </c>
      <c r="J1595">
        <f>VLOOKUP(E1595,'Room Count'!A$2:B$2616,2,FALSE)</f>
        <v>321</v>
      </c>
    </row>
    <row r="1596" spans="1:10" hidden="1">
      <c r="A1596" s="33" t="s">
        <v>46</v>
      </c>
      <c r="B1596" s="33" t="s">
        <v>2162</v>
      </c>
      <c r="C1596" s="33">
        <v>212203</v>
      </c>
      <c r="D1596" s="33" t="s">
        <v>2162</v>
      </c>
      <c r="E1596" s="33">
        <v>1821</v>
      </c>
      <c r="F1596" s="33" t="s">
        <v>27</v>
      </c>
      <c r="G1596" s="33" t="s">
        <v>2163</v>
      </c>
      <c r="H1596" s="34">
        <v>46189</v>
      </c>
      <c r="I1596" t="s">
        <v>14</v>
      </c>
      <c r="J1596">
        <f>VLOOKUP(E1596,'Room Count'!A$2:B$2616,2,FALSE)</f>
        <v>155</v>
      </c>
    </row>
    <row r="1597" spans="1:10" hidden="1">
      <c r="A1597" s="33" t="s">
        <v>46</v>
      </c>
      <c r="B1597" s="33" t="s">
        <v>2164</v>
      </c>
      <c r="C1597" s="33">
        <v>212119</v>
      </c>
      <c r="D1597" s="33" t="s">
        <v>2164</v>
      </c>
      <c r="E1597" s="33">
        <v>1779</v>
      </c>
      <c r="F1597" s="33" t="s">
        <v>27</v>
      </c>
      <c r="G1597" s="33" t="s">
        <v>2165</v>
      </c>
      <c r="H1597" s="34">
        <v>46189</v>
      </c>
      <c r="I1597" t="s">
        <v>14</v>
      </c>
      <c r="J1597">
        <f>VLOOKUP(E1597,'Room Count'!A$2:B$2616,2,FALSE)</f>
        <v>145</v>
      </c>
    </row>
    <row r="1598" spans="1:10" hidden="1">
      <c r="A1598" s="33" t="s">
        <v>46</v>
      </c>
      <c r="B1598" s="33" t="s">
        <v>2166</v>
      </c>
      <c r="C1598" s="33">
        <v>212143</v>
      </c>
      <c r="D1598" s="33" t="s">
        <v>2166</v>
      </c>
      <c r="E1598" s="33">
        <v>1791</v>
      </c>
      <c r="F1598" s="33" t="s">
        <v>27</v>
      </c>
      <c r="G1598" s="33" t="s">
        <v>2167</v>
      </c>
      <c r="H1598" s="34">
        <v>46189</v>
      </c>
      <c r="I1598" t="s">
        <v>14</v>
      </c>
      <c r="J1598">
        <f>VLOOKUP(E1598,'Room Count'!A$2:B$2616,2,FALSE)</f>
        <v>245</v>
      </c>
    </row>
    <row r="1599" spans="1:10" hidden="1">
      <c r="A1599" s="33" t="s">
        <v>46</v>
      </c>
      <c r="B1599" s="33" t="s">
        <v>2168</v>
      </c>
      <c r="C1599" s="33">
        <v>212179</v>
      </c>
      <c r="D1599" s="33" t="s">
        <v>2168</v>
      </c>
      <c r="E1599" s="33">
        <v>1809</v>
      </c>
      <c r="F1599" s="33" t="s">
        <v>27</v>
      </c>
      <c r="G1599" s="33" t="s">
        <v>2169</v>
      </c>
      <c r="H1599" s="34">
        <v>46189</v>
      </c>
      <c r="I1599" t="s">
        <v>14</v>
      </c>
      <c r="J1599">
        <f>VLOOKUP(E1599,'Room Count'!A$2:B$2616,2,FALSE)</f>
        <v>120</v>
      </c>
    </row>
    <row r="1600" spans="1:10" hidden="1">
      <c r="A1600" s="33" t="s">
        <v>46</v>
      </c>
      <c r="B1600" s="33" t="s">
        <v>2170</v>
      </c>
      <c r="C1600" s="33">
        <v>212171</v>
      </c>
      <c r="D1600" s="33" t="s">
        <v>2170</v>
      </c>
      <c r="E1600" s="33">
        <v>1805</v>
      </c>
      <c r="F1600" s="33" t="s">
        <v>27</v>
      </c>
      <c r="G1600" s="33" t="s">
        <v>2171</v>
      </c>
      <c r="H1600" s="34">
        <v>46189</v>
      </c>
      <c r="I1600" t="s">
        <v>14</v>
      </c>
      <c r="J1600">
        <f>VLOOKUP(E1600,'Room Count'!A$2:B$2616,2,FALSE)</f>
        <v>116</v>
      </c>
    </row>
    <row r="1601" spans="1:10" hidden="1">
      <c r="A1601" s="33" t="s">
        <v>46</v>
      </c>
      <c r="B1601" s="33" t="s">
        <v>2172</v>
      </c>
      <c r="C1601" s="33">
        <v>212149</v>
      </c>
      <c r="D1601" s="33" t="s">
        <v>2172</v>
      </c>
      <c r="E1601" s="33">
        <v>1794</v>
      </c>
      <c r="F1601" s="33" t="s">
        <v>27</v>
      </c>
      <c r="G1601" s="33" t="s">
        <v>2173</v>
      </c>
      <c r="H1601" s="34">
        <v>46189</v>
      </c>
      <c r="I1601" t="s">
        <v>14</v>
      </c>
      <c r="J1601">
        <f>VLOOKUP(E1601,'Room Count'!A$2:B$2616,2,FALSE)</f>
        <v>100</v>
      </c>
    </row>
    <row r="1602" spans="1:10" hidden="1">
      <c r="A1602" s="33" t="s">
        <v>46</v>
      </c>
      <c r="B1602" s="33" t="s">
        <v>2174</v>
      </c>
      <c r="C1602" s="33">
        <v>212207</v>
      </c>
      <c r="D1602" s="33" t="s">
        <v>2174</v>
      </c>
      <c r="E1602" s="33">
        <v>1823</v>
      </c>
      <c r="F1602" s="33" t="s">
        <v>27</v>
      </c>
      <c r="G1602" s="33" t="s">
        <v>2175</v>
      </c>
      <c r="H1602" s="34">
        <v>46189</v>
      </c>
      <c r="I1602" t="s">
        <v>14</v>
      </c>
      <c r="J1602">
        <f>VLOOKUP(E1602,'Room Count'!A$2:B$2616,2,FALSE)</f>
        <v>125</v>
      </c>
    </row>
    <row r="1603" spans="1:10" hidden="1">
      <c r="A1603" s="33" t="s">
        <v>46</v>
      </c>
      <c r="B1603" s="33" t="s">
        <v>2176</v>
      </c>
      <c r="C1603" s="33">
        <v>212109</v>
      </c>
      <c r="D1603" s="33" t="s">
        <v>2176</v>
      </c>
      <c r="E1603" s="33">
        <v>1774</v>
      </c>
      <c r="F1603" s="33" t="s">
        <v>27</v>
      </c>
      <c r="G1603" s="33" t="s">
        <v>2177</v>
      </c>
      <c r="H1603" s="34">
        <v>46189</v>
      </c>
      <c r="I1603" t="s">
        <v>14</v>
      </c>
      <c r="J1603">
        <f>VLOOKUP(E1603,'Room Count'!A$2:B$2616,2,FALSE)</f>
        <v>149</v>
      </c>
    </row>
    <row r="1604" spans="1:10" hidden="1">
      <c r="A1604" s="33" t="s">
        <v>46</v>
      </c>
      <c r="B1604" s="33" t="s">
        <v>2178</v>
      </c>
      <c r="C1604" s="33">
        <v>212141</v>
      </c>
      <c r="D1604" s="33" t="s">
        <v>2178</v>
      </c>
      <c r="E1604" s="33">
        <v>1790</v>
      </c>
      <c r="F1604" s="33" t="s">
        <v>27</v>
      </c>
      <c r="G1604" s="33" t="s">
        <v>2179</v>
      </c>
      <c r="H1604" s="34">
        <v>46189</v>
      </c>
      <c r="I1604" t="s">
        <v>14</v>
      </c>
      <c r="J1604">
        <f>VLOOKUP(E1604,'Room Count'!A$2:B$2616,2,FALSE)</f>
        <v>176</v>
      </c>
    </row>
    <row r="1605" spans="1:10" hidden="1">
      <c r="A1605" s="33" t="s">
        <v>46</v>
      </c>
      <c r="B1605" s="33" t="s">
        <v>2180</v>
      </c>
      <c r="C1605" s="33">
        <v>212217</v>
      </c>
      <c r="D1605" s="33" t="s">
        <v>2180</v>
      </c>
      <c r="E1605" s="33">
        <v>1828</v>
      </c>
      <c r="F1605" s="33" t="s">
        <v>27</v>
      </c>
      <c r="G1605" s="33" t="s">
        <v>2181</v>
      </c>
      <c r="H1605" s="34">
        <v>46189</v>
      </c>
      <c r="I1605" t="s">
        <v>14</v>
      </c>
      <c r="J1605">
        <f>VLOOKUP(E1605,'Room Count'!A$2:B$2616,2,FALSE)</f>
        <v>126</v>
      </c>
    </row>
    <row r="1606" spans="1:10" hidden="1">
      <c r="A1606" s="33" t="s">
        <v>46</v>
      </c>
      <c r="B1606" s="33" t="s">
        <v>2182</v>
      </c>
      <c r="C1606" s="33">
        <v>212189</v>
      </c>
      <c r="D1606" s="33" t="s">
        <v>2182</v>
      </c>
      <c r="E1606" s="33">
        <v>1814</v>
      </c>
      <c r="F1606" s="33" t="s">
        <v>27</v>
      </c>
      <c r="G1606" s="33" t="s">
        <v>2183</v>
      </c>
      <c r="H1606" s="34">
        <v>46189</v>
      </c>
      <c r="I1606" t="s">
        <v>14</v>
      </c>
      <c r="J1606">
        <f>VLOOKUP(E1606,'Room Count'!A$2:B$2616,2,FALSE)</f>
        <v>120</v>
      </c>
    </row>
    <row r="1607" spans="1:10" hidden="1">
      <c r="A1607" s="33" t="s">
        <v>46</v>
      </c>
      <c r="B1607" s="33" t="s">
        <v>2184</v>
      </c>
      <c r="C1607" s="33">
        <v>212123</v>
      </c>
      <c r="D1607" s="33" t="s">
        <v>2184</v>
      </c>
      <c r="E1607" s="33">
        <v>1781</v>
      </c>
      <c r="F1607" s="33" t="s">
        <v>27</v>
      </c>
      <c r="G1607" s="33" t="s">
        <v>2185</v>
      </c>
      <c r="H1607" s="34">
        <v>46189</v>
      </c>
      <c r="I1607" t="s">
        <v>14</v>
      </c>
      <c r="J1607">
        <f>VLOOKUP(E1607,'Room Count'!A$2:B$2616,2,FALSE)</f>
        <v>104</v>
      </c>
    </row>
    <row r="1608" spans="1:10" hidden="1">
      <c r="A1608" s="33" t="s">
        <v>46</v>
      </c>
      <c r="B1608" s="33" t="s">
        <v>2186</v>
      </c>
      <c r="C1608" s="33">
        <v>212157</v>
      </c>
      <c r="D1608" s="33" t="s">
        <v>2186</v>
      </c>
      <c r="E1608" s="33">
        <v>1798</v>
      </c>
      <c r="F1608" s="33" t="s">
        <v>27</v>
      </c>
      <c r="G1608" s="33" t="s">
        <v>2187</v>
      </c>
      <c r="H1608" s="34">
        <v>46189</v>
      </c>
      <c r="I1608" t="s">
        <v>14</v>
      </c>
      <c r="J1608">
        <f>VLOOKUP(E1608,'Room Count'!A$2:B$2616,2,FALSE)</f>
        <v>107</v>
      </c>
    </row>
    <row r="1609" spans="1:10" hidden="1">
      <c r="A1609" s="33" t="s">
        <v>46</v>
      </c>
      <c r="B1609" s="33" t="s">
        <v>2188</v>
      </c>
      <c r="C1609" s="33">
        <v>212161</v>
      </c>
      <c r="D1609" s="33" t="s">
        <v>2188</v>
      </c>
      <c r="E1609" s="33">
        <v>1800</v>
      </c>
      <c r="F1609" s="33" t="s">
        <v>27</v>
      </c>
      <c r="G1609" s="33" t="s">
        <v>2189</v>
      </c>
      <c r="H1609" s="34">
        <v>46189</v>
      </c>
      <c r="I1609" t="s">
        <v>14</v>
      </c>
      <c r="J1609">
        <f>VLOOKUP(E1609,'Room Count'!A$2:B$2616,2,FALSE)</f>
        <v>135</v>
      </c>
    </row>
    <row r="1610" spans="1:10" hidden="1">
      <c r="A1610" s="33" t="s">
        <v>46</v>
      </c>
      <c r="B1610" s="33" t="s">
        <v>2190</v>
      </c>
      <c r="C1610" s="33">
        <v>212045</v>
      </c>
      <c r="D1610" s="33" t="s">
        <v>2190</v>
      </c>
      <c r="E1610" s="33">
        <v>1734</v>
      </c>
      <c r="F1610" s="33" t="s">
        <v>27</v>
      </c>
      <c r="G1610" s="33" t="s">
        <v>2191</v>
      </c>
      <c r="H1610" s="34">
        <v>46189</v>
      </c>
      <c r="I1610" t="s">
        <v>14</v>
      </c>
      <c r="J1610">
        <f>VLOOKUP(E1610,'Room Count'!A$2:B$2616,2,FALSE)</f>
        <v>89</v>
      </c>
    </row>
    <row r="1611" spans="1:10" hidden="1">
      <c r="A1611" s="33" t="s">
        <v>46</v>
      </c>
      <c r="B1611" s="33" t="s">
        <v>2192</v>
      </c>
      <c r="C1611" s="33">
        <v>212011</v>
      </c>
      <c r="D1611" s="33" t="s">
        <v>2192</v>
      </c>
      <c r="E1611" s="33">
        <v>1702</v>
      </c>
      <c r="F1611" s="33" t="s">
        <v>27</v>
      </c>
      <c r="G1611" s="33" t="s">
        <v>2193</v>
      </c>
      <c r="H1611" s="34">
        <v>46189</v>
      </c>
      <c r="I1611" t="s">
        <v>14</v>
      </c>
      <c r="J1611">
        <f>VLOOKUP(E1611,'Room Count'!A$2:B$2616,2,FALSE)</f>
        <v>106</v>
      </c>
    </row>
    <row r="1612" spans="1:10" hidden="1">
      <c r="A1612" s="33" t="s">
        <v>46</v>
      </c>
      <c r="B1612" s="33" t="s">
        <v>2194</v>
      </c>
      <c r="C1612" s="33">
        <v>212021</v>
      </c>
      <c r="D1612" s="33" t="s">
        <v>2194</v>
      </c>
      <c r="E1612" s="33">
        <v>1710</v>
      </c>
      <c r="F1612" s="33" t="s">
        <v>27</v>
      </c>
      <c r="G1612" s="33" t="s">
        <v>2195</v>
      </c>
      <c r="H1612" s="34">
        <v>46189</v>
      </c>
      <c r="I1612" t="s">
        <v>14</v>
      </c>
      <c r="J1612">
        <f>VLOOKUP(E1612,'Room Count'!A$2:B$2616,2,FALSE)</f>
        <v>125</v>
      </c>
    </row>
    <row r="1613" spans="1:10" hidden="1">
      <c r="A1613" s="33" t="s">
        <v>46</v>
      </c>
      <c r="B1613" s="33" t="s">
        <v>2196</v>
      </c>
      <c r="C1613" s="33">
        <v>212155</v>
      </c>
      <c r="D1613" s="33" t="s">
        <v>2196</v>
      </c>
      <c r="E1613" s="33">
        <v>1797</v>
      </c>
      <c r="F1613" s="33" t="s">
        <v>27</v>
      </c>
      <c r="G1613" s="33" t="s">
        <v>2197</v>
      </c>
      <c r="H1613" s="34">
        <v>46189</v>
      </c>
      <c r="I1613" t="s">
        <v>14</v>
      </c>
      <c r="J1613">
        <f>VLOOKUP(E1613,'Room Count'!A$2:B$2616,2,FALSE)</f>
        <v>74</v>
      </c>
    </row>
    <row r="1614" spans="1:10" hidden="1">
      <c r="A1614" s="33" t="s">
        <v>46</v>
      </c>
      <c r="B1614" s="33" t="s">
        <v>2198</v>
      </c>
      <c r="C1614" s="33">
        <v>212129</v>
      </c>
      <c r="D1614" s="33" t="s">
        <v>2198</v>
      </c>
      <c r="E1614" s="33">
        <v>1784</v>
      </c>
      <c r="F1614" s="33" t="s">
        <v>27</v>
      </c>
      <c r="G1614" s="33" t="s">
        <v>2199</v>
      </c>
      <c r="H1614" s="34">
        <v>46189</v>
      </c>
      <c r="I1614" t="s">
        <v>14</v>
      </c>
      <c r="J1614">
        <f>VLOOKUP(E1614,'Room Count'!A$2:B$2616,2,FALSE)</f>
        <v>130</v>
      </c>
    </row>
    <row r="1615" spans="1:10" hidden="1">
      <c r="A1615" s="33" t="s">
        <v>46</v>
      </c>
      <c r="B1615" s="33" t="s">
        <v>2200</v>
      </c>
      <c r="C1615" s="33">
        <v>212195</v>
      </c>
      <c r="D1615" s="33" t="s">
        <v>2200</v>
      </c>
      <c r="E1615" s="33">
        <v>1817</v>
      </c>
      <c r="F1615" s="33" t="s">
        <v>27</v>
      </c>
      <c r="G1615" s="33" t="s">
        <v>2201</v>
      </c>
      <c r="H1615" s="34">
        <v>46189</v>
      </c>
      <c r="I1615" t="s">
        <v>14</v>
      </c>
      <c r="J1615">
        <f>VLOOKUP(E1615,'Room Count'!A$2:B$2616,2,FALSE)</f>
        <v>130</v>
      </c>
    </row>
    <row r="1616" spans="1:10" hidden="1">
      <c r="A1616" s="33" t="s">
        <v>46</v>
      </c>
      <c r="B1616" s="33" t="s">
        <v>2202</v>
      </c>
      <c r="C1616" s="33">
        <v>212213</v>
      </c>
      <c r="D1616" s="33" t="s">
        <v>2202</v>
      </c>
      <c r="E1616" s="33">
        <v>1826</v>
      </c>
      <c r="F1616" s="33" t="s">
        <v>27</v>
      </c>
      <c r="G1616" s="33" t="s">
        <v>2203</v>
      </c>
      <c r="H1616" s="34">
        <v>46189</v>
      </c>
      <c r="I1616" t="s">
        <v>14</v>
      </c>
      <c r="J1616">
        <f>VLOOKUP(E1616,'Room Count'!A$2:B$2616,2,FALSE)</f>
        <v>72</v>
      </c>
    </row>
    <row r="1617" spans="1:10" hidden="1">
      <c r="A1617" s="33" t="s">
        <v>46</v>
      </c>
      <c r="B1617" s="33" t="s">
        <v>2204</v>
      </c>
      <c r="C1617" s="33">
        <v>212125</v>
      </c>
      <c r="D1617" s="33" t="s">
        <v>2204</v>
      </c>
      <c r="E1617" s="33">
        <v>1782</v>
      </c>
      <c r="F1617" s="33" t="s">
        <v>27</v>
      </c>
      <c r="G1617" s="33" t="s">
        <v>2205</v>
      </c>
      <c r="H1617" s="34">
        <v>46189</v>
      </c>
      <c r="I1617" t="s">
        <v>14</v>
      </c>
      <c r="J1617">
        <f>VLOOKUP(E1617,'Room Count'!A$2:B$2616,2,FALSE)</f>
        <v>97</v>
      </c>
    </row>
    <row r="1618" spans="1:10" hidden="1">
      <c r="A1618" s="33" t="s">
        <v>46</v>
      </c>
      <c r="B1618" s="33" t="s">
        <v>2206</v>
      </c>
      <c r="C1618" s="33">
        <v>212159</v>
      </c>
      <c r="D1618" s="33" t="s">
        <v>2206</v>
      </c>
      <c r="E1618" s="33">
        <v>1799</v>
      </c>
      <c r="F1618" s="33" t="s">
        <v>27</v>
      </c>
      <c r="G1618" s="33" t="s">
        <v>2207</v>
      </c>
      <c r="H1618" s="34">
        <v>46189</v>
      </c>
      <c r="I1618" t="s">
        <v>14</v>
      </c>
      <c r="J1618">
        <f>VLOOKUP(E1618,'Room Count'!A$2:B$2616,2,FALSE)</f>
        <v>80</v>
      </c>
    </row>
    <row r="1619" spans="1:10" hidden="1">
      <c r="A1619" s="33" t="s">
        <v>46</v>
      </c>
      <c r="B1619" s="33" t="s">
        <v>2208</v>
      </c>
      <c r="C1619" s="33">
        <v>212163</v>
      </c>
      <c r="D1619" s="33" t="s">
        <v>2208</v>
      </c>
      <c r="E1619" s="33">
        <v>1801</v>
      </c>
      <c r="F1619" s="33" t="s">
        <v>27</v>
      </c>
      <c r="G1619" s="33" t="s">
        <v>2209</v>
      </c>
      <c r="H1619" s="34">
        <v>46189</v>
      </c>
      <c r="I1619" t="s">
        <v>14</v>
      </c>
      <c r="J1619">
        <f>VLOOKUP(E1619,'Room Count'!A$2:B$2616,2,FALSE)</f>
        <v>100</v>
      </c>
    </row>
    <row r="1620" spans="1:10" hidden="1">
      <c r="A1620" s="33" t="s">
        <v>46</v>
      </c>
      <c r="B1620" s="33" t="s">
        <v>2210</v>
      </c>
      <c r="C1620" s="33">
        <v>212205</v>
      </c>
      <c r="D1620" s="33" t="s">
        <v>2210</v>
      </c>
      <c r="E1620" s="33">
        <v>1822</v>
      </c>
      <c r="F1620" s="33" t="s">
        <v>27</v>
      </c>
      <c r="G1620" s="33" t="s">
        <v>2211</v>
      </c>
      <c r="H1620" s="34">
        <v>46189</v>
      </c>
      <c r="I1620" t="s">
        <v>14</v>
      </c>
      <c r="J1620">
        <f>VLOOKUP(E1620,'Room Count'!A$2:B$2616,2,FALSE)</f>
        <v>172</v>
      </c>
    </row>
    <row r="1621" spans="1:10" hidden="1">
      <c r="A1621" s="33" t="s">
        <v>46</v>
      </c>
      <c r="B1621" s="33" t="s">
        <v>2212</v>
      </c>
      <c r="C1621" s="33">
        <v>212073</v>
      </c>
      <c r="D1621" s="33" t="s">
        <v>2212</v>
      </c>
      <c r="E1621" s="33">
        <v>1754</v>
      </c>
      <c r="F1621" s="33" t="s">
        <v>27</v>
      </c>
      <c r="G1621" s="33" t="s">
        <v>2213</v>
      </c>
      <c r="H1621" s="34">
        <v>46189</v>
      </c>
      <c r="I1621" t="s">
        <v>14</v>
      </c>
      <c r="J1621">
        <f>VLOOKUP(E1621,'Room Count'!A$2:B$2616,2,FALSE)</f>
        <v>98</v>
      </c>
    </row>
    <row r="1622" spans="1:10" hidden="1">
      <c r="A1622" s="33" t="s">
        <v>46</v>
      </c>
      <c r="B1622" s="33" t="s">
        <v>2214</v>
      </c>
      <c r="C1622" s="33">
        <v>212065</v>
      </c>
      <c r="D1622" s="33" t="s">
        <v>2214</v>
      </c>
      <c r="E1622" s="33">
        <v>1748</v>
      </c>
      <c r="F1622" s="33" t="s">
        <v>27</v>
      </c>
      <c r="G1622" s="33" t="s">
        <v>2215</v>
      </c>
      <c r="H1622" s="34">
        <v>46189</v>
      </c>
      <c r="I1622" t="s">
        <v>14</v>
      </c>
      <c r="J1622">
        <f>VLOOKUP(E1622,'Room Count'!A$2:B$2616,2,FALSE)</f>
        <v>114</v>
      </c>
    </row>
    <row r="1623" spans="1:10" hidden="1">
      <c r="A1623" s="33" t="s">
        <v>46</v>
      </c>
      <c r="B1623" s="33" t="s">
        <v>2216</v>
      </c>
      <c r="C1623" s="33">
        <v>212087</v>
      </c>
      <c r="D1623" s="33" t="s">
        <v>2216</v>
      </c>
      <c r="E1623" s="33">
        <v>1761</v>
      </c>
      <c r="F1623" s="33" t="s">
        <v>27</v>
      </c>
      <c r="G1623" s="33" t="s">
        <v>2217</v>
      </c>
      <c r="H1623" s="34">
        <v>46189</v>
      </c>
      <c r="I1623" t="s">
        <v>14</v>
      </c>
      <c r="J1623">
        <f>VLOOKUP(E1623,'Room Count'!A$2:B$2616,2,FALSE)</f>
        <v>164</v>
      </c>
    </row>
    <row r="1624" spans="1:10" hidden="1">
      <c r="A1624" s="33" t="s">
        <v>46</v>
      </c>
      <c r="B1624" s="33" t="s">
        <v>2218</v>
      </c>
      <c r="C1624" s="33">
        <v>212077</v>
      </c>
      <c r="D1624" s="33" t="s">
        <v>2218</v>
      </c>
      <c r="E1624" s="33">
        <v>1756</v>
      </c>
      <c r="F1624" s="33" t="s">
        <v>27</v>
      </c>
      <c r="G1624" s="33" t="s">
        <v>2219</v>
      </c>
      <c r="H1624" s="34">
        <v>46189</v>
      </c>
      <c r="I1624" t="s">
        <v>14</v>
      </c>
      <c r="J1624">
        <f>VLOOKUP(E1624,'Room Count'!A$2:B$2616,2,FALSE)</f>
        <v>154</v>
      </c>
    </row>
    <row r="1625" spans="1:10" hidden="1">
      <c r="A1625" s="33" t="s">
        <v>46</v>
      </c>
      <c r="B1625" s="33" t="s">
        <v>2220</v>
      </c>
      <c r="C1625" s="33">
        <v>212089</v>
      </c>
      <c r="D1625" s="33" t="s">
        <v>2220</v>
      </c>
      <c r="E1625" s="33">
        <v>1762</v>
      </c>
      <c r="F1625" s="33" t="s">
        <v>27</v>
      </c>
      <c r="G1625" s="33" t="s">
        <v>2221</v>
      </c>
      <c r="H1625" s="34">
        <v>46189</v>
      </c>
      <c r="I1625" t="s">
        <v>14</v>
      </c>
      <c r="J1625">
        <f>VLOOKUP(E1625,'Room Count'!A$2:B$2616,2,FALSE)</f>
        <v>110</v>
      </c>
    </row>
    <row r="1626" spans="1:10" hidden="1">
      <c r="A1626" s="33" t="s">
        <v>46</v>
      </c>
      <c r="B1626" s="33" t="s">
        <v>2222</v>
      </c>
      <c r="C1626" s="33">
        <v>212083</v>
      </c>
      <c r="D1626" s="33" t="s">
        <v>2222</v>
      </c>
      <c r="E1626" s="33">
        <v>1759</v>
      </c>
      <c r="F1626" s="33" t="s">
        <v>27</v>
      </c>
      <c r="G1626" s="33" t="s">
        <v>2223</v>
      </c>
      <c r="H1626" s="34">
        <v>46189</v>
      </c>
      <c r="I1626" t="s">
        <v>14</v>
      </c>
      <c r="J1626">
        <f>VLOOKUP(E1626,'Room Count'!A$2:B$2616,2,FALSE)</f>
        <v>120</v>
      </c>
    </row>
    <row r="1627" spans="1:10" hidden="1">
      <c r="A1627" s="33" t="s">
        <v>46</v>
      </c>
      <c r="B1627" s="33" t="s">
        <v>2224</v>
      </c>
      <c r="C1627" s="33">
        <v>212095</v>
      </c>
      <c r="D1627" s="33" t="s">
        <v>2224</v>
      </c>
      <c r="E1627" s="33">
        <v>1767</v>
      </c>
      <c r="F1627" s="33" t="s">
        <v>27</v>
      </c>
      <c r="G1627" s="33" t="s">
        <v>2225</v>
      </c>
      <c r="H1627" s="34">
        <v>46189</v>
      </c>
      <c r="I1627" t="s">
        <v>14</v>
      </c>
      <c r="J1627">
        <f>VLOOKUP(E1627,'Room Count'!A$2:B$2616,2,FALSE)</f>
        <v>60</v>
      </c>
    </row>
    <row r="1628" spans="1:10" hidden="1">
      <c r="A1628" s="33" t="s">
        <v>46</v>
      </c>
      <c r="B1628" s="33" t="s">
        <v>2226</v>
      </c>
      <c r="C1628" s="33">
        <v>212101</v>
      </c>
      <c r="D1628" s="33" t="s">
        <v>2226</v>
      </c>
      <c r="E1628" s="33">
        <v>1770</v>
      </c>
      <c r="F1628" s="33" t="s">
        <v>27</v>
      </c>
      <c r="G1628" s="33" t="s">
        <v>2227</v>
      </c>
      <c r="H1628" s="34">
        <v>46189</v>
      </c>
      <c r="I1628" t="s">
        <v>14</v>
      </c>
      <c r="J1628">
        <f>VLOOKUP(E1628,'Room Count'!A$2:B$2616,2,FALSE)</f>
        <v>65</v>
      </c>
    </row>
    <row r="1629" spans="1:10" hidden="1">
      <c r="A1629" s="33" t="s">
        <v>46</v>
      </c>
      <c r="B1629" s="33" t="s">
        <v>2228</v>
      </c>
      <c r="C1629" s="33">
        <v>212067</v>
      </c>
      <c r="D1629" s="33" t="s">
        <v>2228</v>
      </c>
      <c r="E1629" s="33">
        <v>1749</v>
      </c>
      <c r="F1629" s="33" t="s">
        <v>27</v>
      </c>
      <c r="G1629" s="33" t="s">
        <v>2229</v>
      </c>
      <c r="H1629" s="34">
        <v>46189</v>
      </c>
      <c r="I1629" t="s">
        <v>14</v>
      </c>
      <c r="J1629">
        <f>VLOOKUP(E1629,'Room Count'!A$2:B$2616,2,FALSE)</f>
        <v>106</v>
      </c>
    </row>
    <row r="1630" spans="1:10" hidden="1">
      <c r="A1630" s="33" t="s">
        <v>46</v>
      </c>
      <c r="B1630" s="33" t="s">
        <v>2230</v>
      </c>
      <c r="C1630" s="33">
        <v>212059</v>
      </c>
      <c r="D1630" s="33" t="s">
        <v>2230</v>
      </c>
      <c r="E1630" s="33">
        <v>1745</v>
      </c>
      <c r="F1630" s="33" t="s">
        <v>27</v>
      </c>
      <c r="G1630" s="33" t="s">
        <v>2231</v>
      </c>
      <c r="H1630" s="34">
        <v>46189</v>
      </c>
      <c r="I1630" t="s">
        <v>14</v>
      </c>
      <c r="J1630">
        <f>VLOOKUP(E1630,'Room Count'!A$2:B$2616,2,FALSE)</f>
        <v>115</v>
      </c>
    </row>
    <row r="1631" spans="1:10" hidden="1">
      <c r="A1631" s="33" t="s">
        <v>46</v>
      </c>
      <c r="B1631" s="33" t="s">
        <v>2232</v>
      </c>
      <c r="C1631" s="33">
        <v>212061</v>
      </c>
      <c r="D1631" s="33" t="s">
        <v>2232</v>
      </c>
      <c r="E1631" s="33">
        <v>1746</v>
      </c>
      <c r="F1631" s="33" t="s">
        <v>27</v>
      </c>
      <c r="G1631" s="33" t="s">
        <v>2233</v>
      </c>
      <c r="H1631" s="34">
        <v>46189</v>
      </c>
      <c r="I1631" t="s">
        <v>14</v>
      </c>
      <c r="J1631">
        <f>VLOOKUP(E1631,'Room Count'!A$2:B$2616,2,FALSE)</f>
        <v>140</v>
      </c>
    </row>
    <row r="1632" spans="1:10" hidden="1">
      <c r="A1632" s="33" t="s">
        <v>46</v>
      </c>
      <c r="B1632" s="33" t="s">
        <v>2234</v>
      </c>
      <c r="C1632" s="33">
        <v>212097</v>
      </c>
      <c r="D1632" s="33" t="s">
        <v>2234</v>
      </c>
      <c r="E1632" s="33">
        <v>1768</v>
      </c>
      <c r="F1632" s="33" t="s">
        <v>27</v>
      </c>
      <c r="G1632" s="33" t="s">
        <v>2235</v>
      </c>
      <c r="H1632" s="34">
        <v>46189</v>
      </c>
      <c r="I1632" t="s">
        <v>14</v>
      </c>
      <c r="J1632">
        <f>VLOOKUP(E1632,'Room Count'!A$2:B$2616,2,FALSE)</f>
        <v>143</v>
      </c>
    </row>
    <row r="1633" spans="1:10" hidden="1">
      <c r="A1633" s="33" t="s">
        <v>46</v>
      </c>
      <c r="B1633" s="33" t="s">
        <v>2236</v>
      </c>
      <c r="C1633" s="33">
        <v>212085</v>
      </c>
      <c r="D1633" s="33" t="s">
        <v>2236</v>
      </c>
      <c r="E1633" s="33">
        <v>1760</v>
      </c>
      <c r="F1633" s="33" t="s">
        <v>27</v>
      </c>
      <c r="G1633" s="33" t="s">
        <v>2237</v>
      </c>
      <c r="H1633" s="34">
        <v>46189</v>
      </c>
      <c r="I1633" t="s">
        <v>14</v>
      </c>
      <c r="J1633">
        <f>VLOOKUP(E1633,'Room Count'!A$2:B$2616,2,FALSE)</f>
        <v>123</v>
      </c>
    </row>
    <row r="1634" spans="1:10" hidden="1">
      <c r="A1634" s="33" t="s">
        <v>46</v>
      </c>
      <c r="B1634" s="33" t="s">
        <v>2238</v>
      </c>
      <c r="C1634" s="33">
        <v>212091</v>
      </c>
      <c r="D1634" s="33" t="s">
        <v>2238</v>
      </c>
      <c r="E1634" s="33">
        <v>1764</v>
      </c>
      <c r="F1634" s="33" t="s">
        <v>27</v>
      </c>
      <c r="G1634" s="33" t="s">
        <v>2239</v>
      </c>
      <c r="H1634" s="34">
        <v>46189</v>
      </c>
      <c r="I1634" t="s">
        <v>14</v>
      </c>
      <c r="J1634">
        <f>VLOOKUP(E1634,'Room Count'!A$2:B$2616,2,FALSE)</f>
        <v>86</v>
      </c>
    </row>
    <row r="1635" spans="1:10" hidden="1">
      <c r="A1635" s="33" t="s">
        <v>46</v>
      </c>
      <c r="B1635" s="33" t="s">
        <v>2240</v>
      </c>
      <c r="C1635" s="33">
        <v>212099</v>
      </c>
      <c r="D1635" s="33" t="s">
        <v>2240</v>
      </c>
      <c r="E1635" s="33">
        <v>1769</v>
      </c>
      <c r="F1635" s="33" t="s">
        <v>27</v>
      </c>
      <c r="G1635" s="33" t="s">
        <v>2241</v>
      </c>
      <c r="H1635" s="34">
        <v>46189</v>
      </c>
      <c r="I1635" t="s">
        <v>14</v>
      </c>
      <c r="J1635">
        <f>VLOOKUP(E1635,'Room Count'!A$2:B$2616,2,FALSE)</f>
        <v>125</v>
      </c>
    </row>
    <row r="1636" spans="1:10" hidden="1">
      <c r="A1636" s="33" t="s">
        <v>46</v>
      </c>
      <c r="B1636" s="33" t="s">
        <v>2242</v>
      </c>
      <c r="C1636" s="33">
        <v>212113</v>
      </c>
      <c r="D1636" s="33" t="s">
        <v>2242</v>
      </c>
      <c r="E1636" s="33">
        <v>1776</v>
      </c>
      <c r="F1636" s="33" t="s">
        <v>27</v>
      </c>
      <c r="G1636" s="33" t="s">
        <v>2243</v>
      </c>
      <c r="H1636" s="34">
        <v>46189</v>
      </c>
      <c r="I1636" t="s">
        <v>14</v>
      </c>
      <c r="J1636">
        <f>VLOOKUP(E1636,'Room Count'!A$2:B$2616,2,FALSE)</f>
        <v>179</v>
      </c>
    </row>
    <row r="1637" spans="1:10" hidden="1">
      <c r="A1637" s="33" t="s">
        <v>46</v>
      </c>
      <c r="B1637" s="33" t="s">
        <v>2244</v>
      </c>
      <c r="C1637" s="33">
        <v>212131</v>
      </c>
      <c r="D1637" s="33" t="s">
        <v>2244</v>
      </c>
      <c r="E1637" s="33">
        <v>1785</v>
      </c>
      <c r="F1637" s="33" t="s">
        <v>27</v>
      </c>
      <c r="G1637" s="33" t="s">
        <v>2245</v>
      </c>
      <c r="H1637" s="34">
        <v>46189</v>
      </c>
      <c r="I1637" t="s">
        <v>14</v>
      </c>
      <c r="J1637">
        <f>VLOOKUP(E1637,'Room Count'!A$2:B$2616,2,FALSE)</f>
        <v>109</v>
      </c>
    </row>
    <row r="1638" spans="1:10" hidden="1">
      <c r="A1638" s="33" t="s">
        <v>46</v>
      </c>
      <c r="B1638" s="33" t="s">
        <v>2246</v>
      </c>
      <c r="C1638" s="33">
        <v>212023</v>
      </c>
      <c r="D1638" s="33" t="s">
        <v>2246</v>
      </c>
      <c r="E1638" s="33">
        <v>1711</v>
      </c>
      <c r="F1638" s="33" t="s">
        <v>27</v>
      </c>
      <c r="G1638" s="33" t="s">
        <v>2247</v>
      </c>
      <c r="H1638" s="34">
        <v>46189</v>
      </c>
      <c r="I1638" t="s">
        <v>14</v>
      </c>
      <c r="J1638">
        <f>VLOOKUP(E1638,'Room Count'!A$2:B$2616,2,FALSE)</f>
        <v>128</v>
      </c>
    </row>
    <row r="1639" spans="1:10" hidden="1">
      <c r="A1639" s="33" t="s">
        <v>46</v>
      </c>
      <c r="B1639" s="33" t="s">
        <v>2248</v>
      </c>
      <c r="C1639" s="33">
        <v>212145</v>
      </c>
      <c r="D1639" s="33" t="s">
        <v>2248</v>
      </c>
      <c r="E1639" s="33">
        <v>1792</v>
      </c>
      <c r="F1639" s="33" t="s">
        <v>27</v>
      </c>
      <c r="G1639" s="33" t="s">
        <v>2249</v>
      </c>
      <c r="H1639" s="34">
        <v>46189</v>
      </c>
      <c r="I1639" t="s">
        <v>14</v>
      </c>
      <c r="J1639">
        <f>VLOOKUP(E1639,'Room Count'!A$2:B$2616,2,FALSE)</f>
        <v>138</v>
      </c>
    </row>
    <row r="1640" spans="1:10" hidden="1">
      <c r="A1640" s="33" t="s">
        <v>46</v>
      </c>
      <c r="B1640" s="33" t="s">
        <v>2250</v>
      </c>
      <c r="C1640" s="33">
        <v>212187</v>
      </c>
      <c r="D1640" s="33" t="s">
        <v>2250</v>
      </c>
      <c r="E1640" s="33">
        <v>1813</v>
      </c>
      <c r="F1640" s="33" t="s">
        <v>27</v>
      </c>
      <c r="G1640" s="33" t="s">
        <v>2251</v>
      </c>
      <c r="H1640" s="34">
        <v>46189</v>
      </c>
      <c r="I1640" t="s">
        <v>14</v>
      </c>
      <c r="J1640">
        <f>VLOOKUP(E1640,'Room Count'!A$2:B$2616,2,FALSE)</f>
        <v>100</v>
      </c>
    </row>
    <row r="1641" spans="1:10" hidden="1">
      <c r="A1641" s="33" t="s">
        <v>46</v>
      </c>
      <c r="B1641" s="33" t="s">
        <v>2252</v>
      </c>
      <c r="C1641" s="33">
        <v>212093</v>
      </c>
      <c r="D1641" s="33" t="s">
        <v>2252</v>
      </c>
      <c r="E1641" s="33">
        <v>1766</v>
      </c>
      <c r="F1641" s="33" t="s">
        <v>27</v>
      </c>
      <c r="G1641" s="33" t="s">
        <v>2253</v>
      </c>
      <c r="H1641" s="34">
        <v>46189</v>
      </c>
      <c r="I1641" t="s">
        <v>14</v>
      </c>
      <c r="J1641">
        <f>VLOOKUP(E1641,'Room Count'!A$2:B$2616,2,FALSE)</f>
        <v>90</v>
      </c>
    </row>
    <row r="1642" spans="1:10" hidden="1">
      <c r="A1642" s="33" t="s">
        <v>46</v>
      </c>
      <c r="B1642" s="33" t="s">
        <v>2254</v>
      </c>
      <c r="C1642" s="33">
        <v>212191</v>
      </c>
      <c r="D1642" s="33" t="s">
        <v>2254</v>
      </c>
      <c r="E1642" s="33">
        <v>1815</v>
      </c>
      <c r="F1642" s="33" t="s">
        <v>27</v>
      </c>
      <c r="G1642" s="33" t="s">
        <v>2255</v>
      </c>
      <c r="H1642" s="34">
        <v>46189</v>
      </c>
      <c r="I1642" t="s">
        <v>14</v>
      </c>
      <c r="J1642">
        <f>VLOOKUP(E1642,'Room Count'!A$2:B$2616,2,FALSE)</f>
        <v>79</v>
      </c>
    </row>
    <row r="1643" spans="1:10" hidden="1">
      <c r="A1643" s="33" t="s">
        <v>46</v>
      </c>
      <c r="B1643" s="33" t="s">
        <v>2256</v>
      </c>
      <c r="C1643" s="33">
        <v>212047</v>
      </c>
      <c r="D1643" s="33" t="s">
        <v>2256</v>
      </c>
      <c r="E1643" s="33">
        <v>1735</v>
      </c>
      <c r="F1643" s="33" t="s">
        <v>27</v>
      </c>
      <c r="G1643" s="33" t="s">
        <v>2257</v>
      </c>
      <c r="H1643" s="34">
        <v>46189</v>
      </c>
      <c r="I1643" t="s">
        <v>14</v>
      </c>
      <c r="J1643">
        <f>VLOOKUP(E1643,'Room Count'!A$2:B$2616,2,FALSE)</f>
        <v>153</v>
      </c>
    </row>
    <row r="1644" spans="1:10" hidden="1">
      <c r="A1644" s="33" t="s">
        <v>46</v>
      </c>
      <c r="B1644" s="33" t="s">
        <v>2258</v>
      </c>
      <c r="C1644" s="33">
        <v>212117</v>
      </c>
      <c r="D1644" s="33" t="s">
        <v>2258</v>
      </c>
      <c r="E1644" s="33">
        <v>1778</v>
      </c>
      <c r="F1644" s="33" t="s">
        <v>27</v>
      </c>
      <c r="G1644" s="33" t="s">
        <v>2259</v>
      </c>
      <c r="H1644" s="34">
        <v>46189</v>
      </c>
      <c r="I1644" t="s">
        <v>14</v>
      </c>
      <c r="J1644">
        <f>VLOOKUP(E1644,'Room Count'!A$2:B$2616,2,FALSE)</f>
        <v>106</v>
      </c>
    </row>
    <row r="1645" spans="1:10" hidden="1">
      <c r="A1645" s="33" t="s">
        <v>46</v>
      </c>
      <c r="B1645" s="33" t="s">
        <v>2260</v>
      </c>
      <c r="C1645" s="33">
        <v>212049</v>
      </c>
      <c r="D1645" s="33" t="s">
        <v>2260</v>
      </c>
      <c r="E1645" s="33">
        <v>1736</v>
      </c>
      <c r="F1645" s="33" t="s">
        <v>27</v>
      </c>
      <c r="G1645" s="33" t="s">
        <v>2261</v>
      </c>
      <c r="H1645" s="34">
        <v>46189</v>
      </c>
      <c r="I1645" t="s">
        <v>14</v>
      </c>
      <c r="J1645">
        <f>VLOOKUP(E1645,'Room Count'!A$2:B$2616,2,FALSE)</f>
        <v>131</v>
      </c>
    </row>
    <row r="1646" spans="1:10" hidden="1">
      <c r="A1646" s="33" t="s">
        <v>46</v>
      </c>
      <c r="B1646" s="33" t="s">
        <v>2262</v>
      </c>
      <c r="C1646" s="33">
        <v>212177</v>
      </c>
      <c r="D1646" s="33" t="s">
        <v>2262</v>
      </c>
      <c r="E1646" s="33">
        <v>1808</v>
      </c>
      <c r="F1646" s="33" t="s">
        <v>27</v>
      </c>
      <c r="G1646" s="33" t="s">
        <v>2263</v>
      </c>
      <c r="H1646" s="34">
        <v>46189</v>
      </c>
      <c r="I1646" t="s">
        <v>14</v>
      </c>
      <c r="J1646">
        <f>VLOOKUP(E1646,'Room Count'!A$2:B$2616,2,FALSE)</f>
        <v>172</v>
      </c>
    </row>
    <row r="1647" spans="1:10" hidden="1">
      <c r="A1647" s="33" t="s">
        <v>46</v>
      </c>
      <c r="B1647" s="33" t="s">
        <v>2264</v>
      </c>
      <c r="C1647" s="33">
        <v>212063</v>
      </c>
      <c r="D1647" s="33" t="s">
        <v>2264</v>
      </c>
      <c r="E1647" s="33">
        <v>1747</v>
      </c>
      <c r="F1647" s="33" t="s">
        <v>27</v>
      </c>
      <c r="G1647" s="33" t="s">
        <v>2265</v>
      </c>
      <c r="H1647" s="34">
        <v>46189</v>
      </c>
      <c r="I1647" t="s">
        <v>14</v>
      </c>
      <c r="J1647">
        <f>VLOOKUP(E1647,'Room Count'!A$2:B$2616,2,FALSE)</f>
        <v>188</v>
      </c>
    </row>
    <row r="1648" spans="1:10" hidden="1">
      <c r="A1648" s="33" t="s">
        <v>46</v>
      </c>
      <c r="B1648" s="33" t="s">
        <v>2266</v>
      </c>
      <c r="C1648" s="33">
        <v>212081</v>
      </c>
      <c r="D1648" s="33" t="s">
        <v>2266</v>
      </c>
      <c r="E1648" s="33">
        <v>1758</v>
      </c>
      <c r="F1648" s="33" t="s">
        <v>27</v>
      </c>
      <c r="G1648" s="33" t="s">
        <v>2267</v>
      </c>
      <c r="H1648" s="34">
        <v>46189</v>
      </c>
      <c r="I1648" t="s">
        <v>14</v>
      </c>
      <c r="J1648">
        <f>VLOOKUP(E1648,'Room Count'!A$2:B$2616,2,FALSE)</f>
        <v>135</v>
      </c>
    </row>
    <row r="1649" spans="1:10" hidden="1">
      <c r="A1649" s="33" t="s">
        <v>46</v>
      </c>
      <c r="B1649" s="33" t="s">
        <v>2268</v>
      </c>
      <c r="C1649" s="33">
        <v>212053</v>
      </c>
      <c r="D1649" s="33" t="s">
        <v>2268</v>
      </c>
      <c r="E1649" s="33">
        <v>1742</v>
      </c>
      <c r="F1649" s="33" t="s">
        <v>27</v>
      </c>
      <c r="G1649" s="33" t="s">
        <v>2269</v>
      </c>
      <c r="H1649" s="34">
        <v>46189</v>
      </c>
      <c r="I1649" t="s">
        <v>14</v>
      </c>
      <c r="J1649">
        <f>VLOOKUP(E1649,'Room Count'!A$2:B$2616,2,FALSE)</f>
        <v>102</v>
      </c>
    </row>
    <row r="1650" spans="1:10" hidden="1">
      <c r="A1650" s="33" t="s">
        <v>46</v>
      </c>
      <c r="B1650" s="33" t="s">
        <v>2270</v>
      </c>
      <c r="C1650" s="33">
        <v>212115</v>
      </c>
      <c r="D1650" s="33" t="s">
        <v>2270</v>
      </c>
      <c r="E1650" s="33">
        <v>1777</v>
      </c>
      <c r="F1650" s="33" t="s">
        <v>27</v>
      </c>
      <c r="G1650" s="33" t="s">
        <v>2271</v>
      </c>
      <c r="H1650" s="34">
        <v>46189</v>
      </c>
      <c r="I1650" t="s">
        <v>14</v>
      </c>
      <c r="J1650">
        <f>VLOOKUP(E1650,'Room Count'!A$2:B$2616,2,FALSE)</f>
        <v>114</v>
      </c>
    </row>
    <row r="1651" spans="1:10" hidden="1">
      <c r="A1651" s="33" t="s">
        <v>46</v>
      </c>
      <c r="B1651" s="33" t="s">
        <v>2272</v>
      </c>
      <c r="C1651" s="33">
        <v>212147</v>
      </c>
      <c r="D1651" s="33" t="s">
        <v>2272</v>
      </c>
      <c r="E1651" s="33">
        <v>1793</v>
      </c>
      <c r="F1651" s="33" t="s">
        <v>27</v>
      </c>
      <c r="G1651" s="33" t="s">
        <v>2273</v>
      </c>
      <c r="H1651" s="34">
        <v>46189</v>
      </c>
      <c r="I1651" t="s">
        <v>14</v>
      </c>
      <c r="J1651">
        <f>VLOOKUP(E1651,'Room Count'!A$2:B$2616,2,FALSE)</f>
        <v>156</v>
      </c>
    </row>
    <row r="1652" spans="1:10" hidden="1">
      <c r="A1652" s="33" t="s">
        <v>46</v>
      </c>
      <c r="B1652" s="33" t="s">
        <v>2274</v>
      </c>
      <c r="C1652" s="33">
        <v>212133</v>
      </c>
      <c r="D1652" s="33" t="s">
        <v>2274</v>
      </c>
      <c r="E1652" s="33">
        <v>1786</v>
      </c>
      <c r="F1652" s="33" t="s">
        <v>27</v>
      </c>
      <c r="G1652" s="33" t="s">
        <v>2275</v>
      </c>
      <c r="H1652" s="34">
        <v>46189</v>
      </c>
      <c r="I1652" t="s">
        <v>14</v>
      </c>
      <c r="J1652">
        <f>VLOOKUP(E1652,'Room Count'!A$2:B$2616,2,FALSE)</f>
        <v>99</v>
      </c>
    </row>
    <row r="1653" spans="1:10" hidden="1">
      <c r="A1653" s="33" t="s">
        <v>46</v>
      </c>
      <c r="B1653" s="33" t="s">
        <v>2276</v>
      </c>
      <c r="C1653" s="33">
        <v>212193</v>
      </c>
      <c r="D1653" s="33" t="s">
        <v>2276</v>
      </c>
      <c r="E1653" s="33">
        <v>1816</v>
      </c>
      <c r="F1653" s="33" t="s">
        <v>27</v>
      </c>
      <c r="G1653" s="33" t="s">
        <v>2277</v>
      </c>
      <c r="H1653" s="34">
        <v>46189</v>
      </c>
      <c r="I1653" t="s">
        <v>14</v>
      </c>
      <c r="J1653">
        <f>VLOOKUP(E1653,'Room Count'!A$2:B$2616,2,FALSE)</f>
        <v>64</v>
      </c>
    </row>
    <row r="1654" spans="1:10" hidden="1">
      <c r="A1654" s="33" t="s">
        <v>46</v>
      </c>
      <c r="B1654" s="33" t="s">
        <v>2278</v>
      </c>
      <c r="C1654" s="33">
        <v>212057</v>
      </c>
      <c r="D1654" s="33" t="s">
        <v>2278</v>
      </c>
      <c r="E1654" s="33">
        <v>1744</v>
      </c>
      <c r="F1654" s="33" t="s">
        <v>27</v>
      </c>
      <c r="G1654" s="33" t="s">
        <v>2279</v>
      </c>
      <c r="H1654" s="34">
        <v>46189</v>
      </c>
      <c r="I1654" t="s">
        <v>14</v>
      </c>
      <c r="J1654">
        <f>VLOOKUP(E1654,'Room Count'!A$2:B$2616,2,FALSE)</f>
        <v>109</v>
      </c>
    </row>
    <row r="1655" spans="1:10" hidden="1">
      <c r="A1655" s="33" t="s">
        <v>46</v>
      </c>
      <c r="B1655" s="33" t="s">
        <v>2280</v>
      </c>
      <c r="C1655" s="33">
        <v>120025</v>
      </c>
      <c r="D1655" s="33" t="s">
        <v>2280</v>
      </c>
      <c r="E1655" s="33">
        <v>1671</v>
      </c>
      <c r="F1655" s="33" t="s">
        <v>28</v>
      </c>
      <c r="G1655" s="33" t="s">
        <v>2281</v>
      </c>
      <c r="H1655" s="34">
        <v>46189</v>
      </c>
      <c r="I1655" t="s">
        <v>14</v>
      </c>
      <c r="J1655">
        <f>VLOOKUP(E1655,'Room Count'!A$2:B$2616,2,FALSE)</f>
        <v>121</v>
      </c>
    </row>
    <row r="1656" spans="1:10" hidden="1">
      <c r="A1656" s="33" t="s">
        <v>46</v>
      </c>
      <c r="B1656" s="33" t="s">
        <v>2282</v>
      </c>
      <c r="C1656" s="33">
        <v>120029</v>
      </c>
      <c r="D1656" s="33" t="s">
        <v>2282</v>
      </c>
      <c r="E1656" s="33">
        <v>1673</v>
      </c>
      <c r="F1656" s="33" t="s">
        <v>28</v>
      </c>
      <c r="G1656" s="33" t="s">
        <v>2283</v>
      </c>
      <c r="H1656" s="34">
        <v>46189</v>
      </c>
      <c r="I1656" t="s">
        <v>14</v>
      </c>
      <c r="J1656">
        <f>VLOOKUP(E1656,'Room Count'!A$2:B$2616,2,FALSE)</f>
        <v>95</v>
      </c>
    </row>
    <row r="1657" spans="1:10" hidden="1">
      <c r="A1657" s="33" t="s">
        <v>46</v>
      </c>
      <c r="B1657" s="33" t="s">
        <v>2284</v>
      </c>
      <c r="C1657" s="33">
        <v>120109</v>
      </c>
      <c r="D1657" s="33" t="s">
        <v>2284</v>
      </c>
      <c r="E1657" s="33">
        <v>1738</v>
      </c>
      <c r="F1657" s="33" t="s">
        <v>28</v>
      </c>
      <c r="G1657" s="33" t="s">
        <v>2285</v>
      </c>
      <c r="H1657" s="34">
        <v>46189</v>
      </c>
      <c r="I1657" t="s">
        <v>14</v>
      </c>
      <c r="J1657">
        <f>VLOOKUP(E1657,'Room Count'!A$2:B$2616,2,FALSE)</f>
        <v>75</v>
      </c>
    </row>
    <row r="1658" spans="1:10" hidden="1">
      <c r="A1658" s="33" t="s">
        <v>46</v>
      </c>
      <c r="B1658" s="33" t="s">
        <v>2286</v>
      </c>
      <c r="C1658" s="33">
        <v>120105</v>
      </c>
      <c r="D1658" s="33" t="s">
        <v>2286</v>
      </c>
      <c r="E1658" s="33">
        <v>1731</v>
      </c>
      <c r="F1658" s="33" t="s">
        <v>28</v>
      </c>
      <c r="G1658" s="33" t="s">
        <v>2287</v>
      </c>
      <c r="H1658" s="34">
        <v>46189</v>
      </c>
      <c r="I1658" t="s">
        <v>14</v>
      </c>
      <c r="J1658">
        <f>VLOOKUP(E1658,'Room Count'!A$2:B$2616,2,FALSE)</f>
        <v>91</v>
      </c>
    </row>
    <row r="1659" spans="1:10" hidden="1">
      <c r="A1659" s="33" t="s">
        <v>46</v>
      </c>
      <c r="B1659" s="33" t="s">
        <v>2288</v>
      </c>
      <c r="C1659" s="33">
        <v>120065</v>
      </c>
      <c r="D1659" s="33" t="s">
        <v>2288</v>
      </c>
      <c r="E1659" s="33">
        <v>1691</v>
      </c>
      <c r="F1659" s="33" t="s">
        <v>28</v>
      </c>
      <c r="G1659" s="33" t="s">
        <v>2289</v>
      </c>
      <c r="H1659" s="34">
        <v>46189</v>
      </c>
      <c r="I1659" t="s">
        <v>14</v>
      </c>
      <c r="J1659">
        <f>VLOOKUP(E1659,'Room Count'!A$2:B$2616,2,FALSE)</f>
        <v>134</v>
      </c>
    </row>
    <row r="1660" spans="1:10" hidden="1">
      <c r="A1660" s="33" t="s">
        <v>46</v>
      </c>
      <c r="B1660" s="33" t="s">
        <v>2290</v>
      </c>
      <c r="C1660" s="33">
        <v>120005</v>
      </c>
      <c r="D1660" s="33" t="s">
        <v>2290</v>
      </c>
      <c r="E1660" s="33">
        <v>1661</v>
      </c>
      <c r="F1660" s="33" t="s">
        <v>28</v>
      </c>
      <c r="G1660" s="33" t="s">
        <v>2291</v>
      </c>
      <c r="H1660" s="34">
        <v>46189</v>
      </c>
      <c r="I1660" t="s">
        <v>14</v>
      </c>
      <c r="J1660">
        <f>VLOOKUP(E1660,'Room Count'!A$2:B$2616,2,FALSE)</f>
        <v>98</v>
      </c>
    </row>
    <row r="1661" spans="1:10" hidden="1">
      <c r="A1661" s="33" t="s">
        <v>46</v>
      </c>
      <c r="B1661" s="33" t="s">
        <v>2292</v>
      </c>
      <c r="C1661" s="33">
        <v>120023</v>
      </c>
      <c r="D1661" s="33" t="s">
        <v>2292</v>
      </c>
      <c r="E1661" s="33">
        <v>1670</v>
      </c>
      <c r="F1661" s="33" t="s">
        <v>28</v>
      </c>
      <c r="G1661" s="33" t="s">
        <v>2293</v>
      </c>
      <c r="H1661" s="34">
        <v>46189</v>
      </c>
      <c r="I1661" t="s">
        <v>14</v>
      </c>
      <c r="J1661">
        <f>VLOOKUP(E1661,'Room Count'!A$2:B$2616,2,FALSE)</f>
        <v>80</v>
      </c>
    </row>
    <row r="1662" spans="1:10" hidden="1">
      <c r="A1662" s="33" t="s">
        <v>46</v>
      </c>
      <c r="B1662" s="33" t="s">
        <v>2294</v>
      </c>
      <c r="C1662" s="33">
        <v>120099</v>
      </c>
      <c r="D1662" s="33" t="s">
        <v>2294</v>
      </c>
      <c r="E1662" s="33">
        <v>1726</v>
      </c>
      <c r="F1662" s="33" t="s">
        <v>28</v>
      </c>
      <c r="G1662" s="33" t="s">
        <v>2295</v>
      </c>
      <c r="H1662" s="34">
        <v>46189</v>
      </c>
      <c r="I1662" t="s">
        <v>14</v>
      </c>
      <c r="J1662">
        <f>VLOOKUP(E1662,'Room Count'!A$2:B$2616,2,FALSE)</f>
        <v>128</v>
      </c>
    </row>
    <row r="1663" spans="1:10" hidden="1">
      <c r="A1663" s="33" t="s">
        <v>46</v>
      </c>
      <c r="B1663" s="33" t="s">
        <v>2296</v>
      </c>
      <c r="C1663" s="33">
        <v>120007</v>
      </c>
      <c r="D1663" s="33" t="s">
        <v>2296</v>
      </c>
      <c r="E1663" s="33">
        <v>1662</v>
      </c>
      <c r="F1663" s="33" t="s">
        <v>28</v>
      </c>
      <c r="G1663" s="33" t="s">
        <v>2297</v>
      </c>
      <c r="H1663" s="34">
        <v>46189</v>
      </c>
      <c r="I1663" t="s">
        <v>14</v>
      </c>
      <c r="J1663">
        <f>VLOOKUP(E1663,'Room Count'!A$2:B$2616,2,FALSE)</f>
        <v>96</v>
      </c>
    </row>
    <row r="1664" spans="1:10" hidden="1">
      <c r="A1664" s="33" t="s">
        <v>46</v>
      </c>
      <c r="B1664" s="33" t="s">
        <v>2298</v>
      </c>
      <c r="C1664" s="33">
        <v>120027</v>
      </c>
      <c r="D1664" s="33" t="s">
        <v>2298</v>
      </c>
      <c r="E1664" s="33">
        <v>1672</v>
      </c>
      <c r="F1664" s="33" t="s">
        <v>28</v>
      </c>
      <c r="G1664" s="33" t="s">
        <v>2299</v>
      </c>
      <c r="H1664" s="34">
        <v>46189</v>
      </c>
      <c r="I1664" t="s">
        <v>14</v>
      </c>
      <c r="J1664">
        <f>VLOOKUP(E1664,'Room Count'!A$2:B$2616,2,FALSE)</f>
        <v>110</v>
      </c>
    </row>
    <row r="1665" spans="1:10" hidden="1">
      <c r="A1665" s="33" t="s">
        <v>46</v>
      </c>
      <c r="B1665" s="33" t="s">
        <v>2300</v>
      </c>
      <c r="C1665" s="33">
        <v>120101</v>
      </c>
      <c r="D1665" s="33" t="s">
        <v>2300</v>
      </c>
      <c r="E1665" s="33">
        <v>1727</v>
      </c>
      <c r="F1665" s="33" t="s">
        <v>28</v>
      </c>
      <c r="G1665" s="33" t="s">
        <v>2301</v>
      </c>
      <c r="H1665" s="34">
        <v>46189</v>
      </c>
      <c r="I1665" t="s">
        <v>14</v>
      </c>
      <c r="J1665">
        <f>VLOOKUP(E1665,'Room Count'!A$2:B$2616,2,FALSE)</f>
        <v>124</v>
      </c>
    </row>
    <row r="1666" spans="1:10" hidden="1">
      <c r="A1666" s="33" t="s">
        <v>46</v>
      </c>
      <c r="B1666" s="33" t="s">
        <v>2302</v>
      </c>
      <c r="C1666" s="33">
        <v>120089</v>
      </c>
      <c r="D1666" s="33" t="s">
        <v>2302</v>
      </c>
      <c r="E1666" s="33">
        <v>1715</v>
      </c>
      <c r="F1666" s="33" t="s">
        <v>28</v>
      </c>
      <c r="G1666" s="33" t="s">
        <v>2303</v>
      </c>
      <c r="H1666" s="34">
        <v>46189</v>
      </c>
      <c r="I1666" t="s">
        <v>14</v>
      </c>
      <c r="J1666">
        <f>VLOOKUP(E1666,'Room Count'!A$2:B$2616,2,FALSE)</f>
        <v>110</v>
      </c>
    </row>
    <row r="1667" spans="1:10" hidden="1">
      <c r="A1667" s="33" t="s">
        <v>46</v>
      </c>
      <c r="B1667" s="33" t="s">
        <v>2304</v>
      </c>
      <c r="C1667" s="33">
        <v>120107</v>
      </c>
      <c r="D1667" s="33" t="s">
        <v>2304</v>
      </c>
      <c r="E1667" s="33">
        <v>1737</v>
      </c>
      <c r="F1667" s="33" t="s">
        <v>28</v>
      </c>
      <c r="G1667" s="33" t="s">
        <v>2305</v>
      </c>
      <c r="H1667" s="34">
        <v>46189</v>
      </c>
      <c r="I1667" t="s">
        <v>14</v>
      </c>
      <c r="J1667">
        <f>VLOOKUP(E1667,'Room Count'!A$2:B$2616,2,FALSE)</f>
        <v>96</v>
      </c>
    </row>
    <row r="1668" spans="1:10" hidden="1">
      <c r="A1668" s="33" t="s">
        <v>46</v>
      </c>
      <c r="B1668" s="33" t="s">
        <v>2306</v>
      </c>
      <c r="C1668" s="33">
        <v>120067</v>
      </c>
      <c r="D1668" s="33" t="s">
        <v>2306</v>
      </c>
      <c r="E1668" s="33">
        <v>1693</v>
      </c>
      <c r="F1668" s="33" t="s">
        <v>28</v>
      </c>
      <c r="G1668" s="33" t="s">
        <v>2307</v>
      </c>
      <c r="H1668" s="34">
        <v>46189</v>
      </c>
      <c r="I1668" t="s">
        <v>14</v>
      </c>
      <c r="J1668">
        <f>VLOOKUP(E1668,'Room Count'!A$2:B$2616,2,FALSE)</f>
        <v>119</v>
      </c>
    </row>
    <row r="1669" spans="1:10" hidden="1">
      <c r="A1669" s="33" t="s">
        <v>46</v>
      </c>
      <c r="B1669" s="33" t="s">
        <v>2308</v>
      </c>
      <c r="C1669" s="33">
        <v>120111</v>
      </c>
      <c r="D1669" s="33" t="s">
        <v>2308</v>
      </c>
      <c r="E1669" s="33">
        <v>1740</v>
      </c>
      <c r="F1669" s="33" t="s">
        <v>28</v>
      </c>
      <c r="G1669" s="33" t="s">
        <v>2309</v>
      </c>
      <c r="H1669" s="34">
        <v>46189</v>
      </c>
      <c r="I1669" t="s">
        <v>14</v>
      </c>
      <c r="J1669">
        <f>VLOOKUP(E1669,'Room Count'!A$2:B$2616,2,FALSE)</f>
        <v>94</v>
      </c>
    </row>
    <row r="1670" spans="1:10" hidden="1">
      <c r="A1670" s="33" t="s">
        <v>46</v>
      </c>
      <c r="B1670" s="33" t="s">
        <v>2310</v>
      </c>
      <c r="C1670" s="33">
        <v>120071</v>
      </c>
      <c r="D1670" s="33" t="s">
        <v>2310</v>
      </c>
      <c r="E1670" s="33">
        <v>1697</v>
      </c>
      <c r="F1670" s="33" t="s">
        <v>28</v>
      </c>
      <c r="G1670" s="33" t="s">
        <v>2311</v>
      </c>
      <c r="H1670" s="34">
        <v>46189</v>
      </c>
      <c r="I1670" t="s">
        <v>14</v>
      </c>
      <c r="J1670">
        <f>VLOOKUP(E1670,'Room Count'!A$2:B$2616,2,FALSE)</f>
        <v>119</v>
      </c>
    </row>
    <row r="1671" spans="1:10" hidden="1">
      <c r="A1671" s="33" t="s">
        <v>46</v>
      </c>
      <c r="B1671" s="33" t="s">
        <v>2312</v>
      </c>
      <c r="C1671" s="33">
        <v>120077</v>
      </c>
      <c r="D1671" s="33" t="s">
        <v>2312</v>
      </c>
      <c r="E1671" s="33">
        <v>1705</v>
      </c>
      <c r="F1671" s="33" t="s">
        <v>28</v>
      </c>
      <c r="G1671" s="33" t="s">
        <v>2313</v>
      </c>
      <c r="H1671" s="34">
        <v>46189</v>
      </c>
      <c r="I1671" t="s">
        <v>14</v>
      </c>
      <c r="J1671">
        <f>VLOOKUP(E1671,'Room Count'!A$2:B$2616,2,FALSE)</f>
        <v>138</v>
      </c>
    </row>
    <row r="1672" spans="1:10" hidden="1">
      <c r="A1672" s="33" t="s">
        <v>46</v>
      </c>
      <c r="B1672" s="33" t="s">
        <v>2314</v>
      </c>
      <c r="C1672" s="33">
        <v>120073</v>
      </c>
      <c r="D1672" s="33" t="s">
        <v>2314</v>
      </c>
      <c r="E1672" s="33">
        <v>1700</v>
      </c>
      <c r="F1672" s="33" t="s">
        <v>28</v>
      </c>
      <c r="G1672" s="33" t="s">
        <v>2315</v>
      </c>
      <c r="H1672" s="34">
        <v>46189</v>
      </c>
      <c r="I1672" t="s">
        <v>14</v>
      </c>
      <c r="J1672">
        <f>VLOOKUP(E1672,'Room Count'!A$2:B$2616,2,FALSE)</f>
        <v>84</v>
      </c>
    </row>
    <row r="1673" spans="1:10" hidden="1">
      <c r="A1673" s="33" t="s">
        <v>46</v>
      </c>
      <c r="B1673" s="33" t="s">
        <v>2316</v>
      </c>
      <c r="C1673" s="33">
        <v>120091</v>
      </c>
      <c r="D1673" s="33" t="s">
        <v>2316</v>
      </c>
      <c r="E1673" s="33">
        <v>1717</v>
      </c>
      <c r="F1673" s="33" t="s">
        <v>28</v>
      </c>
      <c r="G1673" s="33" t="s">
        <v>2317</v>
      </c>
      <c r="H1673" s="34">
        <v>46189</v>
      </c>
      <c r="I1673" t="s">
        <v>14</v>
      </c>
      <c r="J1673">
        <f>VLOOKUP(E1673,'Room Count'!A$2:B$2616,2,FALSE)</f>
        <v>94</v>
      </c>
    </row>
    <row r="1674" spans="1:10" hidden="1">
      <c r="A1674" s="33" t="s">
        <v>46</v>
      </c>
      <c r="B1674" s="33" t="s">
        <v>2318</v>
      </c>
      <c r="C1674" s="33">
        <v>120081</v>
      </c>
      <c r="D1674" s="33" t="s">
        <v>2318</v>
      </c>
      <c r="E1674" s="33">
        <v>1709</v>
      </c>
      <c r="F1674" s="33" t="s">
        <v>28</v>
      </c>
      <c r="G1674" s="33" t="s">
        <v>1866</v>
      </c>
      <c r="H1674" s="34">
        <v>46189</v>
      </c>
      <c r="I1674" t="s">
        <v>14</v>
      </c>
      <c r="J1674">
        <f>VLOOKUP(E1674,'Room Count'!A$2:B$2616,2,FALSE)</f>
        <v>94</v>
      </c>
    </row>
    <row r="1675" spans="1:10" hidden="1">
      <c r="A1675" s="33" t="s">
        <v>46</v>
      </c>
      <c r="B1675" s="33" t="s">
        <v>2319</v>
      </c>
      <c r="C1675" s="33">
        <v>120075</v>
      </c>
      <c r="D1675" s="33" t="s">
        <v>2319</v>
      </c>
      <c r="E1675" s="33">
        <v>1701</v>
      </c>
      <c r="F1675" s="33" t="s">
        <v>28</v>
      </c>
      <c r="G1675" s="33" t="s">
        <v>2320</v>
      </c>
      <c r="H1675" s="34">
        <v>46189</v>
      </c>
      <c r="I1675" t="s">
        <v>14</v>
      </c>
      <c r="J1675">
        <f>VLOOKUP(E1675,'Room Count'!A$2:B$2616,2,FALSE)</f>
        <v>86</v>
      </c>
    </row>
    <row r="1676" spans="1:10" hidden="1">
      <c r="A1676" s="33" t="s">
        <v>46</v>
      </c>
      <c r="B1676" s="33" t="s">
        <v>2321</v>
      </c>
      <c r="C1676" s="33">
        <v>120019</v>
      </c>
      <c r="D1676" s="33" t="s">
        <v>2321</v>
      </c>
      <c r="E1676" s="33">
        <v>1668</v>
      </c>
      <c r="F1676" s="33" t="s">
        <v>28</v>
      </c>
      <c r="G1676" s="33" t="s">
        <v>2322</v>
      </c>
      <c r="H1676" s="34">
        <v>46189</v>
      </c>
      <c r="I1676" t="s">
        <v>14</v>
      </c>
      <c r="J1676">
        <f>VLOOKUP(E1676,'Room Count'!A$2:B$2616,2,FALSE)</f>
        <v>84</v>
      </c>
    </row>
    <row r="1677" spans="1:10" hidden="1">
      <c r="A1677" s="33" t="s">
        <v>46</v>
      </c>
      <c r="B1677" s="33" t="s">
        <v>2323</v>
      </c>
      <c r="C1677" s="33">
        <v>120093</v>
      </c>
      <c r="D1677" s="33" t="s">
        <v>2323</v>
      </c>
      <c r="E1677" s="33">
        <v>1718</v>
      </c>
      <c r="F1677" s="33" t="s">
        <v>28</v>
      </c>
      <c r="G1677" s="33" t="s">
        <v>2324</v>
      </c>
      <c r="H1677" s="34">
        <v>46189</v>
      </c>
      <c r="I1677" t="s">
        <v>14</v>
      </c>
      <c r="J1677">
        <f>VLOOKUP(E1677,'Room Count'!A$2:B$2616,2,FALSE)</f>
        <v>97</v>
      </c>
    </row>
    <row r="1678" spans="1:10" hidden="1">
      <c r="A1678" s="33" t="s">
        <v>46</v>
      </c>
      <c r="B1678" s="33" t="s">
        <v>2325</v>
      </c>
      <c r="C1678" s="33">
        <v>120085</v>
      </c>
      <c r="D1678" s="33" t="s">
        <v>2325</v>
      </c>
      <c r="E1678" s="33">
        <v>1713</v>
      </c>
      <c r="F1678" s="33" t="s">
        <v>28</v>
      </c>
      <c r="G1678" s="33" t="s">
        <v>2326</v>
      </c>
      <c r="H1678" s="34">
        <v>46189</v>
      </c>
      <c r="I1678" t="s">
        <v>14</v>
      </c>
      <c r="J1678">
        <f>VLOOKUP(E1678,'Room Count'!A$2:B$2616,2,FALSE)</f>
        <v>182</v>
      </c>
    </row>
    <row r="1679" spans="1:10" hidden="1">
      <c r="A1679" s="33" t="s">
        <v>46</v>
      </c>
      <c r="B1679" s="33" t="s">
        <v>2327</v>
      </c>
      <c r="C1679" s="33">
        <v>120095</v>
      </c>
      <c r="D1679" s="33" t="s">
        <v>2327</v>
      </c>
      <c r="E1679" s="33">
        <v>1719</v>
      </c>
      <c r="F1679" s="33" t="s">
        <v>28</v>
      </c>
      <c r="G1679" s="33" t="s">
        <v>2328</v>
      </c>
      <c r="H1679" s="34">
        <v>46189</v>
      </c>
      <c r="I1679" t="s">
        <v>14</v>
      </c>
      <c r="J1679">
        <f>VLOOKUP(E1679,'Room Count'!A$2:B$2616,2,FALSE)</f>
        <v>82</v>
      </c>
    </row>
    <row r="1680" spans="1:10" hidden="1">
      <c r="A1680" s="33" t="s">
        <v>46</v>
      </c>
      <c r="B1680" s="33" t="s">
        <v>2329</v>
      </c>
      <c r="C1680" s="33">
        <v>120039</v>
      </c>
      <c r="D1680" s="33" t="s">
        <v>2329</v>
      </c>
      <c r="E1680" s="33">
        <v>1678</v>
      </c>
      <c r="F1680" s="33" t="s">
        <v>28</v>
      </c>
      <c r="G1680" s="33" t="s">
        <v>2330</v>
      </c>
      <c r="H1680" s="34">
        <v>46189</v>
      </c>
      <c r="I1680" t="s">
        <v>14</v>
      </c>
      <c r="J1680">
        <f>VLOOKUP(E1680,'Room Count'!A$2:B$2616,2,FALSE)</f>
        <v>90</v>
      </c>
    </row>
    <row r="1681" spans="1:10" hidden="1">
      <c r="A1681" s="33" t="s">
        <v>46</v>
      </c>
      <c r="B1681" s="33" t="s">
        <v>2331</v>
      </c>
      <c r="C1681" s="33">
        <v>120059</v>
      </c>
      <c r="D1681" s="33" t="s">
        <v>2331</v>
      </c>
      <c r="E1681" s="33">
        <v>1688</v>
      </c>
      <c r="F1681" s="33" t="s">
        <v>28</v>
      </c>
      <c r="G1681" s="33" t="s">
        <v>2332</v>
      </c>
      <c r="H1681" s="34">
        <v>46189</v>
      </c>
      <c r="I1681" t="s">
        <v>14</v>
      </c>
      <c r="J1681">
        <f>VLOOKUP(E1681,'Room Count'!A$2:B$2616,2,FALSE)</f>
        <v>90</v>
      </c>
    </row>
    <row r="1682" spans="1:10" hidden="1">
      <c r="A1682" s="33" t="s">
        <v>46</v>
      </c>
      <c r="B1682" s="33" t="s">
        <v>2333</v>
      </c>
      <c r="C1682" s="33">
        <v>120097</v>
      </c>
      <c r="D1682" s="33" t="s">
        <v>2333</v>
      </c>
      <c r="E1682" s="33">
        <v>1722</v>
      </c>
      <c r="F1682" s="33" t="s">
        <v>28</v>
      </c>
      <c r="G1682" s="33" t="s">
        <v>2334</v>
      </c>
      <c r="H1682" s="34">
        <v>46189</v>
      </c>
      <c r="I1682" t="s">
        <v>14</v>
      </c>
      <c r="J1682">
        <f>VLOOKUP(E1682,'Room Count'!A$2:B$2616,2,FALSE)</f>
        <v>107</v>
      </c>
    </row>
    <row r="1683" spans="1:10" hidden="1">
      <c r="A1683" s="33" t="s">
        <v>46</v>
      </c>
      <c r="B1683" s="33" t="s">
        <v>2335</v>
      </c>
      <c r="C1683" s="33">
        <v>120087</v>
      </c>
      <c r="D1683" s="33" t="s">
        <v>2335</v>
      </c>
      <c r="E1683" s="33">
        <v>1714</v>
      </c>
      <c r="F1683" s="33" t="s">
        <v>28</v>
      </c>
      <c r="G1683" s="33" t="s">
        <v>2336</v>
      </c>
      <c r="H1683" s="34">
        <v>46189</v>
      </c>
      <c r="I1683" t="s">
        <v>14</v>
      </c>
      <c r="J1683">
        <f>VLOOKUP(E1683,'Room Count'!A$2:B$2616,2,FALSE)</f>
        <v>120</v>
      </c>
    </row>
    <row r="1684" spans="1:10" hidden="1">
      <c r="A1684" s="33" t="s">
        <v>46</v>
      </c>
      <c r="B1684" s="33" t="s">
        <v>2337</v>
      </c>
      <c r="C1684" s="33">
        <v>120069</v>
      </c>
      <c r="D1684" s="33" t="s">
        <v>2337</v>
      </c>
      <c r="E1684" s="33">
        <v>1695</v>
      </c>
      <c r="F1684" s="33" t="s">
        <v>28</v>
      </c>
      <c r="G1684" s="33" t="s">
        <v>2338</v>
      </c>
      <c r="H1684" s="34">
        <v>46189</v>
      </c>
      <c r="I1684" t="s">
        <v>14</v>
      </c>
      <c r="J1684">
        <f>VLOOKUP(E1684,'Room Count'!A$2:B$2616,2,FALSE)</f>
        <v>106</v>
      </c>
    </row>
    <row r="1685" spans="1:10" hidden="1">
      <c r="A1685" s="33" t="s">
        <v>46</v>
      </c>
      <c r="B1685" s="33" t="s">
        <v>2339</v>
      </c>
      <c r="C1685" s="33">
        <v>120037</v>
      </c>
      <c r="D1685" s="33" t="s">
        <v>2339</v>
      </c>
      <c r="E1685" s="33">
        <v>1677</v>
      </c>
      <c r="F1685" s="33" t="s">
        <v>28</v>
      </c>
      <c r="G1685" s="33" t="s">
        <v>2340</v>
      </c>
      <c r="H1685" s="34">
        <v>46189</v>
      </c>
      <c r="I1685" t="s">
        <v>14</v>
      </c>
      <c r="J1685">
        <f>VLOOKUP(E1685,'Room Count'!A$2:B$2616,2,FALSE)</f>
        <v>71</v>
      </c>
    </row>
    <row r="1686" spans="1:10" hidden="1">
      <c r="A1686" s="33" t="s">
        <v>46</v>
      </c>
      <c r="B1686" s="33" t="s">
        <v>2341</v>
      </c>
      <c r="C1686" s="33">
        <v>120017</v>
      </c>
      <c r="D1686" s="33" t="s">
        <v>2341</v>
      </c>
      <c r="E1686" s="33">
        <v>1667</v>
      </c>
      <c r="F1686" s="33" t="s">
        <v>28</v>
      </c>
      <c r="G1686" s="33" t="s">
        <v>1708</v>
      </c>
      <c r="H1686" s="34">
        <v>46189</v>
      </c>
      <c r="I1686" t="s">
        <v>14</v>
      </c>
      <c r="J1686">
        <f>VLOOKUP(E1686,'Room Count'!A$2:B$2616,2,FALSE)</f>
        <v>92</v>
      </c>
    </row>
    <row r="1687" spans="1:10" hidden="1">
      <c r="A1687" s="33" t="s">
        <v>46</v>
      </c>
      <c r="B1687" s="33" t="s">
        <v>2342</v>
      </c>
      <c r="C1687" s="33">
        <v>120115</v>
      </c>
      <c r="D1687" s="33" t="s">
        <v>2342</v>
      </c>
      <c r="E1687" s="33">
        <v>1751</v>
      </c>
      <c r="F1687" s="33" t="s">
        <v>28</v>
      </c>
      <c r="G1687" s="33" t="s">
        <v>2343</v>
      </c>
      <c r="H1687" s="34">
        <v>46189</v>
      </c>
      <c r="I1687" t="s">
        <v>14</v>
      </c>
      <c r="J1687">
        <f>VLOOKUP(E1687,'Room Count'!A$2:B$2616,2,FALSE)</f>
        <v>174</v>
      </c>
    </row>
    <row r="1688" spans="1:10" hidden="1">
      <c r="A1688" s="33" t="s">
        <v>46</v>
      </c>
      <c r="B1688" s="33" t="s">
        <v>2344</v>
      </c>
      <c r="C1688" s="33">
        <v>120119</v>
      </c>
      <c r="D1688" s="33" t="s">
        <v>2344</v>
      </c>
      <c r="E1688" s="33">
        <v>1763</v>
      </c>
      <c r="F1688" s="33" t="s">
        <v>28</v>
      </c>
      <c r="G1688" s="33" t="s">
        <v>2345</v>
      </c>
      <c r="H1688" s="34">
        <v>46189</v>
      </c>
      <c r="I1688" t="s">
        <v>14</v>
      </c>
      <c r="J1688">
        <f>VLOOKUP(E1688,'Room Count'!A$2:B$2616,2,FALSE)</f>
        <v>144</v>
      </c>
    </row>
    <row r="1689" spans="1:10" hidden="1">
      <c r="A1689" s="33" t="s">
        <v>46</v>
      </c>
      <c r="B1689" s="33" t="s">
        <v>2346</v>
      </c>
      <c r="C1689" s="33">
        <v>120117</v>
      </c>
      <c r="D1689" s="33" t="s">
        <v>2346</v>
      </c>
      <c r="E1689" s="33">
        <v>1752</v>
      </c>
      <c r="F1689" s="33" t="s">
        <v>28</v>
      </c>
      <c r="G1689" s="33" t="s">
        <v>2347</v>
      </c>
      <c r="H1689" s="34">
        <v>46189</v>
      </c>
      <c r="I1689" t="s">
        <v>14</v>
      </c>
      <c r="J1689">
        <f>VLOOKUP(E1689,'Room Count'!A$2:B$2616,2,FALSE)</f>
        <v>54</v>
      </c>
    </row>
    <row r="1690" spans="1:10" hidden="1">
      <c r="A1690" s="33" t="s">
        <v>46</v>
      </c>
      <c r="B1690" s="33" t="s">
        <v>2348</v>
      </c>
      <c r="C1690" s="33">
        <v>120013</v>
      </c>
      <c r="D1690" s="33" t="s">
        <v>2348</v>
      </c>
      <c r="E1690" s="33">
        <v>1665</v>
      </c>
      <c r="F1690" s="33" t="s">
        <v>28</v>
      </c>
      <c r="G1690" s="33" t="s">
        <v>2349</v>
      </c>
      <c r="H1690" s="34">
        <v>46189</v>
      </c>
      <c r="I1690" t="s">
        <v>14</v>
      </c>
      <c r="J1690">
        <f>VLOOKUP(E1690,'Room Count'!A$2:B$2616,2,FALSE)</f>
        <v>128</v>
      </c>
    </row>
    <row r="1691" spans="1:10" hidden="1">
      <c r="A1691" s="33" t="s">
        <v>46</v>
      </c>
      <c r="B1691" s="33" t="s">
        <v>2350</v>
      </c>
      <c r="C1691" s="33">
        <v>120113</v>
      </c>
      <c r="D1691" s="33" t="s">
        <v>2350</v>
      </c>
      <c r="E1691" s="33">
        <v>1741</v>
      </c>
      <c r="F1691" s="33" t="s">
        <v>28</v>
      </c>
      <c r="G1691" s="33" t="s">
        <v>2351</v>
      </c>
      <c r="H1691" s="34">
        <v>46189</v>
      </c>
      <c r="I1691" t="s">
        <v>14</v>
      </c>
      <c r="J1691">
        <f>VLOOKUP(E1691,'Room Count'!A$2:B$2616,2,FALSE)</f>
        <v>99</v>
      </c>
    </row>
    <row r="1692" spans="1:10" hidden="1">
      <c r="A1692" s="33" t="s">
        <v>46</v>
      </c>
      <c r="B1692" s="33" t="s">
        <v>2352</v>
      </c>
      <c r="C1692" s="33">
        <v>120057</v>
      </c>
      <c r="D1692" s="33" t="s">
        <v>2352</v>
      </c>
      <c r="E1692" s="33">
        <v>1687</v>
      </c>
      <c r="F1692" s="33" t="s">
        <v>28</v>
      </c>
      <c r="G1692" s="33" t="s">
        <v>2353</v>
      </c>
      <c r="H1692" s="34">
        <v>46189</v>
      </c>
      <c r="I1692" t="s">
        <v>14</v>
      </c>
      <c r="J1692">
        <f>VLOOKUP(E1692,'Room Count'!A$2:B$2616,2,FALSE)</f>
        <v>102</v>
      </c>
    </row>
    <row r="1693" spans="1:10" hidden="1">
      <c r="A1693" s="33" t="s">
        <v>46</v>
      </c>
      <c r="B1693" s="33" t="s">
        <v>2354</v>
      </c>
      <c r="C1693" s="33">
        <v>120035</v>
      </c>
      <c r="D1693" s="33" t="s">
        <v>2354</v>
      </c>
      <c r="E1693" s="33">
        <v>1676</v>
      </c>
      <c r="F1693" s="33" t="s">
        <v>28</v>
      </c>
      <c r="G1693" s="33" t="s">
        <v>2355</v>
      </c>
      <c r="H1693" s="34">
        <v>46189</v>
      </c>
      <c r="I1693" t="s">
        <v>14</v>
      </c>
      <c r="J1693">
        <f>VLOOKUP(E1693,'Room Count'!A$2:B$2616,2,FALSE)</f>
        <v>91</v>
      </c>
    </row>
    <row r="1694" spans="1:10" hidden="1">
      <c r="A1694" s="33" t="s">
        <v>46</v>
      </c>
      <c r="B1694" s="33" t="s">
        <v>2356</v>
      </c>
      <c r="C1694" s="33">
        <v>120051</v>
      </c>
      <c r="D1694" s="33" t="s">
        <v>2356</v>
      </c>
      <c r="E1694" s="33">
        <v>1684</v>
      </c>
      <c r="F1694" s="33" t="s">
        <v>28</v>
      </c>
      <c r="G1694" s="33" t="s">
        <v>2357</v>
      </c>
      <c r="H1694" s="34">
        <v>46189</v>
      </c>
      <c r="I1694" t="s">
        <v>14</v>
      </c>
      <c r="J1694">
        <f>VLOOKUP(E1694,'Room Count'!A$2:B$2616,2,FALSE)</f>
        <v>170</v>
      </c>
    </row>
    <row r="1695" spans="1:10" hidden="1">
      <c r="A1695" s="33" t="s">
        <v>46</v>
      </c>
      <c r="B1695" s="33" t="s">
        <v>2358</v>
      </c>
      <c r="C1695" s="33">
        <v>120015</v>
      </c>
      <c r="D1695" s="33" t="s">
        <v>2358</v>
      </c>
      <c r="E1695" s="33">
        <v>1666</v>
      </c>
      <c r="F1695" s="33" t="s">
        <v>28</v>
      </c>
      <c r="G1695" s="33" t="s">
        <v>2359</v>
      </c>
      <c r="H1695" s="34">
        <v>46189</v>
      </c>
      <c r="I1695" t="s">
        <v>14</v>
      </c>
      <c r="J1695">
        <f>VLOOKUP(E1695,'Room Count'!A$2:B$2616,2,FALSE)</f>
        <v>92</v>
      </c>
    </row>
    <row r="1696" spans="1:10" hidden="1">
      <c r="A1696" s="33" t="s">
        <v>46</v>
      </c>
      <c r="B1696" s="33" t="s">
        <v>2360</v>
      </c>
      <c r="C1696" s="33">
        <v>120021</v>
      </c>
      <c r="D1696" s="33" t="s">
        <v>2360</v>
      </c>
      <c r="E1696" s="33">
        <v>1669</v>
      </c>
      <c r="F1696" s="33" t="s">
        <v>28</v>
      </c>
      <c r="G1696" s="33" t="s">
        <v>2361</v>
      </c>
      <c r="H1696" s="34">
        <v>46189</v>
      </c>
      <c r="I1696" t="s">
        <v>14</v>
      </c>
      <c r="J1696">
        <f>VLOOKUP(E1696,'Room Count'!A$2:B$2616,2,FALSE)</f>
        <v>142</v>
      </c>
    </row>
    <row r="1697" spans="1:10" hidden="1">
      <c r="A1697" s="33" t="s">
        <v>46</v>
      </c>
      <c r="B1697" s="33" t="s">
        <v>2362</v>
      </c>
      <c r="C1697" s="33">
        <v>120033</v>
      </c>
      <c r="D1697" s="33" t="s">
        <v>2362</v>
      </c>
      <c r="E1697" s="33">
        <v>1675</v>
      </c>
      <c r="F1697" s="33" t="s">
        <v>28</v>
      </c>
      <c r="G1697" s="33" t="s">
        <v>2363</v>
      </c>
      <c r="H1697" s="34">
        <v>46189</v>
      </c>
      <c r="I1697" t="s">
        <v>14</v>
      </c>
      <c r="J1697">
        <f>VLOOKUP(E1697,'Room Count'!A$2:B$2616,2,FALSE)</f>
        <v>90</v>
      </c>
    </row>
    <row r="1698" spans="1:10" hidden="1">
      <c r="A1698" s="33" t="s">
        <v>46</v>
      </c>
      <c r="B1698" s="33" t="s">
        <v>2364</v>
      </c>
      <c r="C1698" s="33">
        <v>120041</v>
      </c>
      <c r="D1698" s="33" t="s">
        <v>2364</v>
      </c>
      <c r="E1698" s="33">
        <v>1679</v>
      </c>
      <c r="F1698" s="33" t="s">
        <v>28</v>
      </c>
      <c r="G1698" s="33" t="s">
        <v>2365</v>
      </c>
      <c r="H1698" s="34">
        <v>46189</v>
      </c>
      <c r="I1698" t="s">
        <v>14</v>
      </c>
      <c r="J1698">
        <f>VLOOKUP(E1698,'Room Count'!A$2:B$2616,2,FALSE)</f>
        <v>93</v>
      </c>
    </row>
    <row r="1699" spans="1:10" hidden="1">
      <c r="A1699" s="33" t="s">
        <v>46</v>
      </c>
      <c r="B1699" s="33" t="s">
        <v>2366</v>
      </c>
      <c r="C1699" s="33">
        <v>120079</v>
      </c>
      <c r="D1699" s="33" t="s">
        <v>2366</v>
      </c>
      <c r="E1699" s="33">
        <v>1708</v>
      </c>
      <c r="F1699" s="33" t="s">
        <v>28</v>
      </c>
      <c r="G1699" s="33" t="s">
        <v>2367</v>
      </c>
      <c r="H1699" s="34">
        <v>46189</v>
      </c>
      <c r="I1699" t="s">
        <v>14</v>
      </c>
      <c r="J1699">
        <f>VLOOKUP(E1699,'Room Count'!A$2:B$2616,2,FALSE)</f>
        <v>120</v>
      </c>
    </row>
    <row r="1700" spans="1:10" hidden="1">
      <c r="A1700" s="33" t="s">
        <v>46</v>
      </c>
      <c r="B1700" s="33" t="s">
        <v>2368</v>
      </c>
      <c r="C1700" s="33">
        <v>120011</v>
      </c>
      <c r="D1700" s="33" t="s">
        <v>2368</v>
      </c>
      <c r="E1700" s="33">
        <v>1664</v>
      </c>
      <c r="F1700" s="33" t="s">
        <v>28</v>
      </c>
      <c r="G1700" s="33" t="s">
        <v>2369</v>
      </c>
      <c r="H1700" s="34">
        <v>46189</v>
      </c>
      <c r="I1700" t="s">
        <v>14</v>
      </c>
      <c r="J1700">
        <f>VLOOKUP(E1700,'Room Count'!A$2:B$2616,2,FALSE)</f>
        <v>104</v>
      </c>
    </row>
    <row r="1701" spans="1:10" hidden="1">
      <c r="A1701" s="33" t="s">
        <v>46</v>
      </c>
      <c r="B1701" s="33" t="s">
        <v>2370</v>
      </c>
      <c r="C1701" s="33">
        <v>120003</v>
      </c>
      <c r="D1701" s="33" t="s">
        <v>2370</v>
      </c>
      <c r="E1701" s="33">
        <v>1660</v>
      </c>
      <c r="F1701" s="33" t="s">
        <v>28</v>
      </c>
      <c r="G1701" s="33" t="s">
        <v>2371</v>
      </c>
      <c r="H1701" s="34">
        <v>46189</v>
      </c>
      <c r="I1701" t="s">
        <v>14</v>
      </c>
      <c r="J1701">
        <f>VLOOKUP(E1701,'Room Count'!A$2:B$2616,2,FALSE)</f>
        <v>88</v>
      </c>
    </row>
    <row r="1702" spans="1:10" hidden="1">
      <c r="A1702" s="33" t="s">
        <v>46</v>
      </c>
      <c r="B1702" s="33" t="s">
        <v>2372</v>
      </c>
      <c r="C1702" s="33">
        <v>120001</v>
      </c>
      <c r="D1702" s="33" t="s">
        <v>2372</v>
      </c>
      <c r="E1702" s="33">
        <v>1659</v>
      </c>
      <c r="F1702" s="33" t="s">
        <v>28</v>
      </c>
      <c r="G1702" s="33" t="s">
        <v>2373</v>
      </c>
      <c r="H1702" s="34">
        <v>46189</v>
      </c>
      <c r="I1702" t="s">
        <v>14</v>
      </c>
      <c r="J1702">
        <f>VLOOKUP(E1702,'Room Count'!A$2:B$2616,2,FALSE)</f>
        <v>54</v>
      </c>
    </row>
    <row r="1703" spans="1:10" hidden="1">
      <c r="A1703" s="33" t="s">
        <v>46</v>
      </c>
      <c r="B1703" s="33" t="s">
        <v>2374</v>
      </c>
      <c r="C1703" s="33">
        <v>120047</v>
      </c>
      <c r="D1703" s="33" t="s">
        <v>2374</v>
      </c>
      <c r="E1703" s="33">
        <v>1682</v>
      </c>
      <c r="F1703" s="33" t="s">
        <v>28</v>
      </c>
      <c r="G1703" s="33" t="s">
        <v>2375</v>
      </c>
      <c r="H1703" s="34">
        <v>46189</v>
      </c>
      <c r="I1703" t="s">
        <v>14</v>
      </c>
      <c r="J1703">
        <f>VLOOKUP(E1703,'Room Count'!A$2:B$2616,2,FALSE)</f>
        <v>97</v>
      </c>
    </row>
    <row r="1704" spans="1:10" hidden="1">
      <c r="A1704" s="33" t="s">
        <v>46</v>
      </c>
      <c r="B1704" s="33" t="s">
        <v>2376</v>
      </c>
      <c r="C1704" s="33">
        <v>120043</v>
      </c>
      <c r="D1704" s="33" t="s">
        <v>2376</v>
      </c>
      <c r="E1704" s="33">
        <v>1680</v>
      </c>
      <c r="F1704" s="33" t="s">
        <v>28</v>
      </c>
      <c r="G1704" s="33" t="s">
        <v>2377</v>
      </c>
      <c r="H1704" s="34">
        <v>46189</v>
      </c>
      <c r="I1704" t="s">
        <v>14</v>
      </c>
      <c r="J1704">
        <f>VLOOKUP(E1704,'Room Count'!A$2:B$2616,2,FALSE)</f>
        <v>127</v>
      </c>
    </row>
    <row r="1705" spans="1:10" hidden="1">
      <c r="A1705" s="33" t="s">
        <v>46</v>
      </c>
      <c r="B1705" s="33" t="s">
        <v>2378</v>
      </c>
      <c r="C1705" s="33">
        <v>120049</v>
      </c>
      <c r="D1705" s="33" t="s">
        <v>2378</v>
      </c>
      <c r="E1705" s="33">
        <v>1683</v>
      </c>
      <c r="F1705" s="33" t="s">
        <v>28</v>
      </c>
      <c r="G1705" s="33" t="s">
        <v>2379</v>
      </c>
      <c r="H1705" s="34">
        <v>46189</v>
      </c>
      <c r="I1705" t="s">
        <v>14</v>
      </c>
      <c r="J1705">
        <f>VLOOKUP(E1705,'Room Count'!A$2:B$2616,2,FALSE)</f>
        <v>128</v>
      </c>
    </row>
    <row r="1706" spans="1:10" hidden="1">
      <c r="A1706" s="33" t="s">
        <v>46</v>
      </c>
      <c r="B1706" s="33" t="s">
        <v>2380</v>
      </c>
      <c r="C1706" s="33">
        <v>120053</v>
      </c>
      <c r="D1706" s="33" t="s">
        <v>2380</v>
      </c>
      <c r="E1706" s="33">
        <v>1685</v>
      </c>
      <c r="F1706" s="33" t="s">
        <v>28</v>
      </c>
      <c r="G1706" s="33" t="s">
        <v>2381</v>
      </c>
      <c r="H1706" s="34">
        <v>46189</v>
      </c>
      <c r="I1706" t="s">
        <v>14</v>
      </c>
      <c r="J1706">
        <f>VLOOKUP(E1706,'Room Count'!A$2:B$2616,2,FALSE)</f>
        <v>98</v>
      </c>
    </row>
    <row r="1707" spans="1:10" hidden="1">
      <c r="A1707" s="33" t="s">
        <v>46</v>
      </c>
      <c r="B1707" s="33" t="s">
        <v>2382</v>
      </c>
      <c r="C1707" s="33">
        <v>120063</v>
      </c>
      <c r="D1707" s="33" t="s">
        <v>2382</v>
      </c>
      <c r="E1707" s="33">
        <v>1690</v>
      </c>
      <c r="F1707" s="33" t="s">
        <v>28</v>
      </c>
      <c r="G1707" s="33" t="s">
        <v>2383</v>
      </c>
      <c r="H1707" s="34">
        <v>46189</v>
      </c>
      <c r="I1707" t="s">
        <v>14</v>
      </c>
      <c r="J1707">
        <f>VLOOKUP(E1707,'Room Count'!A$2:B$2616,2,FALSE)</f>
        <v>95</v>
      </c>
    </row>
    <row r="1708" spans="1:10" hidden="1">
      <c r="A1708" s="33" t="s">
        <v>46</v>
      </c>
      <c r="B1708" s="33" t="s">
        <v>2384</v>
      </c>
      <c r="C1708" s="33">
        <v>120031</v>
      </c>
      <c r="D1708" s="33" t="s">
        <v>2384</v>
      </c>
      <c r="E1708" s="33">
        <v>1674</v>
      </c>
      <c r="F1708" s="33" t="s">
        <v>28</v>
      </c>
      <c r="G1708" s="33" t="s">
        <v>2385</v>
      </c>
      <c r="H1708" s="34">
        <v>46189</v>
      </c>
      <c r="I1708" t="s">
        <v>14</v>
      </c>
      <c r="J1708">
        <f>VLOOKUP(E1708,'Room Count'!A$2:B$2616,2,FALSE)</f>
        <v>112</v>
      </c>
    </row>
    <row r="1709" spans="1:10" hidden="1">
      <c r="A1709" s="33" t="s">
        <v>46</v>
      </c>
      <c r="B1709" s="33" t="s">
        <v>2386</v>
      </c>
      <c r="C1709" s="33">
        <v>120045</v>
      </c>
      <c r="D1709" s="33" t="s">
        <v>2386</v>
      </c>
      <c r="E1709" s="33">
        <v>1681</v>
      </c>
      <c r="F1709" s="33" t="s">
        <v>28</v>
      </c>
      <c r="G1709" s="33" t="s">
        <v>2387</v>
      </c>
      <c r="H1709" s="34">
        <v>46189</v>
      </c>
      <c r="I1709" t="s">
        <v>14</v>
      </c>
      <c r="J1709">
        <f>VLOOKUP(E1709,'Room Count'!A$2:B$2616,2,FALSE)</f>
        <v>132</v>
      </c>
    </row>
    <row r="1710" spans="1:10" hidden="1">
      <c r="A1710" s="33" t="s">
        <v>46</v>
      </c>
      <c r="B1710" s="33" t="s">
        <v>2388</v>
      </c>
      <c r="C1710" s="33">
        <v>120103</v>
      </c>
      <c r="D1710" s="33" t="s">
        <v>2388</v>
      </c>
      <c r="E1710" s="33">
        <v>1729</v>
      </c>
      <c r="F1710" s="33" t="s">
        <v>28</v>
      </c>
      <c r="G1710" s="33" t="s">
        <v>2389</v>
      </c>
      <c r="H1710" s="34">
        <v>46189</v>
      </c>
      <c r="I1710" t="s">
        <v>14</v>
      </c>
      <c r="J1710">
        <f>VLOOKUP(E1710,'Room Count'!A$2:B$2616,2,FALSE)</f>
        <v>173</v>
      </c>
    </row>
    <row r="1711" spans="1:10" hidden="1">
      <c r="A1711" s="33" t="s">
        <v>46</v>
      </c>
      <c r="B1711" s="33" t="s">
        <v>2390</v>
      </c>
      <c r="C1711" s="33">
        <v>120083</v>
      </c>
      <c r="D1711" s="33" t="s">
        <v>2390</v>
      </c>
      <c r="E1711" s="33">
        <v>1712</v>
      </c>
      <c r="F1711" s="33" t="s">
        <v>28</v>
      </c>
      <c r="G1711" s="33" t="s">
        <v>2391</v>
      </c>
      <c r="H1711" s="34">
        <v>46189</v>
      </c>
      <c r="I1711" t="s">
        <v>14</v>
      </c>
      <c r="J1711">
        <f>VLOOKUP(E1711,'Room Count'!A$2:B$2616,2,FALSE)</f>
        <v>74</v>
      </c>
    </row>
    <row r="1712" spans="1:10" hidden="1">
      <c r="A1712" s="33" t="s">
        <v>46</v>
      </c>
      <c r="B1712" s="33" t="s">
        <v>2392</v>
      </c>
      <c r="C1712" s="33">
        <v>120055</v>
      </c>
      <c r="D1712" s="33" t="s">
        <v>2392</v>
      </c>
      <c r="E1712" s="33">
        <v>1686</v>
      </c>
      <c r="F1712" s="33" t="s">
        <v>28</v>
      </c>
      <c r="G1712" s="33" t="s">
        <v>2393</v>
      </c>
      <c r="H1712" s="34">
        <v>46189</v>
      </c>
      <c r="I1712" t="s">
        <v>14</v>
      </c>
      <c r="J1712">
        <f>VLOOKUP(E1712,'Room Count'!A$2:B$2616,2,FALSE)</f>
        <v>118</v>
      </c>
    </row>
    <row r="1713" spans="1:10" hidden="1">
      <c r="A1713" s="33" t="s">
        <v>46</v>
      </c>
      <c r="B1713" s="33" t="s">
        <v>2394</v>
      </c>
      <c r="C1713" s="33">
        <v>120009</v>
      </c>
      <c r="D1713" s="33" t="s">
        <v>2394</v>
      </c>
      <c r="E1713" s="33">
        <v>1663</v>
      </c>
      <c r="F1713" s="33" t="s">
        <v>28</v>
      </c>
      <c r="G1713" s="33" t="s">
        <v>2395</v>
      </c>
      <c r="H1713" s="34">
        <v>46189</v>
      </c>
      <c r="I1713" t="s">
        <v>14</v>
      </c>
      <c r="J1713">
        <f>VLOOKUP(E1713,'Room Count'!A$2:B$2616,2,FALSE)</f>
        <v>159</v>
      </c>
    </row>
    <row r="1714" spans="1:10" hidden="1">
      <c r="A1714" s="33" t="s">
        <v>46</v>
      </c>
      <c r="B1714" s="33" t="s">
        <v>2396</v>
      </c>
      <c r="C1714" s="33">
        <v>120061</v>
      </c>
      <c r="D1714" s="33" t="s">
        <v>2396</v>
      </c>
      <c r="E1714" s="33">
        <v>1689</v>
      </c>
      <c r="F1714" s="33" t="s">
        <v>28</v>
      </c>
      <c r="G1714" s="33" t="s">
        <v>2397</v>
      </c>
      <c r="H1714" s="34">
        <v>46189</v>
      </c>
      <c r="I1714" t="s">
        <v>14</v>
      </c>
      <c r="J1714">
        <f>VLOOKUP(E1714,'Room Count'!A$2:B$2616,2,FALSE)</f>
        <v>102</v>
      </c>
    </row>
    <row r="1715" spans="1:10" hidden="1">
      <c r="A1715" s="33" t="s">
        <v>46</v>
      </c>
      <c r="B1715" s="33" t="s">
        <v>2398</v>
      </c>
      <c r="C1715" s="33">
        <v>120121</v>
      </c>
      <c r="D1715" s="33" t="s">
        <v>2398</v>
      </c>
      <c r="E1715" s="33">
        <v>1765</v>
      </c>
      <c r="F1715" s="33" t="s">
        <v>28</v>
      </c>
      <c r="G1715" s="33" t="s">
        <v>2399</v>
      </c>
      <c r="H1715" s="34">
        <v>46189</v>
      </c>
      <c r="I1715" t="s">
        <v>14</v>
      </c>
      <c r="J1715">
        <f>VLOOKUP(E1715,'Room Count'!A$2:B$2616,2,FALSE)</f>
        <v>140</v>
      </c>
    </row>
    <row r="1716" spans="1:10" hidden="1">
      <c r="A1716" s="19" t="s">
        <v>47</v>
      </c>
      <c r="B1716" s="19" t="s">
        <v>2400</v>
      </c>
      <c r="C1716" s="19">
        <v>121067</v>
      </c>
      <c r="D1716" s="19" t="s">
        <v>2400</v>
      </c>
      <c r="E1716" s="19">
        <v>1961</v>
      </c>
      <c r="F1716" s="19" t="s">
        <v>29</v>
      </c>
      <c r="G1716" s="19" t="s">
        <v>2401</v>
      </c>
      <c r="H1716" s="35">
        <v>46210</v>
      </c>
      <c r="I1716" t="s">
        <v>14</v>
      </c>
      <c r="J1716" t="e">
        <f>VLOOKUP(E1716,'Room Count'!A$2:B$2616,2,FALSE)</f>
        <v>#N/A</v>
      </c>
    </row>
    <row r="1717" spans="1:10" hidden="1">
      <c r="A1717" s="19" t="s">
        <v>47</v>
      </c>
      <c r="B1717" s="19" t="s">
        <v>2402</v>
      </c>
      <c r="C1717" s="19">
        <v>213099</v>
      </c>
      <c r="D1717" s="19" t="s">
        <v>2402</v>
      </c>
      <c r="E1717" s="19">
        <v>1904</v>
      </c>
      <c r="F1717" s="19" t="s">
        <v>30</v>
      </c>
      <c r="G1717" s="19" t="s">
        <v>2403</v>
      </c>
      <c r="H1717" s="35">
        <v>46210</v>
      </c>
      <c r="I1717" t="s">
        <v>14</v>
      </c>
      <c r="J1717" t="e">
        <f>VLOOKUP(E1717,'Room Count'!A$2:B$2616,2,FALSE)</f>
        <v>#N/A</v>
      </c>
    </row>
    <row r="1718" spans="1:10" hidden="1">
      <c r="A1718" s="19" t="s">
        <v>47</v>
      </c>
      <c r="B1718" s="19" t="s">
        <v>2404</v>
      </c>
      <c r="C1718" s="19">
        <v>121005</v>
      </c>
      <c r="D1718" s="19" t="s">
        <v>2404</v>
      </c>
      <c r="E1718" s="19">
        <v>1854</v>
      </c>
      <c r="F1718" s="19" t="s">
        <v>29</v>
      </c>
      <c r="G1718" s="19" t="s">
        <v>2405</v>
      </c>
      <c r="H1718" s="35">
        <v>46210</v>
      </c>
      <c r="I1718" t="s">
        <v>14</v>
      </c>
      <c r="J1718" t="e">
        <f>VLOOKUP(E1718,'Room Count'!A$2:B$2616,2,FALSE)</f>
        <v>#N/A</v>
      </c>
    </row>
    <row r="1719" spans="1:10" hidden="1">
      <c r="A1719" s="19" t="s">
        <v>47</v>
      </c>
      <c r="B1719" s="19" t="s">
        <v>2406</v>
      </c>
      <c r="C1719" s="19">
        <v>213071</v>
      </c>
      <c r="D1719" s="19" t="s">
        <v>2406</v>
      </c>
      <c r="E1719" s="19">
        <v>1883</v>
      </c>
      <c r="F1719" s="19" t="s">
        <v>30</v>
      </c>
      <c r="G1719" s="19" t="s">
        <v>2407</v>
      </c>
      <c r="H1719" s="35">
        <v>46210</v>
      </c>
      <c r="I1719" t="s">
        <v>14</v>
      </c>
      <c r="J1719" t="e">
        <f>VLOOKUP(E1719,'Room Count'!A$2:B$2616,2,FALSE)</f>
        <v>#N/A</v>
      </c>
    </row>
    <row r="1720" spans="1:10" hidden="1">
      <c r="A1720" s="19" t="s">
        <v>47</v>
      </c>
      <c r="B1720" s="19" t="s">
        <v>2408</v>
      </c>
      <c r="C1720" s="19">
        <v>121007</v>
      </c>
      <c r="D1720" s="19" t="s">
        <v>2408</v>
      </c>
      <c r="E1720" s="19">
        <v>1856</v>
      </c>
      <c r="F1720" s="19" t="s">
        <v>29</v>
      </c>
      <c r="G1720" s="19" t="s">
        <v>2409</v>
      </c>
      <c r="H1720" s="35">
        <v>46210</v>
      </c>
      <c r="I1720" t="s">
        <v>14</v>
      </c>
      <c r="J1720" t="e">
        <f>VLOOKUP(E1720,'Room Count'!A$2:B$2616,2,FALSE)</f>
        <v>#N/A</v>
      </c>
    </row>
    <row r="1721" spans="1:10" hidden="1">
      <c r="A1721" s="19" t="s">
        <v>47</v>
      </c>
      <c r="B1721" s="19" t="s">
        <v>2410</v>
      </c>
      <c r="C1721" s="19">
        <v>213107</v>
      </c>
      <c r="D1721" s="19" t="s">
        <v>2410</v>
      </c>
      <c r="E1721" s="19">
        <v>1908</v>
      </c>
      <c r="F1721" s="19" t="s">
        <v>30</v>
      </c>
      <c r="G1721" s="19" t="s">
        <v>2411</v>
      </c>
      <c r="H1721" s="35">
        <v>46210</v>
      </c>
      <c r="I1721" t="s">
        <v>14</v>
      </c>
      <c r="J1721" t="e">
        <f>VLOOKUP(E1721,'Room Count'!A$2:B$2616,2,FALSE)</f>
        <v>#N/A</v>
      </c>
    </row>
    <row r="1722" spans="1:10" hidden="1">
      <c r="A1722" s="19" t="s">
        <v>47</v>
      </c>
      <c r="B1722" s="19" t="s">
        <v>2412</v>
      </c>
      <c r="C1722" s="19">
        <v>213051</v>
      </c>
      <c r="D1722" s="19" t="s">
        <v>2412</v>
      </c>
      <c r="E1722" s="19">
        <v>1868</v>
      </c>
      <c r="F1722" s="19" t="s">
        <v>30</v>
      </c>
      <c r="G1722" s="19" t="s">
        <v>2413</v>
      </c>
      <c r="H1722" s="35">
        <v>46210</v>
      </c>
      <c r="I1722" t="s">
        <v>14</v>
      </c>
      <c r="J1722" t="e">
        <f>VLOOKUP(E1722,'Room Count'!A$2:B$2616,2,FALSE)</f>
        <v>#N/A</v>
      </c>
    </row>
    <row r="1723" spans="1:10" hidden="1">
      <c r="A1723" s="19" t="s">
        <v>47</v>
      </c>
      <c r="B1723" s="19" t="s">
        <v>2414</v>
      </c>
      <c r="C1723" s="19">
        <v>121015</v>
      </c>
      <c r="D1723" s="19" t="s">
        <v>2414</v>
      </c>
      <c r="E1723" s="19">
        <v>1875</v>
      </c>
      <c r="F1723" s="19" t="s">
        <v>29</v>
      </c>
      <c r="G1723" s="19" t="s">
        <v>2415</v>
      </c>
      <c r="H1723" s="35">
        <v>46210</v>
      </c>
      <c r="I1723" t="s">
        <v>14</v>
      </c>
      <c r="J1723" t="e">
        <f>VLOOKUP(E1723,'Room Count'!A$2:B$2616,2,FALSE)</f>
        <v>#N/A</v>
      </c>
    </row>
    <row r="1724" spans="1:10" hidden="1">
      <c r="A1724" s="19" t="s">
        <v>47</v>
      </c>
      <c r="B1724" s="19" t="s">
        <v>2416</v>
      </c>
      <c r="C1724" s="19">
        <v>121049</v>
      </c>
      <c r="D1724" s="19" t="s">
        <v>2416</v>
      </c>
      <c r="E1724" s="19">
        <v>1917</v>
      </c>
      <c r="F1724" s="19" t="s">
        <v>29</v>
      </c>
      <c r="G1724" s="19" t="s">
        <v>2417</v>
      </c>
      <c r="H1724" s="35">
        <v>46210</v>
      </c>
      <c r="I1724" t="s">
        <v>14</v>
      </c>
      <c r="J1724" t="e">
        <f>VLOOKUP(E1724,'Room Count'!A$2:B$2616,2,FALSE)</f>
        <v>#N/A</v>
      </c>
    </row>
    <row r="1725" spans="1:10" hidden="1">
      <c r="A1725" s="19" t="s">
        <v>47</v>
      </c>
      <c r="B1725" s="19" t="s">
        <v>2418</v>
      </c>
      <c r="C1725" s="19">
        <v>121025</v>
      </c>
      <c r="D1725" s="19" t="s">
        <v>2418</v>
      </c>
      <c r="E1725" s="19">
        <v>1885</v>
      </c>
      <c r="F1725" s="19" t="s">
        <v>29</v>
      </c>
      <c r="G1725" s="19" t="s">
        <v>2419</v>
      </c>
      <c r="H1725" s="35">
        <v>46210</v>
      </c>
      <c r="I1725" t="s">
        <v>14</v>
      </c>
      <c r="J1725" t="e">
        <f>VLOOKUP(E1725,'Room Count'!A$2:B$2616,2,FALSE)</f>
        <v>#N/A</v>
      </c>
    </row>
    <row r="1726" spans="1:10" hidden="1">
      <c r="A1726" s="19" t="s">
        <v>47</v>
      </c>
      <c r="B1726" s="19" t="s">
        <v>2420</v>
      </c>
      <c r="C1726" s="19">
        <v>213201</v>
      </c>
      <c r="D1726" s="19" t="s">
        <v>2420</v>
      </c>
      <c r="E1726" s="19">
        <v>1971</v>
      </c>
      <c r="F1726" s="19" t="s">
        <v>30</v>
      </c>
      <c r="G1726" s="19" t="s">
        <v>2421</v>
      </c>
      <c r="H1726" s="35">
        <v>46210</v>
      </c>
      <c r="I1726" t="s">
        <v>14</v>
      </c>
      <c r="J1726" t="e">
        <f>VLOOKUP(E1726,'Room Count'!A$2:B$2616,2,FALSE)</f>
        <v>#N/A</v>
      </c>
    </row>
    <row r="1727" spans="1:10" hidden="1">
      <c r="A1727" s="19" t="s">
        <v>47</v>
      </c>
      <c r="B1727" s="19" t="s">
        <v>2422</v>
      </c>
      <c r="C1727" s="19">
        <v>213191</v>
      </c>
      <c r="D1727" s="19" t="s">
        <v>2422</v>
      </c>
      <c r="E1727" s="19">
        <v>1966</v>
      </c>
      <c r="F1727" s="19" t="s">
        <v>30</v>
      </c>
      <c r="G1727" s="19" t="s">
        <v>2423</v>
      </c>
      <c r="H1727" s="35">
        <v>46210</v>
      </c>
      <c r="I1727" t="s">
        <v>14</v>
      </c>
      <c r="J1727" t="e">
        <f>VLOOKUP(E1727,'Room Count'!A$2:B$2616,2,FALSE)</f>
        <v>#N/A</v>
      </c>
    </row>
    <row r="1728" spans="1:10" hidden="1">
      <c r="A1728" s="19" t="s">
        <v>47</v>
      </c>
      <c r="B1728" s="19" t="s">
        <v>2424</v>
      </c>
      <c r="C1728" s="19">
        <v>213203</v>
      </c>
      <c r="D1728" s="19" t="s">
        <v>2424</v>
      </c>
      <c r="E1728" s="19">
        <v>1972</v>
      </c>
      <c r="F1728" s="19" t="s">
        <v>30</v>
      </c>
      <c r="G1728" s="19" t="s">
        <v>2425</v>
      </c>
      <c r="H1728" s="35">
        <v>46210</v>
      </c>
      <c r="I1728" t="s">
        <v>14</v>
      </c>
      <c r="J1728" t="e">
        <f>VLOOKUP(E1728,'Room Count'!A$2:B$2616,2,FALSE)</f>
        <v>#N/A</v>
      </c>
    </row>
    <row r="1729" spans="1:10" hidden="1">
      <c r="A1729" s="19" t="s">
        <v>47</v>
      </c>
      <c r="B1729" s="19" t="s">
        <v>2426</v>
      </c>
      <c r="C1729" s="19">
        <v>213185</v>
      </c>
      <c r="D1729" s="19" t="s">
        <v>2426</v>
      </c>
      <c r="E1729" s="19">
        <v>1962</v>
      </c>
      <c r="F1729" s="19" t="s">
        <v>30</v>
      </c>
      <c r="G1729" s="19" t="s">
        <v>2427</v>
      </c>
      <c r="H1729" s="35">
        <v>46210</v>
      </c>
      <c r="I1729" t="s">
        <v>14</v>
      </c>
      <c r="J1729" t="e">
        <f>VLOOKUP(E1729,'Room Count'!A$2:B$2616,2,FALSE)</f>
        <v>#N/A</v>
      </c>
    </row>
    <row r="1730" spans="1:10" hidden="1">
      <c r="A1730" s="19" t="s">
        <v>47</v>
      </c>
      <c r="B1730" s="19" t="s">
        <v>2428</v>
      </c>
      <c r="C1730" s="19">
        <v>213163</v>
      </c>
      <c r="D1730" s="19" t="s">
        <v>2428</v>
      </c>
      <c r="E1730" s="19">
        <v>1950</v>
      </c>
      <c r="F1730" s="19" t="s">
        <v>30</v>
      </c>
      <c r="G1730" s="19" t="s">
        <v>2429</v>
      </c>
      <c r="H1730" s="35">
        <v>46210</v>
      </c>
      <c r="I1730" t="s">
        <v>14</v>
      </c>
      <c r="J1730" t="e">
        <f>VLOOKUP(E1730,'Room Count'!A$2:B$2616,2,FALSE)</f>
        <v>#N/A</v>
      </c>
    </row>
    <row r="1731" spans="1:10" hidden="1">
      <c r="A1731" s="19" t="s">
        <v>47</v>
      </c>
      <c r="B1731" s="19" t="s">
        <v>2430</v>
      </c>
      <c r="C1731" s="19">
        <v>213157</v>
      </c>
      <c r="D1731" s="19" t="s">
        <v>2430</v>
      </c>
      <c r="E1731" s="19">
        <v>1947</v>
      </c>
      <c r="F1731" s="19" t="s">
        <v>30</v>
      </c>
      <c r="G1731" s="19" t="s">
        <v>2431</v>
      </c>
      <c r="H1731" s="35">
        <v>46210</v>
      </c>
      <c r="I1731" t="s">
        <v>14</v>
      </c>
      <c r="J1731" t="e">
        <f>VLOOKUP(E1731,'Room Count'!A$2:B$2616,2,FALSE)</f>
        <v>#N/A</v>
      </c>
    </row>
    <row r="1732" spans="1:10" hidden="1">
      <c r="A1732" s="19" t="s">
        <v>47</v>
      </c>
      <c r="B1732" s="19" t="s">
        <v>2432</v>
      </c>
      <c r="C1732" s="19">
        <v>213175</v>
      </c>
      <c r="D1732" s="19" t="s">
        <v>2432</v>
      </c>
      <c r="E1732" s="19">
        <v>1956</v>
      </c>
      <c r="F1732" s="19" t="s">
        <v>30</v>
      </c>
      <c r="G1732" s="19" t="s">
        <v>2433</v>
      </c>
      <c r="H1732" s="35">
        <v>46210</v>
      </c>
      <c r="I1732" t="s">
        <v>14</v>
      </c>
      <c r="J1732" t="e">
        <f>VLOOKUP(E1732,'Room Count'!A$2:B$2616,2,FALSE)</f>
        <v>#N/A</v>
      </c>
    </row>
    <row r="1733" spans="1:10" hidden="1">
      <c r="A1733" s="19" t="s">
        <v>47</v>
      </c>
      <c r="B1733" s="19" t="s">
        <v>2434</v>
      </c>
      <c r="C1733" s="19">
        <v>213143</v>
      </c>
      <c r="D1733" s="19" t="s">
        <v>2434</v>
      </c>
      <c r="E1733" s="19">
        <v>1939</v>
      </c>
      <c r="F1733" s="19" t="s">
        <v>30</v>
      </c>
      <c r="G1733" s="19" t="s">
        <v>2435</v>
      </c>
      <c r="H1733" s="35">
        <v>46210</v>
      </c>
      <c r="I1733" t="s">
        <v>14</v>
      </c>
      <c r="J1733" t="e">
        <f>VLOOKUP(E1733,'Room Count'!A$2:B$2616,2,FALSE)</f>
        <v>#N/A</v>
      </c>
    </row>
    <row r="1734" spans="1:10" hidden="1">
      <c r="A1734" s="19" t="s">
        <v>47</v>
      </c>
      <c r="B1734" s="19" t="s">
        <v>2436</v>
      </c>
      <c r="C1734" s="19">
        <v>213173</v>
      </c>
      <c r="D1734" s="19" t="s">
        <v>2436</v>
      </c>
      <c r="E1734" s="19">
        <v>1955</v>
      </c>
      <c r="F1734" s="19" t="s">
        <v>30</v>
      </c>
      <c r="G1734" s="19" t="s">
        <v>2437</v>
      </c>
      <c r="H1734" s="35">
        <v>46210</v>
      </c>
      <c r="I1734" t="s">
        <v>14</v>
      </c>
      <c r="J1734" t="e">
        <f>VLOOKUP(E1734,'Room Count'!A$2:B$2616,2,FALSE)</f>
        <v>#N/A</v>
      </c>
    </row>
    <row r="1735" spans="1:10" hidden="1">
      <c r="A1735" s="19" t="s">
        <v>47</v>
      </c>
      <c r="B1735" s="19" t="s">
        <v>2438</v>
      </c>
      <c r="C1735" s="19">
        <v>213221</v>
      </c>
      <c r="D1735" s="19" t="s">
        <v>2438</v>
      </c>
      <c r="E1735" s="19">
        <v>1981</v>
      </c>
      <c r="F1735" s="19" t="s">
        <v>30</v>
      </c>
      <c r="G1735" s="19" t="s">
        <v>2439</v>
      </c>
      <c r="H1735" s="35">
        <v>46210</v>
      </c>
      <c r="I1735" t="s">
        <v>14</v>
      </c>
      <c r="J1735" t="e">
        <f>VLOOKUP(E1735,'Room Count'!A$2:B$2616,2,FALSE)</f>
        <v>#N/A</v>
      </c>
    </row>
    <row r="1736" spans="1:10" hidden="1">
      <c r="A1736" s="19" t="s">
        <v>47</v>
      </c>
      <c r="B1736" s="19" t="s">
        <v>2440</v>
      </c>
      <c r="C1736" s="19">
        <v>213167</v>
      </c>
      <c r="D1736" s="19" t="s">
        <v>2440</v>
      </c>
      <c r="E1736" s="19">
        <v>1952</v>
      </c>
      <c r="F1736" s="19" t="s">
        <v>30</v>
      </c>
      <c r="G1736" s="19" t="s">
        <v>2441</v>
      </c>
      <c r="H1736" s="35">
        <v>46210</v>
      </c>
      <c r="I1736" t="s">
        <v>14</v>
      </c>
      <c r="J1736" t="e">
        <f>VLOOKUP(E1736,'Room Count'!A$2:B$2616,2,FALSE)</f>
        <v>#N/A</v>
      </c>
    </row>
    <row r="1737" spans="1:10" hidden="1">
      <c r="A1737" s="19" t="s">
        <v>47</v>
      </c>
      <c r="B1737" s="19" t="s">
        <v>2442</v>
      </c>
      <c r="C1737" s="19">
        <v>213225</v>
      </c>
      <c r="D1737" s="19" t="s">
        <v>2442</v>
      </c>
      <c r="E1737" s="19">
        <v>1983</v>
      </c>
      <c r="F1737" s="19" t="s">
        <v>30</v>
      </c>
      <c r="G1737" s="19" t="s">
        <v>2443</v>
      </c>
      <c r="H1737" s="35">
        <v>46210</v>
      </c>
      <c r="I1737" t="s">
        <v>14</v>
      </c>
      <c r="J1737" t="e">
        <f>VLOOKUP(E1737,'Room Count'!A$2:B$2616,2,FALSE)</f>
        <v>#N/A</v>
      </c>
    </row>
    <row r="1738" spans="1:10" hidden="1">
      <c r="A1738" s="19" t="s">
        <v>47</v>
      </c>
      <c r="B1738" s="19" t="s">
        <v>2444</v>
      </c>
      <c r="C1738" s="19">
        <v>213151</v>
      </c>
      <c r="D1738" s="19" t="s">
        <v>2444</v>
      </c>
      <c r="E1738" s="19">
        <v>1944</v>
      </c>
      <c r="F1738" s="19" t="s">
        <v>30</v>
      </c>
      <c r="G1738" s="19" t="s">
        <v>2445</v>
      </c>
      <c r="H1738" s="35">
        <v>46210</v>
      </c>
      <c r="I1738" t="s">
        <v>14</v>
      </c>
      <c r="J1738" t="e">
        <f>VLOOKUP(E1738,'Room Count'!A$2:B$2616,2,FALSE)</f>
        <v>#N/A</v>
      </c>
    </row>
    <row r="1739" spans="1:10" hidden="1">
      <c r="A1739" s="19" t="s">
        <v>47</v>
      </c>
      <c r="B1739" s="19" t="s">
        <v>2446</v>
      </c>
      <c r="C1739" s="19">
        <v>213145</v>
      </c>
      <c r="D1739" s="19" t="s">
        <v>2446</v>
      </c>
      <c r="E1739" s="19">
        <v>1940</v>
      </c>
      <c r="F1739" s="19" t="s">
        <v>30</v>
      </c>
      <c r="G1739" s="19" t="s">
        <v>2447</v>
      </c>
      <c r="H1739" s="35">
        <v>46210</v>
      </c>
      <c r="I1739" t="s">
        <v>14</v>
      </c>
      <c r="J1739" t="e">
        <f>VLOOKUP(E1739,'Room Count'!A$2:B$2616,2,FALSE)</f>
        <v>#N/A</v>
      </c>
    </row>
    <row r="1740" spans="1:10" hidden="1">
      <c r="A1740" s="19" t="s">
        <v>47</v>
      </c>
      <c r="B1740" s="19" t="s">
        <v>2448</v>
      </c>
      <c r="C1740" s="19">
        <v>213177</v>
      </c>
      <c r="D1740" s="19" t="s">
        <v>2448</v>
      </c>
      <c r="E1740" s="19">
        <v>1957</v>
      </c>
      <c r="F1740" s="19" t="s">
        <v>30</v>
      </c>
      <c r="G1740" s="19" t="s">
        <v>2449</v>
      </c>
      <c r="H1740" s="35">
        <v>46210</v>
      </c>
      <c r="I1740" t="s">
        <v>14</v>
      </c>
      <c r="J1740" t="e">
        <f>VLOOKUP(E1740,'Room Count'!A$2:B$2616,2,FALSE)</f>
        <v>#N/A</v>
      </c>
    </row>
    <row r="1741" spans="1:10" hidden="1">
      <c r="A1741" s="19" t="s">
        <v>47</v>
      </c>
      <c r="B1741" s="19" t="s">
        <v>2450</v>
      </c>
      <c r="C1741" s="19">
        <v>213183</v>
      </c>
      <c r="D1741" s="19" t="s">
        <v>2450</v>
      </c>
      <c r="E1741" s="19">
        <v>1960</v>
      </c>
      <c r="F1741" s="19" t="s">
        <v>30</v>
      </c>
      <c r="G1741" s="19" t="s">
        <v>2451</v>
      </c>
      <c r="H1741" s="35">
        <v>46210</v>
      </c>
      <c r="I1741" t="s">
        <v>14</v>
      </c>
      <c r="J1741" t="e">
        <f>VLOOKUP(E1741,'Room Count'!A$2:B$2616,2,FALSE)</f>
        <v>#N/A</v>
      </c>
    </row>
    <row r="1742" spans="1:10" hidden="1">
      <c r="A1742" s="19" t="s">
        <v>47</v>
      </c>
      <c r="B1742" s="19" t="s">
        <v>2452</v>
      </c>
      <c r="C1742" s="19">
        <v>213199</v>
      </c>
      <c r="D1742" s="19" t="s">
        <v>2452</v>
      </c>
      <c r="E1742" s="19">
        <v>1970</v>
      </c>
      <c r="F1742" s="19" t="s">
        <v>30</v>
      </c>
      <c r="G1742" s="19" t="s">
        <v>2453</v>
      </c>
      <c r="H1742" s="35">
        <v>46210</v>
      </c>
      <c r="I1742" t="s">
        <v>14</v>
      </c>
      <c r="J1742" t="e">
        <f>VLOOKUP(E1742,'Room Count'!A$2:B$2616,2,FALSE)</f>
        <v>#N/A</v>
      </c>
    </row>
    <row r="1743" spans="1:10" hidden="1">
      <c r="A1743" s="19" t="s">
        <v>47</v>
      </c>
      <c r="B1743" s="19" t="s">
        <v>2454</v>
      </c>
      <c r="C1743" s="19">
        <v>213213</v>
      </c>
      <c r="D1743" s="19" t="s">
        <v>2454</v>
      </c>
      <c r="E1743" s="19">
        <v>1977</v>
      </c>
      <c r="F1743" s="19" t="s">
        <v>30</v>
      </c>
      <c r="G1743" s="19" t="s">
        <v>2455</v>
      </c>
      <c r="H1743" s="35">
        <v>46210</v>
      </c>
      <c r="I1743" t="s">
        <v>14</v>
      </c>
      <c r="J1743" t="e">
        <f>VLOOKUP(E1743,'Room Count'!A$2:B$2616,2,FALSE)</f>
        <v>#N/A</v>
      </c>
    </row>
    <row r="1744" spans="1:10" hidden="1">
      <c r="A1744" s="19" t="s">
        <v>47</v>
      </c>
      <c r="B1744" s="19" t="s">
        <v>2456</v>
      </c>
      <c r="C1744" s="19">
        <v>213141</v>
      </c>
      <c r="D1744" s="19" t="s">
        <v>2456</v>
      </c>
      <c r="E1744" s="19">
        <v>1938</v>
      </c>
      <c r="F1744" s="19" t="s">
        <v>30</v>
      </c>
      <c r="G1744" s="19" t="s">
        <v>2457</v>
      </c>
      <c r="H1744" s="35">
        <v>46210</v>
      </c>
      <c r="I1744" t="s">
        <v>14</v>
      </c>
      <c r="J1744" t="e">
        <f>VLOOKUP(E1744,'Room Count'!A$2:B$2616,2,FALSE)</f>
        <v>#N/A</v>
      </c>
    </row>
    <row r="1745" spans="1:10" hidden="1">
      <c r="A1745" s="19" t="s">
        <v>47</v>
      </c>
      <c r="B1745" s="19" t="s">
        <v>2458</v>
      </c>
      <c r="C1745" s="19">
        <v>213209</v>
      </c>
      <c r="D1745" s="19" t="s">
        <v>2458</v>
      </c>
      <c r="E1745" s="19">
        <v>1975</v>
      </c>
      <c r="F1745" s="19" t="s">
        <v>30</v>
      </c>
      <c r="G1745" s="19" t="s">
        <v>2459</v>
      </c>
      <c r="H1745" s="35">
        <v>46210</v>
      </c>
      <c r="I1745" t="s">
        <v>14</v>
      </c>
      <c r="J1745" t="e">
        <f>VLOOKUP(E1745,'Room Count'!A$2:B$2616,2,FALSE)</f>
        <v>#N/A</v>
      </c>
    </row>
    <row r="1746" spans="1:10" hidden="1">
      <c r="A1746" s="19" t="s">
        <v>47</v>
      </c>
      <c r="B1746" s="19" t="s">
        <v>2460</v>
      </c>
      <c r="C1746" s="19">
        <v>213171</v>
      </c>
      <c r="D1746" s="19" t="s">
        <v>2460</v>
      </c>
      <c r="E1746" s="19">
        <v>1954</v>
      </c>
      <c r="F1746" s="19" t="s">
        <v>30</v>
      </c>
      <c r="G1746" s="19" t="s">
        <v>2461</v>
      </c>
      <c r="H1746" s="35">
        <v>46210</v>
      </c>
      <c r="I1746" t="s">
        <v>14</v>
      </c>
      <c r="J1746" t="e">
        <f>VLOOKUP(E1746,'Room Count'!A$2:B$2616,2,FALSE)</f>
        <v>#N/A</v>
      </c>
    </row>
    <row r="1747" spans="1:10" hidden="1">
      <c r="A1747" s="19" t="s">
        <v>47</v>
      </c>
      <c r="B1747" s="19" t="s">
        <v>2462</v>
      </c>
      <c r="C1747" s="19">
        <v>213159</v>
      </c>
      <c r="D1747" s="19" t="s">
        <v>2462</v>
      </c>
      <c r="E1747" s="19">
        <v>1948</v>
      </c>
      <c r="F1747" s="19" t="s">
        <v>30</v>
      </c>
      <c r="G1747" s="19" t="s">
        <v>2463</v>
      </c>
      <c r="H1747" s="35">
        <v>46210</v>
      </c>
      <c r="I1747" t="s">
        <v>14</v>
      </c>
      <c r="J1747" t="e">
        <f>VLOOKUP(E1747,'Room Count'!A$2:B$2616,2,FALSE)</f>
        <v>#N/A</v>
      </c>
    </row>
    <row r="1748" spans="1:10" hidden="1">
      <c r="A1748" s="19" t="s">
        <v>47</v>
      </c>
      <c r="B1748" s="19" t="s">
        <v>2464</v>
      </c>
      <c r="C1748" s="19">
        <v>213153</v>
      </c>
      <c r="D1748" s="19" t="s">
        <v>2464</v>
      </c>
      <c r="E1748" s="19">
        <v>1945</v>
      </c>
      <c r="F1748" s="19" t="s">
        <v>30</v>
      </c>
      <c r="G1748" s="19" t="s">
        <v>2465</v>
      </c>
      <c r="H1748" s="35">
        <v>46210</v>
      </c>
      <c r="I1748" t="s">
        <v>14</v>
      </c>
      <c r="J1748" t="e">
        <f>VLOOKUP(E1748,'Room Count'!A$2:B$2616,2,FALSE)</f>
        <v>#N/A</v>
      </c>
    </row>
    <row r="1749" spans="1:10" hidden="1">
      <c r="A1749" s="19" t="s">
        <v>47</v>
      </c>
      <c r="B1749" s="19" t="s">
        <v>2466</v>
      </c>
      <c r="C1749" s="19">
        <v>121035</v>
      </c>
      <c r="D1749" s="19" t="s">
        <v>2466</v>
      </c>
      <c r="E1749" s="19">
        <v>1896</v>
      </c>
      <c r="F1749" s="19" t="s">
        <v>29</v>
      </c>
      <c r="G1749" s="19" t="s">
        <v>2467</v>
      </c>
      <c r="H1749" s="35">
        <v>46210</v>
      </c>
      <c r="I1749" t="s">
        <v>14</v>
      </c>
      <c r="J1749" t="e">
        <f>VLOOKUP(E1749,'Room Count'!A$2:B$2616,2,FALSE)</f>
        <v>#N/A</v>
      </c>
    </row>
    <row r="1750" spans="1:10" hidden="1">
      <c r="A1750" s="19" t="s">
        <v>47</v>
      </c>
      <c r="B1750" s="19" t="s">
        <v>2468</v>
      </c>
      <c r="C1750" s="19">
        <v>121039</v>
      </c>
      <c r="D1750" s="19" t="s">
        <v>2468</v>
      </c>
      <c r="E1750" s="19">
        <v>1909</v>
      </c>
      <c r="F1750" s="19" t="s">
        <v>29</v>
      </c>
      <c r="G1750" s="19" t="s">
        <v>2469</v>
      </c>
      <c r="H1750" s="35">
        <v>46210</v>
      </c>
      <c r="I1750" t="s">
        <v>14</v>
      </c>
      <c r="J1750" t="e">
        <f>VLOOKUP(E1750,'Room Count'!A$2:B$2616,2,FALSE)</f>
        <v>#N/A</v>
      </c>
    </row>
    <row r="1751" spans="1:10" hidden="1">
      <c r="A1751" s="19" t="s">
        <v>47</v>
      </c>
      <c r="B1751" s="19" t="s">
        <v>2470</v>
      </c>
      <c r="C1751" s="19">
        <v>213215</v>
      </c>
      <c r="D1751" s="19" t="s">
        <v>2470</v>
      </c>
      <c r="E1751" s="19">
        <v>1978</v>
      </c>
      <c r="F1751" s="19" t="s">
        <v>30</v>
      </c>
      <c r="G1751" s="19" t="s">
        <v>2471</v>
      </c>
      <c r="H1751" s="35">
        <v>46210</v>
      </c>
      <c r="I1751" t="s">
        <v>14</v>
      </c>
      <c r="J1751" t="e">
        <f>VLOOKUP(E1751,'Room Count'!A$2:B$2616,2,FALSE)</f>
        <v>#N/A</v>
      </c>
    </row>
    <row r="1752" spans="1:10" hidden="1">
      <c r="A1752" s="19" t="s">
        <v>47</v>
      </c>
      <c r="B1752" s="19" t="s">
        <v>2472</v>
      </c>
      <c r="C1752" s="19">
        <v>213211</v>
      </c>
      <c r="D1752" s="19" t="s">
        <v>2472</v>
      </c>
      <c r="E1752" s="19">
        <v>1976</v>
      </c>
      <c r="F1752" s="19" t="s">
        <v>30</v>
      </c>
      <c r="G1752" s="19" t="s">
        <v>2473</v>
      </c>
      <c r="H1752" s="35">
        <v>46210</v>
      </c>
      <c r="I1752" t="s">
        <v>14</v>
      </c>
      <c r="J1752" t="e">
        <f>VLOOKUP(E1752,'Room Count'!A$2:B$2616,2,FALSE)</f>
        <v>#N/A</v>
      </c>
    </row>
    <row r="1753" spans="1:10" hidden="1">
      <c r="A1753" s="19" t="s">
        <v>47</v>
      </c>
      <c r="B1753" s="19" t="s">
        <v>2474</v>
      </c>
      <c r="C1753" s="19">
        <v>213195</v>
      </c>
      <c r="D1753" s="19" t="s">
        <v>2474</v>
      </c>
      <c r="E1753" s="19">
        <v>1968</v>
      </c>
      <c r="F1753" s="19" t="s">
        <v>30</v>
      </c>
      <c r="G1753" s="19" t="s">
        <v>2475</v>
      </c>
      <c r="H1753" s="35">
        <v>46210</v>
      </c>
      <c r="I1753" t="s">
        <v>14</v>
      </c>
      <c r="J1753" t="e">
        <f>VLOOKUP(E1753,'Room Count'!A$2:B$2616,2,FALSE)</f>
        <v>#N/A</v>
      </c>
    </row>
    <row r="1754" spans="1:10" hidden="1">
      <c r="A1754" s="19" t="s">
        <v>47</v>
      </c>
      <c r="B1754" s="19" t="s">
        <v>2476</v>
      </c>
      <c r="C1754" s="19">
        <v>213161</v>
      </c>
      <c r="D1754" s="19" t="s">
        <v>2476</v>
      </c>
      <c r="E1754" s="19">
        <v>1949</v>
      </c>
      <c r="F1754" s="19" t="s">
        <v>30</v>
      </c>
      <c r="G1754" s="19" t="s">
        <v>2477</v>
      </c>
      <c r="H1754" s="35">
        <v>46210</v>
      </c>
      <c r="I1754" t="s">
        <v>14</v>
      </c>
      <c r="J1754" t="e">
        <f>VLOOKUP(E1754,'Room Count'!A$2:B$2616,2,FALSE)</f>
        <v>#N/A</v>
      </c>
    </row>
    <row r="1755" spans="1:10" hidden="1">
      <c r="A1755" s="19" t="s">
        <v>47</v>
      </c>
      <c r="B1755" s="19" t="s">
        <v>2478</v>
      </c>
      <c r="C1755" s="19">
        <v>213217</v>
      </c>
      <c r="D1755" s="19" t="s">
        <v>2478</v>
      </c>
      <c r="E1755" s="19">
        <v>1979</v>
      </c>
      <c r="F1755" s="19" t="s">
        <v>30</v>
      </c>
      <c r="G1755" s="19" t="s">
        <v>2479</v>
      </c>
      <c r="H1755" s="35">
        <v>46210</v>
      </c>
      <c r="I1755" t="s">
        <v>14</v>
      </c>
      <c r="J1755" t="e">
        <f>VLOOKUP(E1755,'Room Count'!A$2:B$2616,2,FALSE)</f>
        <v>#N/A</v>
      </c>
    </row>
    <row r="1756" spans="1:10" hidden="1">
      <c r="A1756" s="19" t="s">
        <v>47</v>
      </c>
      <c r="B1756" s="19" t="s">
        <v>2480</v>
      </c>
      <c r="C1756" s="19">
        <v>213197</v>
      </c>
      <c r="D1756" s="19" t="s">
        <v>2480</v>
      </c>
      <c r="E1756" s="19">
        <v>1969</v>
      </c>
      <c r="F1756" s="19" t="s">
        <v>30</v>
      </c>
      <c r="G1756" s="19" t="s">
        <v>2481</v>
      </c>
      <c r="H1756" s="35">
        <v>46210</v>
      </c>
      <c r="I1756" t="s">
        <v>14</v>
      </c>
      <c r="J1756" t="e">
        <f>VLOOKUP(E1756,'Room Count'!A$2:B$2616,2,FALSE)</f>
        <v>#N/A</v>
      </c>
    </row>
    <row r="1757" spans="1:10" hidden="1">
      <c r="A1757" s="19" t="s">
        <v>47</v>
      </c>
      <c r="B1757" s="19" t="s">
        <v>2482</v>
      </c>
      <c r="C1757" s="19">
        <v>213241</v>
      </c>
      <c r="D1757" s="19" t="s">
        <v>2482</v>
      </c>
      <c r="E1757" s="19">
        <v>1993</v>
      </c>
      <c r="F1757" s="19" t="s">
        <v>30</v>
      </c>
      <c r="G1757" s="19" t="s">
        <v>2483</v>
      </c>
      <c r="H1757" s="35">
        <v>46210</v>
      </c>
      <c r="I1757" t="s">
        <v>14</v>
      </c>
      <c r="J1757" t="e">
        <f>VLOOKUP(E1757,'Room Count'!A$2:B$2616,2,FALSE)</f>
        <v>#N/A</v>
      </c>
    </row>
    <row r="1758" spans="1:10" hidden="1">
      <c r="A1758" s="19" t="s">
        <v>47</v>
      </c>
      <c r="B1758" s="19" t="s">
        <v>2484</v>
      </c>
      <c r="C1758" s="19">
        <v>213227</v>
      </c>
      <c r="D1758" s="19" t="s">
        <v>2484</v>
      </c>
      <c r="E1758" s="19">
        <v>1984</v>
      </c>
      <c r="F1758" s="19" t="s">
        <v>30</v>
      </c>
      <c r="G1758" s="19" t="s">
        <v>2485</v>
      </c>
      <c r="H1758" s="35">
        <v>46210</v>
      </c>
      <c r="I1758" t="s">
        <v>14</v>
      </c>
      <c r="J1758" t="e">
        <f>VLOOKUP(E1758,'Room Count'!A$2:B$2616,2,FALSE)</f>
        <v>#N/A</v>
      </c>
    </row>
    <row r="1759" spans="1:10" hidden="1">
      <c r="A1759" s="19" t="s">
        <v>47</v>
      </c>
      <c r="B1759" s="19" t="s">
        <v>2486</v>
      </c>
      <c r="C1759" s="19">
        <v>213181</v>
      </c>
      <c r="D1759" s="19" t="s">
        <v>2486</v>
      </c>
      <c r="E1759" s="19">
        <v>1959</v>
      </c>
      <c r="F1759" s="19" t="s">
        <v>30</v>
      </c>
      <c r="G1759" s="19" t="s">
        <v>2487</v>
      </c>
      <c r="H1759" s="35">
        <v>46210</v>
      </c>
      <c r="I1759" t="s">
        <v>14</v>
      </c>
      <c r="J1759" t="e">
        <f>VLOOKUP(E1759,'Room Count'!A$2:B$2616,2,FALSE)</f>
        <v>#N/A</v>
      </c>
    </row>
    <row r="1760" spans="1:10" hidden="1">
      <c r="A1760" s="19" t="s">
        <v>47</v>
      </c>
      <c r="B1760" s="19" t="s">
        <v>2488</v>
      </c>
      <c r="C1760" s="19">
        <v>213147</v>
      </c>
      <c r="D1760" s="19" t="s">
        <v>2488</v>
      </c>
      <c r="E1760" s="19">
        <v>1941</v>
      </c>
      <c r="F1760" s="19" t="s">
        <v>30</v>
      </c>
      <c r="G1760" s="19" t="s">
        <v>2489</v>
      </c>
      <c r="H1760" s="35">
        <v>46210</v>
      </c>
      <c r="I1760" t="s">
        <v>14</v>
      </c>
      <c r="J1760" t="e">
        <f>VLOOKUP(E1760,'Room Count'!A$2:B$2616,2,FALSE)</f>
        <v>#N/A</v>
      </c>
    </row>
    <row r="1761" spans="1:10" hidden="1">
      <c r="A1761" s="19" t="s">
        <v>47</v>
      </c>
      <c r="B1761" s="19" t="s">
        <v>2490</v>
      </c>
      <c r="C1761" s="19">
        <v>213149</v>
      </c>
      <c r="D1761" s="19" t="s">
        <v>2490</v>
      </c>
      <c r="E1761" s="19">
        <v>1943</v>
      </c>
      <c r="F1761" s="19" t="s">
        <v>30</v>
      </c>
      <c r="G1761" s="19" t="s">
        <v>2491</v>
      </c>
      <c r="H1761" s="35">
        <v>46210</v>
      </c>
      <c r="I1761" t="s">
        <v>14</v>
      </c>
      <c r="J1761" t="e">
        <f>VLOOKUP(E1761,'Room Count'!A$2:B$2616,2,FALSE)</f>
        <v>#N/A</v>
      </c>
    </row>
    <row r="1762" spans="1:10" hidden="1">
      <c r="A1762" s="19" t="s">
        <v>47</v>
      </c>
      <c r="B1762" s="19" t="s">
        <v>2492</v>
      </c>
      <c r="C1762" s="19">
        <v>213187</v>
      </c>
      <c r="D1762" s="19" t="s">
        <v>2492</v>
      </c>
      <c r="E1762" s="19">
        <v>1964</v>
      </c>
      <c r="F1762" s="19" t="s">
        <v>30</v>
      </c>
      <c r="G1762" s="19" t="s">
        <v>2493</v>
      </c>
      <c r="H1762" s="35">
        <v>46210</v>
      </c>
      <c r="I1762" t="s">
        <v>14</v>
      </c>
      <c r="J1762" t="e">
        <f>VLOOKUP(E1762,'Room Count'!A$2:B$2616,2,FALSE)</f>
        <v>#N/A</v>
      </c>
    </row>
    <row r="1763" spans="1:10" hidden="1">
      <c r="A1763" s="19" t="s">
        <v>47</v>
      </c>
      <c r="B1763" s="19" t="s">
        <v>2494</v>
      </c>
      <c r="C1763" s="19">
        <v>121001</v>
      </c>
      <c r="D1763" s="19" t="s">
        <v>2494</v>
      </c>
      <c r="E1763" s="19">
        <v>1844</v>
      </c>
      <c r="F1763" s="19" t="s">
        <v>29</v>
      </c>
      <c r="G1763" s="19" t="s">
        <v>2495</v>
      </c>
      <c r="H1763" s="35">
        <v>46210</v>
      </c>
      <c r="I1763" t="s">
        <v>14</v>
      </c>
      <c r="J1763" t="e">
        <f>VLOOKUP(E1763,'Room Count'!A$2:B$2616,2,FALSE)</f>
        <v>#N/A</v>
      </c>
    </row>
    <row r="1764" spans="1:10" hidden="1">
      <c r="A1764" s="19" t="s">
        <v>47</v>
      </c>
      <c r="B1764" s="19" t="s">
        <v>2496</v>
      </c>
      <c r="C1764" s="19">
        <v>121003</v>
      </c>
      <c r="D1764" s="19" t="s">
        <v>2496</v>
      </c>
      <c r="E1764" s="19">
        <v>1846</v>
      </c>
      <c r="F1764" s="19" t="s">
        <v>29</v>
      </c>
      <c r="G1764" s="19" t="s">
        <v>2497</v>
      </c>
      <c r="H1764" s="35">
        <v>46210</v>
      </c>
      <c r="I1764" t="s">
        <v>14</v>
      </c>
      <c r="J1764" t="e">
        <f>VLOOKUP(E1764,'Room Count'!A$2:B$2616,2,FALSE)</f>
        <v>#N/A</v>
      </c>
    </row>
    <row r="1765" spans="1:10" hidden="1">
      <c r="A1765" s="19" t="s">
        <v>47</v>
      </c>
      <c r="B1765" s="19" t="s">
        <v>2498</v>
      </c>
      <c r="C1765" s="19">
        <v>213179</v>
      </c>
      <c r="D1765" s="19" t="s">
        <v>2498</v>
      </c>
      <c r="E1765" s="19">
        <v>1958</v>
      </c>
      <c r="F1765" s="19" t="s">
        <v>30</v>
      </c>
      <c r="G1765" s="19" t="s">
        <v>2499</v>
      </c>
      <c r="H1765" s="35">
        <v>46210</v>
      </c>
      <c r="I1765" t="s">
        <v>14</v>
      </c>
      <c r="J1765" t="e">
        <f>VLOOKUP(E1765,'Room Count'!A$2:B$2616,2,FALSE)</f>
        <v>#N/A</v>
      </c>
    </row>
    <row r="1766" spans="1:10" hidden="1">
      <c r="A1766" s="19" t="s">
        <v>47</v>
      </c>
      <c r="B1766" s="19" t="s">
        <v>2500</v>
      </c>
      <c r="C1766" s="19">
        <v>213193</v>
      </c>
      <c r="D1766" s="19" t="s">
        <v>2500</v>
      </c>
      <c r="E1766" s="19">
        <v>1967</v>
      </c>
      <c r="F1766" s="19" t="s">
        <v>30</v>
      </c>
      <c r="G1766" s="19" t="s">
        <v>2501</v>
      </c>
      <c r="H1766" s="35">
        <v>46210</v>
      </c>
      <c r="I1766" t="s">
        <v>14</v>
      </c>
      <c r="J1766" t="e">
        <f>VLOOKUP(E1766,'Room Count'!A$2:B$2616,2,FALSE)</f>
        <v>#N/A</v>
      </c>
    </row>
    <row r="1767" spans="1:10" hidden="1">
      <c r="A1767" s="19" t="s">
        <v>47</v>
      </c>
      <c r="B1767" s="19" t="s">
        <v>2502</v>
      </c>
      <c r="C1767" s="19">
        <v>213109</v>
      </c>
      <c r="D1767" s="19" t="s">
        <v>2502</v>
      </c>
      <c r="E1767" s="19">
        <v>1910</v>
      </c>
      <c r="F1767" s="19" t="s">
        <v>30</v>
      </c>
      <c r="G1767" s="19" t="s">
        <v>2503</v>
      </c>
      <c r="H1767" s="35">
        <v>46210</v>
      </c>
      <c r="I1767" t="s">
        <v>14</v>
      </c>
      <c r="J1767" t="e">
        <f>VLOOKUP(E1767,'Room Count'!A$2:B$2616,2,FALSE)</f>
        <v>#N/A</v>
      </c>
    </row>
    <row r="1768" spans="1:10" hidden="1">
      <c r="A1768" s="19" t="s">
        <v>47</v>
      </c>
      <c r="B1768" s="19" t="s">
        <v>2504</v>
      </c>
      <c r="C1768" s="19">
        <v>121031</v>
      </c>
      <c r="D1768" s="19" t="s">
        <v>2504</v>
      </c>
      <c r="E1768" s="19">
        <v>1893</v>
      </c>
      <c r="F1768" s="19" t="s">
        <v>29</v>
      </c>
      <c r="G1768" s="19" t="s">
        <v>2505</v>
      </c>
      <c r="H1768" s="35">
        <v>46210</v>
      </c>
      <c r="I1768" t="s">
        <v>14</v>
      </c>
      <c r="J1768" t="e">
        <f>VLOOKUP(E1768,'Room Count'!A$2:B$2616,2,FALSE)</f>
        <v>#N/A</v>
      </c>
    </row>
    <row r="1769" spans="1:10" hidden="1">
      <c r="A1769" s="19" t="s">
        <v>47</v>
      </c>
      <c r="B1769" s="19" t="s">
        <v>2506</v>
      </c>
      <c r="C1769" s="19">
        <v>213113</v>
      </c>
      <c r="D1769" s="19" t="s">
        <v>2506</v>
      </c>
      <c r="E1769" s="19">
        <v>1916</v>
      </c>
      <c r="F1769" s="19" t="s">
        <v>30</v>
      </c>
      <c r="G1769" s="19" t="s">
        <v>2507</v>
      </c>
      <c r="H1769" s="35">
        <v>46210</v>
      </c>
      <c r="I1769" t="s">
        <v>14</v>
      </c>
      <c r="J1769" t="e">
        <f>VLOOKUP(E1769,'Room Count'!A$2:B$2616,2,FALSE)</f>
        <v>#N/A</v>
      </c>
    </row>
    <row r="1770" spans="1:10" hidden="1">
      <c r="A1770" s="19" t="s">
        <v>47</v>
      </c>
      <c r="B1770" s="19" t="s">
        <v>2508</v>
      </c>
      <c r="C1770" s="19">
        <v>121069</v>
      </c>
      <c r="D1770" s="19" t="s">
        <v>2508</v>
      </c>
      <c r="E1770" s="19">
        <v>1963</v>
      </c>
      <c r="F1770" s="19" t="s">
        <v>29</v>
      </c>
      <c r="G1770" s="19" t="s">
        <v>2509</v>
      </c>
      <c r="H1770" s="35">
        <v>46210</v>
      </c>
      <c r="I1770" t="s">
        <v>14</v>
      </c>
      <c r="J1770" t="e">
        <f>VLOOKUP(E1770,'Room Count'!A$2:B$2616,2,FALSE)</f>
        <v>#N/A</v>
      </c>
    </row>
    <row r="1771" spans="1:10" hidden="1">
      <c r="A1771" s="19" t="s">
        <v>47</v>
      </c>
      <c r="B1771" s="19" t="s">
        <v>2510</v>
      </c>
      <c r="C1771" s="19">
        <v>213189</v>
      </c>
      <c r="D1771" s="19" t="s">
        <v>2510</v>
      </c>
      <c r="E1771" s="19">
        <v>1965</v>
      </c>
      <c r="F1771" s="19" t="s">
        <v>30</v>
      </c>
      <c r="G1771" s="19" t="s">
        <v>2511</v>
      </c>
      <c r="H1771" s="35">
        <v>46210</v>
      </c>
      <c r="I1771" t="s">
        <v>14</v>
      </c>
      <c r="J1771" t="e">
        <f>VLOOKUP(E1771,'Room Count'!A$2:B$2616,2,FALSE)</f>
        <v>#N/A</v>
      </c>
    </row>
    <row r="1772" spans="1:10" hidden="1">
      <c r="A1772" s="19" t="s">
        <v>47</v>
      </c>
      <c r="B1772" s="19" t="s">
        <v>2512</v>
      </c>
      <c r="C1772" s="19">
        <v>213165</v>
      </c>
      <c r="D1772" s="19" t="s">
        <v>2512</v>
      </c>
      <c r="E1772" s="19">
        <v>1951</v>
      </c>
      <c r="F1772" s="19" t="s">
        <v>30</v>
      </c>
      <c r="G1772" s="19" t="s">
        <v>2513</v>
      </c>
      <c r="H1772" s="35">
        <v>46210</v>
      </c>
      <c r="I1772" t="s">
        <v>14</v>
      </c>
      <c r="J1772" t="e">
        <f>VLOOKUP(E1772,'Room Count'!A$2:B$2616,2,FALSE)</f>
        <v>#N/A</v>
      </c>
    </row>
    <row r="1773" spans="1:10" hidden="1">
      <c r="A1773" s="19" t="s">
        <v>47</v>
      </c>
      <c r="B1773" s="19" t="s">
        <v>2514</v>
      </c>
      <c r="C1773" s="19">
        <v>213077</v>
      </c>
      <c r="D1773" s="19" t="s">
        <v>2514</v>
      </c>
      <c r="E1773" s="19">
        <v>1887</v>
      </c>
      <c r="F1773" s="19" t="s">
        <v>30</v>
      </c>
      <c r="G1773" s="19" t="s">
        <v>2515</v>
      </c>
      <c r="H1773" s="35">
        <v>46210</v>
      </c>
      <c r="I1773" t="s">
        <v>14</v>
      </c>
      <c r="J1773" t="e">
        <f>VLOOKUP(E1773,'Room Count'!A$2:B$2616,2,FALSE)</f>
        <v>#N/A</v>
      </c>
    </row>
    <row r="1774" spans="1:10" hidden="1">
      <c r="A1774" s="19" t="s">
        <v>47</v>
      </c>
      <c r="B1774" s="19" t="s">
        <v>2516</v>
      </c>
      <c r="C1774" s="19">
        <v>121065</v>
      </c>
      <c r="D1774" s="19" t="s">
        <v>2516</v>
      </c>
      <c r="E1774" s="19">
        <v>1942</v>
      </c>
      <c r="F1774" s="19" t="s">
        <v>29</v>
      </c>
      <c r="G1774" s="19" t="s">
        <v>2517</v>
      </c>
      <c r="H1774" s="35">
        <v>46210</v>
      </c>
      <c r="I1774" t="s">
        <v>14</v>
      </c>
      <c r="J1774" t="e">
        <f>VLOOKUP(E1774,'Room Count'!A$2:B$2616,2,FALSE)</f>
        <v>#N/A</v>
      </c>
    </row>
    <row r="1775" spans="1:10" hidden="1">
      <c r="A1775" s="19" t="s">
        <v>47</v>
      </c>
      <c r="B1775" s="19" t="s">
        <v>2518</v>
      </c>
      <c r="C1775" s="19">
        <v>213219</v>
      </c>
      <c r="D1775" s="19" t="s">
        <v>2518</v>
      </c>
      <c r="E1775" s="19">
        <v>1980</v>
      </c>
      <c r="F1775" s="19" t="s">
        <v>30</v>
      </c>
      <c r="G1775" s="19" t="s">
        <v>2519</v>
      </c>
      <c r="H1775" s="35">
        <v>46210</v>
      </c>
      <c r="I1775" t="s">
        <v>14</v>
      </c>
      <c r="J1775" t="e">
        <f>VLOOKUP(E1775,'Room Count'!A$2:B$2616,2,FALSE)</f>
        <v>#N/A</v>
      </c>
    </row>
    <row r="1776" spans="1:10" hidden="1">
      <c r="A1776" s="19" t="s">
        <v>47</v>
      </c>
      <c r="B1776" s="19" t="s">
        <v>2520</v>
      </c>
      <c r="C1776" s="19">
        <v>213061</v>
      </c>
      <c r="D1776" s="19" t="s">
        <v>2520</v>
      </c>
      <c r="E1776" s="19">
        <v>1873</v>
      </c>
      <c r="F1776" s="19" t="s">
        <v>30</v>
      </c>
      <c r="G1776" s="19" t="s">
        <v>2521</v>
      </c>
      <c r="H1776" s="35">
        <v>46210</v>
      </c>
      <c r="I1776" t="s">
        <v>14</v>
      </c>
      <c r="J1776" t="e">
        <f>VLOOKUP(E1776,'Room Count'!A$2:B$2616,2,FALSE)</f>
        <v>#N/A</v>
      </c>
    </row>
    <row r="1777" spans="1:10" hidden="1">
      <c r="A1777" s="19" t="s">
        <v>47</v>
      </c>
      <c r="B1777" s="19" t="s">
        <v>2522</v>
      </c>
      <c r="C1777" s="19">
        <v>213067</v>
      </c>
      <c r="D1777" s="19" t="s">
        <v>2522</v>
      </c>
      <c r="E1777" s="19">
        <v>1878</v>
      </c>
      <c r="F1777" s="19" t="s">
        <v>30</v>
      </c>
      <c r="G1777" s="19" t="s">
        <v>2523</v>
      </c>
      <c r="H1777" s="35">
        <v>46210</v>
      </c>
      <c r="I1777" t="s">
        <v>14</v>
      </c>
      <c r="J1777" t="e">
        <f>VLOOKUP(E1777,'Room Count'!A$2:B$2616,2,FALSE)</f>
        <v>#N/A</v>
      </c>
    </row>
    <row r="1778" spans="1:10" hidden="1">
      <c r="A1778" s="19" t="s">
        <v>47</v>
      </c>
      <c r="B1778" s="19" t="s">
        <v>2524</v>
      </c>
      <c r="C1778" s="19">
        <v>121033</v>
      </c>
      <c r="D1778" s="19" t="s">
        <v>2524</v>
      </c>
      <c r="E1778" s="19">
        <v>1895</v>
      </c>
      <c r="F1778" s="19" t="s">
        <v>29</v>
      </c>
      <c r="G1778" s="19" t="s">
        <v>2525</v>
      </c>
      <c r="H1778" s="35">
        <v>46210</v>
      </c>
      <c r="I1778" t="s">
        <v>14</v>
      </c>
      <c r="J1778" t="e">
        <f>VLOOKUP(E1778,'Room Count'!A$2:B$2616,2,FALSE)</f>
        <v>#N/A</v>
      </c>
    </row>
    <row r="1779" spans="1:10" hidden="1">
      <c r="A1779" s="19" t="s">
        <v>47</v>
      </c>
      <c r="B1779" s="19" t="s">
        <v>2526</v>
      </c>
      <c r="C1779" s="19">
        <v>121045</v>
      </c>
      <c r="D1779" s="19" t="s">
        <v>2526</v>
      </c>
      <c r="E1779" s="19">
        <v>1914</v>
      </c>
      <c r="F1779" s="19" t="s">
        <v>29</v>
      </c>
      <c r="G1779" s="19" t="s">
        <v>2527</v>
      </c>
      <c r="H1779" s="35">
        <v>46210</v>
      </c>
      <c r="I1779" t="s">
        <v>14</v>
      </c>
      <c r="J1779" t="e">
        <f>VLOOKUP(E1779,'Room Count'!A$2:B$2616,2,FALSE)</f>
        <v>#N/A</v>
      </c>
    </row>
    <row r="1780" spans="1:10" hidden="1">
      <c r="A1780" s="19" t="s">
        <v>47</v>
      </c>
      <c r="B1780" s="19" t="s">
        <v>2528</v>
      </c>
      <c r="C1780" s="19">
        <v>121059</v>
      </c>
      <c r="D1780" s="19" t="s">
        <v>2528</v>
      </c>
      <c r="E1780" s="19">
        <v>1928</v>
      </c>
      <c r="F1780" s="19" t="s">
        <v>29</v>
      </c>
      <c r="G1780" s="19" t="s">
        <v>2529</v>
      </c>
      <c r="H1780" s="35">
        <v>46210</v>
      </c>
      <c r="I1780" t="s">
        <v>14</v>
      </c>
      <c r="J1780" t="e">
        <f>VLOOKUP(E1780,'Room Count'!A$2:B$2616,2,FALSE)</f>
        <v>#N/A</v>
      </c>
    </row>
    <row r="1781" spans="1:10" hidden="1">
      <c r="A1781" s="19" t="s">
        <v>47</v>
      </c>
      <c r="B1781" s="19" t="s">
        <v>2530</v>
      </c>
      <c r="C1781" s="19">
        <v>213093</v>
      </c>
      <c r="D1781" s="19" t="s">
        <v>2530</v>
      </c>
      <c r="E1781" s="19">
        <v>1900</v>
      </c>
      <c r="F1781" s="19" t="s">
        <v>30</v>
      </c>
      <c r="G1781" s="19" t="s">
        <v>2531</v>
      </c>
      <c r="H1781" s="35">
        <v>46210</v>
      </c>
      <c r="I1781" t="s">
        <v>14</v>
      </c>
      <c r="J1781" t="e">
        <f>VLOOKUP(E1781,'Room Count'!A$2:B$2616,2,FALSE)</f>
        <v>#N/A</v>
      </c>
    </row>
    <row r="1782" spans="1:10" hidden="1">
      <c r="A1782" s="19" t="s">
        <v>47</v>
      </c>
      <c r="B1782" s="19" t="s">
        <v>2532</v>
      </c>
      <c r="C1782" s="19">
        <v>213137</v>
      </c>
      <c r="D1782" s="19" t="s">
        <v>2532</v>
      </c>
      <c r="E1782" s="19">
        <v>1936</v>
      </c>
      <c r="F1782" s="19" t="s">
        <v>30</v>
      </c>
      <c r="G1782" s="19" t="s">
        <v>2533</v>
      </c>
      <c r="H1782" s="35">
        <v>46210</v>
      </c>
      <c r="I1782" t="s">
        <v>14</v>
      </c>
      <c r="J1782" t="e">
        <f>VLOOKUP(E1782,'Room Count'!A$2:B$2616,2,FALSE)</f>
        <v>#N/A</v>
      </c>
    </row>
    <row r="1783" spans="1:10" hidden="1">
      <c r="A1783" s="19" t="s">
        <v>47</v>
      </c>
      <c r="B1783" s="19" t="s">
        <v>2534</v>
      </c>
      <c r="C1783" s="19">
        <v>213111</v>
      </c>
      <c r="D1783" s="19" t="s">
        <v>2534</v>
      </c>
      <c r="E1783" s="19">
        <v>1911</v>
      </c>
      <c r="F1783" s="19" t="s">
        <v>30</v>
      </c>
      <c r="G1783" s="19" t="s">
        <v>2535</v>
      </c>
      <c r="H1783" s="35">
        <v>46210</v>
      </c>
      <c r="I1783" t="s">
        <v>14</v>
      </c>
      <c r="J1783" t="e">
        <f>VLOOKUP(E1783,'Room Count'!A$2:B$2616,2,FALSE)</f>
        <v>#N/A</v>
      </c>
    </row>
    <row r="1784" spans="1:10" hidden="1">
      <c r="A1784" s="19" t="s">
        <v>47</v>
      </c>
      <c r="B1784" s="19" t="s">
        <v>2536</v>
      </c>
      <c r="C1784" s="19">
        <v>213083</v>
      </c>
      <c r="D1784" s="19" t="s">
        <v>2536</v>
      </c>
      <c r="E1784" s="19">
        <v>1892</v>
      </c>
      <c r="F1784" s="19" t="s">
        <v>30</v>
      </c>
      <c r="G1784" s="19" t="s">
        <v>2537</v>
      </c>
      <c r="H1784" s="35">
        <v>46210</v>
      </c>
      <c r="I1784" t="s">
        <v>14</v>
      </c>
      <c r="J1784" t="e">
        <f>VLOOKUP(E1784,'Room Count'!A$2:B$2616,2,FALSE)</f>
        <v>#N/A</v>
      </c>
    </row>
    <row r="1785" spans="1:10" hidden="1">
      <c r="A1785" s="19" t="s">
        <v>47</v>
      </c>
      <c r="B1785" s="19" t="s">
        <v>2538</v>
      </c>
      <c r="C1785" s="19">
        <v>213205</v>
      </c>
      <c r="D1785" s="19" t="s">
        <v>2538</v>
      </c>
      <c r="E1785" s="19">
        <v>1973</v>
      </c>
      <c r="F1785" s="19" t="s">
        <v>30</v>
      </c>
      <c r="G1785" s="19" t="s">
        <v>2539</v>
      </c>
      <c r="H1785" s="35">
        <v>46210</v>
      </c>
      <c r="I1785" t="s">
        <v>14</v>
      </c>
      <c r="J1785" t="e">
        <f>VLOOKUP(E1785,'Room Count'!A$2:B$2616,2,FALSE)</f>
        <v>#N/A</v>
      </c>
    </row>
    <row r="1786" spans="1:10" hidden="1">
      <c r="A1786" s="19" t="s">
        <v>47</v>
      </c>
      <c r="B1786" s="19" t="s">
        <v>2540</v>
      </c>
      <c r="C1786" s="19">
        <v>213223</v>
      </c>
      <c r="D1786" s="19" t="s">
        <v>2540</v>
      </c>
      <c r="E1786" s="19">
        <v>1982</v>
      </c>
      <c r="F1786" s="19" t="s">
        <v>30</v>
      </c>
      <c r="G1786" s="19" t="s">
        <v>2541</v>
      </c>
      <c r="H1786" s="35">
        <v>46210</v>
      </c>
      <c r="I1786" t="s">
        <v>14</v>
      </c>
      <c r="J1786" t="e">
        <f>VLOOKUP(E1786,'Room Count'!A$2:B$2616,2,FALSE)</f>
        <v>#N/A</v>
      </c>
    </row>
    <row r="1787" spans="1:10" hidden="1">
      <c r="A1787" s="19" t="s">
        <v>47</v>
      </c>
      <c r="B1787" s="19" t="s">
        <v>2542</v>
      </c>
      <c r="C1787" s="19">
        <v>213155</v>
      </c>
      <c r="D1787" s="19" t="s">
        <v>2542</v>
      </c>
      <c r="E1787" s="19">
        <v>1946</v>
      </c>
      <c r="F1787" s="19" t="s">
        <v>30</v>
      </c>
      <c r="G1787" s="19" t="s">
        <v>2543</v>
      </c>
      <c r="H1787" s="35">
        <v>46210</v>
      </c>
      <c r="I1787" t="s">
        <v>14</v>
      </c>
      <c r="J1787" t="e">
        <f>VLOOKUP(E1787,'Room Count'!A$2:B$2616,2,FALSE)</f>
        <v>#N/A</v>
      </c>
    </row>
    <row r="1788" spans="1:10" hidden="1">
      <c r="A1788" s="19" t="s">
        <v>47</v>
      </c>
      <c r="B1788" s="19" t="s">
        <v>2544</v>
      </c>
      <c r="C1788" s="19">
        <v>213103</v>
      </c>
      <c r="D1788" s="19" t="s">
        <v>2544</v>
      </c>
      <c r="E1788" s="19">
        <v>1906</v>
      </c>
      <c r="F1788" s="19" t="s">
        <v>30</v>
      </c>
      <c r="G1788" s="19" t="s">
        <v>2545</v>
      </c>
      <c r="H1788" s="35">
        <v>46210</v>
      </c>
      <c r="I1788" t="s">
        <v>14</v>
      </c>
      <c r="J1788" t="e">
        <f>VLOOKUP(E1788,'Room Count'!A$2:B$2616,2,FALSE)</f>
        <v>#N/A</v>
      </c>
    </row>
    <row r="1789" spans="1:10" hidden="1">
      <c r="A1789" s="19" t="s">
        <v>47</v>
      </c>
      <c r="B1789" s="19" t="s">
        <v>2546</v>
      </c>
      <c r="C1789" s="19">
        <v>213055</v>
      </c>
      <c r="D1789" s="19" t="s">
        <v>2546</v>
      </c>
      <c r="E1789" s="19">
        <v>1870</v>
      </c>
      <c r="F1789" s="19" t="s">
        <v>30</v>
      </c>
      <c r="G1789" s="19" t="s">
        <v>2547</v>
      </c>
      <c r="H1789" s="35">
        <v>46210</v>
      </c>
      <c r="I1789" t="s">
        <v>14</v>
      </c>
      <c r="J1789" t="e">
        <f>VLOOKUP(E1789,'Room Count'!A$2:B$2616,2,FALSE)</f>
        <v>#N/A</v>
      </c>
    </row>
    <row r="1790" spans="1:10" hidden="1">
      <c r="A1790" s="19" t="s">
        <v>47</v>
      </c>
      <c r="B1790" s="19" t="s">
        <v>2548</v>
      </c>
      <c r="C1790" s="19">
        <v>213131</v>
      </c>
      <c r="D1790" s="19" t="s">
        <v>2548</v>
      </c>
      <c r="E1790" s="19">
        <v>1933</v>
      </c>
      <c r="F1790" s="19" t="s">
        <v>30</v>
      </c>
      <c r="G1790" s="19" t="s">
        <v>2549</v>
      </c>
      <c r="H1790" s="35">
        <v>46210</v>
      </c>
      <c r="I1790" t="s">
        <v>14</v>
      </c>
      <c r="J1790" t="e">
        <f>VLOOKUP(E1790,'Room Count'!A$2:B$2616,2,FALSE)</f>
        <v>#N/A</v>
      </c>
    </row>
    <row r="1791" spans="1:10" hidden="1">
      <c r="A1791" s="19" t="s">
        <v>47</v>
      </c>
      <c r="B1791" s="19" t="s">
        <v>2550</v>
      </c>
      <c r="C1791" s="19">
        <v>213207</v>
      </c>
      <c r="D1791" s="19" t="s">
        <v>2550</v>
      </c>
      <c r="E1791" s="19">
        <v>1974</v>
      </c>
      <c r="F1791" s="19" t="s">
        <v>30</v>
      </c>
      <c r="G1791" s="19" t="s">
        <v>2551</v>
      </c>
      <c r="H1791" s="35">
        <v>46210</v>
      </c>
      <c r="I1791" t="s">
        <v>14</v>
      </c>
      <c r="J1791" t="e">
        <f>VLOOKUP(E1791,'Room Count'!A$2:B$2616,2,FALSE)</f>
        <v>#N/A</v>
      </c>
    </row>
    <row r="1792" spans="1:10" hidden="1">
      <c r="A1792" s="19" t="s">
        <v>47</v>
      </c>
      <c r="B1792" s="19" t="s">
        <v>2552</v>
      </c>
      <c r="C1792" s="19">
        <v>213129</v>
      </c>
      <c r="D1792" s="19" t="s">
        <v>2552</v>
      </c>
      <c r="E1792" s="19">
        <v>1932</v>
      </c>
      <c r="F1792" s="19" t="s">
        <v>30</v>
      </c>
      <c r="G1792" s="19" t="s">
        <v>2553</v>
      </c>
      <c r="H1792" s="35">
        <v>46210</v>
      </c>
      <c r="I1792" t="s">
        <v>14</v>
      </c>
      <c r="J1792" t="e">
        <f>VLOOKUP(E1792,'Room Count'!A$2:B$2616,2,FALSE)</f>
        <v>#N/A</v>
      </c>
    </row>
    <row r="1793" spans="1:10" hidden="1">
      <c r="A1793" s="19" t="s">
        <v>47</v>
      </c>
      <c r="B1793" s="19" t="s">
        <v>2554</v>
      </c>
      <c r="C1793" s="19">
        <v>213085</v>
      </c>
      <c r="D1793" s="19" t="s">
        <v>2554</v>
      </c>
      <c r="E1793" s="19">
        <v>1894</v>
      </c>
      <c r="F1793" s="19" t="s">
        <v>30</v>
      </c>
      <c r="G1793" s="19" t="s">
        <v>2555</v>
      </c>
      <c r="H1793" s="35">
        <v>46210</v>
      </c>
      <c r="I1793" t="s">
        <v>14</v>
      </c>
      <c r="J1793" t="e">
        <f>VLOOKUP(E1793,'Room Count'!A$2:B$2616,2,FALSE)</f>
        <v>#N/A</v>
      </c>
    </row>
    <row r="1794" spans="1:10" hidden="1">
      <c r="A1794" s="19" t="s">
        <v>47</v>
      </c>
      <c r="B1794" s="19" t="s">
        <v>2556</v>
      </c>
      <c r="C1794" s="19">
        <v>213089</v>
      </c>
      <c r="D1794" s="19" t="s">
        <v>2556</v>
      </c>
      <c r="E1794" s="19">
        <v>1898</v>
      </c>
      <c r="F1794" s="19" t="s">
        <v>30</v>
      </c>
      <c r="G1794" s="19" t="s">
        <v>2557</v>
      </c>
      <c r="H1794" s="35">
        <v>46210</v>
      </c>
      <c r="I1794" t="s">
        <v>14</v>
      </c>
      <c r="J1794" t="e">
        <f>VLOOKUP(E1794,'Room Count'!A$2:B$2616,2,FALSE)</f>
        <v>#N/A</v>
      </c>
    </row>
    <row r="1795" spans="1:10" hidden="1">
      <c r="A1795" s="19" t="s">
        <v>47</v>
      </c>
      <c r="B1795" s="19" t="s">
        <v>2558</v>
      </c>
      <c r="C1795" s="19">
        <v>213097</v>
      </c>
      <c r="D1795" s="19" t="s">
        <v>2558</v>
      </c>
      <c r="E1795" s="19">
        <v>1903</v>
      </c>
      <c r="F1795" s="19" t="s">
        <v>30</v>
      </c>
      <c r="G1795" s="19" t="s">
        <v>2559</v>
      </c>
      <c r="H1795" s="35">
        <v>46210</v>
      </c>
      <c r="I1795" t="s">
        <v>14</v>
      </c>
      <c r="J1795" t="e">
        <f>VLOOKUP(E1795,'Room Count'!A$2:B$2616,2,FALSE)</f>
        <v>#N/A</v>
      </c>
    </row>
    <row r="1796" spans="1:10" hidden="1">
      <c r="A1796" s="19" t="s">
        <v>47</v>
      </c>
      <c r="B1796" s="19" t="s">
        <v>2560</v>
      </c>
      <c r="C1796" s="19">
        <v>213229</v>
      </c>
      <c r="D1796" s="19" t="s">
        <v>2560</v>
      </c>
      <c r="E1796" s="19">
        <v>1985</v>
      </c>
      <c r="F1796" s="19" t="s">
        <v>30</v>
      </c>
      <c r="G1796" s="19" t="s">
        <v>2561</v>
      </c>
      <c r="H1796" s="35">
        <v>46210</v>
      </c>
      <c r="I1796" t="s">
        <v>14</v>
      </c>
      <c r="J1796" t="e">
        <f>VLOOKUP(E1796,'Room Count'!A$2:B$2616,2,FALSE)</f>
        <v>#N/A</v>
      </c>
    </row>
    <row r="1797" spans="1:10" hidden="1">
      <c r="A1797" s="19" t="s">
        <v>47</v>
      </c>
      <c r="B1797" s="19" t="s">
        <v>2562</v>
      </c>
      <c r="C1797" s="19">
        <v>121043</v>
      </c>
      <c r="D1797" s="19" t="s">
        <v>2562</v>
      </c>
      <c r="E1797" s="19">
        <v>1913</v>
      </c>
      <c r="F1797" s="19" t="s">
        <v>29</v>
      </c>
      <c r="G1797" s="19" t="s">
        <v>2563</v>
      </c>
      <c r="H1797" s="35">
        <v>46210</v>
      </c>
      <c r="I1797" t="s">
        <v>14</v>
      </c>
      <c r="J1797" t="e">
        <f>VLOOKUP(E1797,'Room Count'!A$2:B$2616,2,FALSE)</f>
        <v>#N/A</v>
      </c>
    </row>
    <row r="1798" spans="1:10" hidden="1">
      <c r="A1798" s="19" t="s">
        <v>47</v>
      </c>
      <c r="B1798" s="19" t="s">
        <v>2564</v>
      </c>
      <c r="C1798" s="19">
        <v>121023</v>
      </c>
      <c r="D1798" s="19" t="s">
        <v>2564</v>
      </c>
      <c r="E1798" s="19">
        <v>1882</v>
      </c>
      <c r="F1798" s="19" t="s">
        <v>29</v>
      </c>
      <c r="G1798" s="19" t="s">
        <v>2565</v>
      </c>
      <c r="H1798" s="35">
        <v>46210</v>
      </c>
      <c r="I1798" t="s">
        <v>14</v>
      </c>
      <c r="J1798" t="e">
        <f>VLOOKUP(E1798,'Room Count'!A$2:B$2616,2,FALSE)</f>
        <v>#N/A</v>
      </c>
    </row>
    <row r="1799" spans="1:10" hidden="1">
      <c r="A1799" s="19" t="s">
        <v>47</v>
      </c>
      <c r="B1799" s="19" t="s">
        <v>2566</v>
      </c>
      <c r="C1799" s="19">
        <v>121061</v>
      </c>
      <c r="D1799" s="19" t="s">
        <v>2566</v>
      </c>
      <c r="E1799" s="19">
        <v>1929</v>
      </c>
      <c r="F1799" s="19" t="s">
        <v>29</v>
      </c>
      <c r="G1799" s="19" t="s">
        <v>2567</v>
      </c>
      <c r="H1799" s="35">
        <v>46210</v>
      </c>
      <c r="I1799" t="s">
        <v>14</v>
      </c>
      <c r="J1799" t="e">
        <f>VLOOKUP(E1799,'Room Count'!A$2:B$2616,2,FALSE)</f>
        <v>#N/A</v>
      </c>
    </row>
    <row r="1800" spans="1:10" hidden="1">
      <c r="A1800" s="19" t="s">
        <v>47</v>
      </c>
      <c r="B1800" s="19" t="s">
        <v>2568</v>
      </c>
      <c r="C1800" s="19">
        <v>121017</v>
      </c>
      <c r="D1800" s="19" t="s">
        <v>2568</v>
      </c>
      <c r="E1800" s="19">
        <v>1876</v>
      </c>
      <c r="F1800" s="19" t="s">
        <v>29</v>
      </c>
      <c r="G1800" s="19" t="s">
        <v>2569</v>
      </c>
      <c r="H1800" s="35">
        <v>46210</v>
      </c>
      <c r="I1800" t="s">
        <v>14</v>
      </c>
      <c r="J1800" t="e">
        <f>VLOOKUP(E1800,'Room Count'!A$2:B$2616,2,FALSE)</f>
        <v>#N/A</v>
      </c>
    </row>
    <row r="1801" spans="1:10" hidden="1">
      <c r="A1801" s="19" t="s">
        <v>47</v>
      </c>
      <c r="B1801" s="19" t="s">
        <v>2570</v>
      </c>
      <c r="C1801" s="19">
        <v>121029</v>
      </c>
      <c r="D1801" s="19" t="s">
        <v>2570</v>
      </c>
      <c r="E1801" s="19">
        <v>1891</v>
      </c>
      <c r="F1801" s="19" t="s">
        <v>29</v>
      </c>
      <c r="G1801" s="19" t="s">
        <v>2571</v>
      </c>
      <c r="H1801" s="35">
        <v>46210</v>
      </c>
      <c r="I1801" t="s">
        <v>14</v>
      </c>
      <c r="J1801" t="e">
        <f>VLOOKUP(E1801,'Room Count'!A$2:B$2616,2,FALSE)</f>
        <v>#N/A</v>
      </c>
    </row>
    <row r="1802" spans="1:10" hidden="1">
      <c r="A1802" s="19" t="s">
        <v>47</v>
      </c>
      <c r="B1802" s="19" t="s">
        <v>2572</v>
      </c>
      <c r="C1802" s="19">
        <v>121055</v>
      </c>
      <c r="D1802" s="19" t="s">
        <v>2572</v>
      </c>
      <c r="E1802" s="19">
        <v>1924</v>
      </c>
      <c r="F1802" s="19" t="s">
        <v>29</v>
      </c>
      <c r="G1802" s="19" t="s">
        <v>2573</v>
      </c>
      <c r="H1802" s="35">
        <v>46210</v>
      </c>
      <c r="I1802" t="s">
        <v>14</v>
      </c>
      <c r="J1802" t="e">
        <f>VLOOKUP(E1802,'Room Count'!A$2:B$2616,2,FALSE)</f>
        <v>#N/A</v>
      </c>
    </row>
    <row r="1803" spans="1:10" hidden="1">
      <c r="A1803" s="19" t="s">
        <v>47</v>
      </c>
      <c r="B1803" s="19" t="s">
        <v>2574</v>
      </c>
      <c r="C1803" s="19">
        <v>121051</v>
      </c>
      <c r="D1803" s="19" t="s">
        <v>2574</v>
      </c>
      <c r="E1803" s="19">
        <v>1919</v>
      </c>
      <c r="F1803" s="19" t="s">
        <v>29</v>
      </c>
      <c r="G1803" s="19" t="s">
        <v>2575</v>
      </c>
      <c r="H1803" s="35">
        <v>46210</v>
      </c>
      <c r="I1803" t="s">
        <v>14</v>
      </c>
      <c r="J1803" t="e">
        <f>VLOOKUP(E1803,'Room Count'!A$2:B$2616,2,FALSE)</f>
        <v>#N/A</v>
      </c>
    </row>
    <row r="1804" spans="1:10" hidden="1">
      <c r="A1804" s="19" t="s">
        <v>47</v>
      </c>
      <c r="B1804" s="19" t="s">
        <v>2576</v>
      </c>
      <c r="C1804" s="19">
        <v>121021</v>
      </c>
      <c r="D1804" s="19" t="s">
        <v>2576</v>
      </c>
      <c r="E1804" s="19">
        <v>1881</v>
      </c>
      <c r="F1804" s="19" t="s">
        <v>29</v>
      </c>
      <c r="G1804" s="19" t="s">
        <v>2577</v>
      </c>
      <c r="H1804" s="35">
        <v>46210</v>
      </c>
      <c r="I1804" t="s">
        <v>14</v>
      </c>
      <c r="J1804" t="e">
        <f>VLOOKUP(E1804,'Room Count'!A$2:B$2616,2,FALSE)</f>
        <v>#N/A</v>
      </c>
    </row>
    <row r="1805" spans="1:10" hidden="1">
      <c r="A1805" s="19" t="s">
        <v>47</v>
      </c>
      <c r="B1805" s="19" t="s">
        <v>2578</v>
      </c>
      <c r="C1805" s="19">
        <v>121047</v>
      </c>
      <c r="D1805" s="19" t="s">
        <v>2578</v>
      </c>
      <c r="E1805" s="19">
        <v>1915</v>
      </c>
      <c r="F1805" s="19" t="s">
        <v>29</v>
      </c>
      <c r="G1805" s="19" t="s">
        <v>2579</v>
      </c>
      <c r="H1805" s="35">
        <v>46210</v>
      </c>
      <c r="I1805" t="s">
        <v>14</v>
      </c>
      <c r="J1805" t="e">
        <f>VLOOKUP(E1805,'Room Count'!A$2:B$2616,2,FALSE)</f>
        <v>#N/A</v>
      </c>
    </row>
    <row r="1806" spans="1:10" hidden="1">
      <c r="A1806" s="19" t="s">
        <v>47</v>
      </c>
      <c r="B1806" s="19" t="s">
        <v>2580</v>
      </c>
      <c r="C1806" s="19">
        <v>121041</v>
      </c>
      <c r="D1806" s="19" t="s">
        <v>2580</v>
      </c>
      <c r="E1806" s="19">
        <v>1912</v>
      </c>
      <c r="F1806" s="19" t="s">
        <v>29</v>
      </c>
      <c r="G1806" s="19" t="s">
        <v>2581</v>
      </c>
      <c r="H1806" s="35">
        <v>46210</v>
      </c>
      <c r="I1806" t="s">
        <v>14</v>
      </c>
      <c r="J1806" t="e">
        <f>VLOOKUP(E1806,'Room Count'!A$2:B$2616,2,FALSE)</f>
        <v>#N/A</v>
      </c>
    </row>
    <row r="1807" spans="1:10" hidden="1">
      <c r="A1807" s="19" t="s">
        <v>47</v>
      </c>
      <c r="B1807" s="19" t="s">
        <v>2582</v>
      </c>
      <c r="C1807" s="19">
        <v>121063</v>
      </c>
      <c r="D1807" s="19" t="s">
        <v>2582</v>
      </c>
      <c r="E1807" s="19">
        <v>1931</v>
      </c>
      <c r="F1807" s="19" t="s">
        <v>29</v>
      </c>
      <c r="G1807" s="19" t="s">
        <v>2583</v>
      </c>
      <c r="H1807" s="35">
        <v>46210</v>
      </c>
      <c r="I1807" t="s">
        <v>14</v>
      </c>
      <c r="J1807" t="e">
        <f>VLOOKUP(E1807,'Room Count'!A$2:B$2616,2,FALSE)</f>
        <v>#N/A</v>
      </c>
    </row>
    <row r="1808" spans="1:10" hidden="1">
      <c r="A1808" s="19" t="s">
        <v>47</v>
      </c>
      <c r="B1808" s="19" t="s">
        <v>2584</v>
      </c>
      <c r="C1808" s="19">
        <v>121037</v>
      </c>
      <c r="D1808" s="19" t="s">
        <v>2584</v>
      </c>
      <c r="E1808" s="19">
        <v>1901</v>
      </c>
      <c r="F1808" s="19" t="s">
        <v>29</v>
      </c>
      <c r="G1808" s="19" t="s">
        <v>2585</v>
      </c>
      <c r="H1808" s="35">
        <v>46210</v>
      </c>
      <c r="I1808" t="s">
        <v>14</v>
      </c>
      <c r="J1808" t="e">
        <f>VLOOKUP(E1808,'Room Count'!A$2:B$2616,2,FALSE)</f>
        <v>#N/A</v>
      </c>
    </row>
    <row r="1809" spans="1:10" hidden="1">
      <c r="A1809" s="19" t="s">
        <v>47</v>
      </c>
      <c r="B1809" s="19" t="s">
        <v>2586</v>
      </c>
      <c r="C1809" s="19">
        <v>121019</v>
      </c>
      <c r="D1809" s="19" t="s">
        <v>2586</v>
      </c>
      <c r="E1809" s="19">
        <v>1879</v>
      </c>
      <c r="F1809" s="19" t="s">
        <v>29</v>
      </c>
      <c r="G1809" s="19" t="s">
        <v>2587</v>
      </c>
      <c r="H1809" s="35">
        <v>46210</v>
      </c>
      <c r="I1809" t="s">
        <v>14</v>
      </c>
      <c r="J1809" t="e">
        <f>VLOOKUP(E1809,'Room Count'!A$2:B$2616,2,FALSE)</f>
        <v>#N/A</v>
      </c>
    </row>
    <row r="1810" spans="1:10" hidden="1">
      <c r="A1810" s="19" t="s">
        <v>47</v>
      </c>
      <c r="B1810" s="19" t="s">
        <v>2588</v>
      </c>
      <c r="C1810" s="19">
        <v>213053</v>
      </c>
      <c r="D1810" s="19" t="s">
        <v>2588</v>
      </c>
      <c r="E1810" s="19">
        <v>1869</v>
      </c>
      <c r="F1810" s="19" t="s">
        <v>30</v>
      </c>
      <c r="G1810" s="19" t="s">
        <v>2589</v>
      </c>
      <c r="H1810" s="35">
        <v>46210</v>
      </c>
      <c r="I1810" t="s">
        <v>14</v>
      </c>
      <c r="J1810" t="e">
        <f>VLOOKUP(E1810,'Room Count'!A$2:B$2616,2,FALSE)</f>
        <v>#N/A</v>
      </c>
    </row>
    <row r="1811" spans="1:10" hidden="1">
      <c r="A1811" s="19" t="s">
        <v>47</v>
      </c>
      <c r="B1811" s="19" t="s">
        <v>2590</v>
      </c>
      <c r="C1811" s="19">
        <v>213123</v>
      </c>
      <c r="D1811" s="19" t="s">
        <v>2590</v>
      </c>
      <c r="E1811" s="19">
        <v>1925</v>
      </c>
      <c r="F1811" s="19" t="s">
        <v>30</v>
      </c>
      <c r="G1811" s="19" t="s">
        <v>2591</v>
      </c>
      <c r="H1811" s="35">
        <v>46210</v>
      </c>
      <c r="I1811" t="s">
        <v>14</v>
      </c>
      <c r="J1811" t="e">
        <f>VLOOKUP(E1811,'Room Count'!A$2:B$2616,2,FALSE)</f>
        <v>#N/A</v>
      </c>
    </row>
    <row r="1812" spans="1:10" hidden="1">
      <c r="A1812" s="19" t="s">
        <v>47</v>
      </c>
      <c r="B1812" s="19" t="s">
        <v>2592</v>
      </c>
      <c r="C1812" s="19">
        <v>213059</v>
      </c>
      <c r="D1812" s="19" t="s">
        <v>2592</v>
      </c>
      <c r="E1812" s="19">
        <v>1872</v>
      </c>
      <c r="F1812" s="19" t="s">
        <v>30</v>
      </c>
      <c r="G1812" s="19" t="s">
        <v>2593</v>
      </c>
      <c r="H1812" s="35">
        <v>46210</v>
      </c>
      <c r="I1812" t="s">
        <v>14</v>
      </c>
      <c r="J1812" t="e">
        <f>VLOOKUP(E1812,'Room Count'!A$2:B$2616,2,FALSE)</f>
        <v>#N/A</v>
      </c>
    </row>
    <row r="1813" spans="1:10" hidden="1">
      <c r="A1813" s="19" t="s">
        <v>47</v>
      </c>
      <c r="B1813" s="19" t="s">
        <v>2594</v>
      </c>
      <c r="C1813" s="19">
        <v>213125</v>
      </c>
      <c r="D1813" s="19" t="s">
        <v>2594</v>
      </c>
      <c r="E1813" s="19">
        <v>1927</v>
      </c>
      <c r="F1813" s="19" t="s">
        <v>30</v>
      </c>
      <c r="G1813" s="19" t="s">
        <v>2595</v>
      </c>
      <c r="H1813" s="35">
        <v>46210</v>
      </c>
      <c r="I1813" t="s">
        <v>14</v>
      </c>
      <c r="J1813" t="e">
        <f>VLOOKUP(E1813,'Room Count'!A$2:B$2616,2,FALSE)</f>
        <v>#N/A</v>
      </c>
    </row>
    <row r="1814" spans="1:10" hidden="1">
      <c r="A1814" s="19" t="s">
        <v>47</v>
      </c>
      <c r="B1814" s="19" t="s">
        <v>2596</v>
      </c>
      <c r="C1814" s="19">
        <v>121053</v>
      </c>
      <c r="D1814" s="19" t="s">
        <v>2596</v>
      </c>
      <c r="E1814" s="19">
        <v>1920</v>
      </c>
      <c r="F1814" s="19" t="s">
        <v>29</v>
      </c>
      <c r="G1814" s="19" t="s">
        <v>2597</v>
      </c>
      <c r="H1814" s="35">
        <v>46210</v>
      </c>
      <c r="I1814" t="s">
        <v>14</v>
      </c>
      <c r="J1814" t="e">
        <f>VLOOKUP(E1814,'Room Count'!A$2:B$2616,2,FALSE)</f>
        <v>#N/A</v>
      </c>
    </row>
    <row r="1815" spans="1:10" hidden="1">
      <c r="A1815" s="19" t="s">
        <v>47</v>
      </c>
      <c r="B1815" s="19" t="s">
        <v>2598</v>
      </c>
      <c r="C1815" s="19">
        <v>213095</v>
      </c>
      <c r="D1815" s="19" t="s">
        <v>2598</v>
      </c>
      <c r="E1815" s="19">
        <v>1902</v>
      </c>
      <c r="F1815" s="19" t="s">
        <v>30</v>
      </c>
      <c r="G1815" s="19" t="s">
        <v>2599</v>
      </c>
      <c r="H1815" s="35">
        <v>46210</v>
      </c>
      <c r="I1815" t="s">
        <v>14</v>
      </c>
      <c r="J1815" t="e">
        <f>VLOOKUP(E1815,'Room Count'!A$2:B$2616,2,FALSE)</f>
        <v>#N/A</v>
      </c>
    </row>
    <row r="1816" spans="1:10" hidden="1">
      <c r="A1816" s="19" t="s">
        <v>47</v>
      </c>
      <c r="B1816" s="19" t="s">
        <v>2600</v>
      </c>
      <c r="C1816" s="19">
        <v>213075</v>
      </c>
      <c r="D1816" s="19" t="s">
        <v>2600</v>
      </c>
      <c r="E1816" s="19">
        <v>1886</v>
      </c>
      <c r="F1816" s="19" t="s">
        <v>30</v>
      </c>
      <c r="G1816" s="19" t="s">
        <v>2601</v>
      </c>
      <c r="H1816" s="35">
        <v>46210</v>
      </c>
      <c r="I1816" t="s">
        <v>14</v>
      </c>
      <c r="J1816" t="e">
        <f>VLOOKUP(E1816,'Room Count'!A$2:B$2616,2,FALSE)</f>
        <v>#N/A</v>
      </c>
    </row>
    <row r="1817" spans="1:10" hidden="1">
      <c r="A1817" s="19" t="s">
        <v>47</v>
      </c>
      <c r="B1817" s="19" t="s">
        <v>2602</v>
      </c>
      <c r="C1817" s="19">
        <v>213115</v>
      </c>
      <c r="D1817" s="19" t="s">
        <v>2602</v>
      </c>
      <c r="E1817" s="19">
        <v>1918</v>
      </c>
      <c r="F1817" s="19" t="s">
        <v>30</v>
      </c>
      <c r="G1817" s="19" t="s">
        <v>2603</v>
      </c>
      <c r="H1817" s="35">
        <v>46210</v>
      </c>
      <c r="I1817" t="s">
        <v>14</v>
      </c>
      <c r="J1817" t="e">
        <f>VLOOKUP(E1817,'Room Count'!A$2:B$2616,2,FALSE)</f>
        <v>#N/A</v>
      </c>
    </row>
    <row r="1818" spans="1:10" hidden="1">
      <c r="A1818" s="19" t="s">
        <v>47</v>
      </c>
      <c r="B1818" s="19" t="s">
        <v>2604</v>
      </c>
      <c r="C1818" s="19">
        <v>213233</v>
      </c>
      <c r="D1818" s="19" t="s">
        <v>2604</v>
      </c>
      <c r="E1818" s="19">
        <v>1987</v>
      </c>
      <c r="F1818" s="19" t="s">
        <v>30</v>
      </c>
      <c r="G1818" s="19" t="s">
        <v>2605</v>
      </c>
      <c r="H1818" s="35">
        <v>46210</v>
      </c>
      <c r="I1818" t="s">
        <v>14</v>
      </c>
      <c r="J1818" t="e">
        <f>VLOOKUP(E1818,'Room Count'!A$2:B$2616,2,FALSE)</f>
        <v>#N/A</v>
      </c>
    </row>
    <row r="1819" spans="1:10" hidden="1">
      <c r="A1819" s="19" t="s">
        <v>47</v>
      </c>
      <c r="B1819" s="19" t="s">
        <v>2606</v>
      </c>
      <c r="C1819" s="19">
        <v>213239</v>
      </c>
      <c r="D1819" s="19" t="s">
        <v>2606</v>
      </c>
      <c r="E1819" s="19">
        <v>1992</v>
      </c>
      <c r="F1819" s="19" t="s">
        <v>30</v>
      </c>
      <c r="G1819" s="19" t="s">
        <v>2607</v>
      </c>
      <c r="H1819" s="35">
        <v>46210</v>
      </c>
      <c r="I1819" t="s">
        <v>14</v>
      </c>
      <c r="J1819" t="e">
        <f>VLOOKUP(E1819,'Room Count'!A$2:B$2616,2,FALSE)</f>
        <v>#N/A</v>
      </c>
    </row>
    <row r="1820" spans="1:10" hidden="1">
      <c r="A1820" s="19" t="s">
        <v>47</v>
      </c>
      <c r="B1820" s="19" t="s">
        <v>2608</v>
      </c>
      <c r="C1820" s="19">
        <v>213231</v>
      </c>
      <c r="D1820" s="19" t="s">
        <v>2608</v>
      </c>
      <c r="E1820" s="19">
        <v>1986</v>
      </c>
      <c r="F1820" s="19" t="s">
        <v>30</v>
      </c>
      <c r="G1820" s="19" t="s">
        <v>2609</v>
      </c>
      <c r="H1820" s="35">
        <v>46210</v>
      </c>
      <c r="I1820" t="s">
        <v>14</v>
      </c>
      <c r="J1820" t="e">
        <f>VLOOKUP(E1820,'Room Count'!A$2:B$2616,2,FALSE)</f>
        <v>#N/A</v>
      </c>
    </row>
    <row r="1821" spans="1:10" hidden="1">
      <c r="A1821" s="19" t="s">
        <v>47</v>
      </c>
      <c r="B1821" s="19" t="s">
        <v>2610</v>
      </c>
      <c r="C1821" s="19">
        <v>213245</v>
      </c>
      <c r="D1821" s="19" t="s">
        <v>2610</v>
      </c>
      <c r="E1821" s="19">
        <v>1995</v>
      </c>
      <c r="F1821" s="19" t="s">
        <v>30</v>
      </c>
      <c r="G1821" s="19" t="s">
        <v>2611</v>
      </c>
      <c r="H1821" s="35">
        <v>46210</v>
      </c>
      <c r="I1821" t="s">
        <v>14</v>
      </c>
      <c r="J1821" t="e">
        <f>VLOOKUP(E1821,'Room Count'!A$2:B$2616,2,FALSE)</f>
        <v>#N/A</v>
      </c>
    </row>
    <row r="1822" spans="1:10" hidden="1">
      <c r="A1822" s="19" t="s">
        <v>47</v>
      </c>
      <c r="B1822" s="19" t="s">
        <v>2612</v>
      </c>
      <c r="C1822" s="19">
        <v>213047</v>
      </c>
      <c r="D1822" s="19" t="s">
        <v>2612</v>
      </c>
      <c r="E1822" s="19">
        <v>1866</v>
      </c>
      <c r="F1822" s="19" t="s">
        <v>30</v>
      </c>
      <c r="G1822" s="19" t="s">
        <v>2613</v>
      </c>
      <c r="H1822" s="35">
        <v>46210</v>
      </c>
      <c r="I1822" t="s">
        <v>14</v>
      </c>
      <c r="J1822" t="e">
        <f>VLOOKUP(E1822,'Room Count'!A$2:B$2616,2,FALSE)</f>
        <v>#N/A</v>
      </c>
    </row>
    <row r="1823" spans="1:10" hidden="1">
      <c r="A1823" s="19" t="s">
        <v>47</v>
      </c>
      <c r="B1823" s="19" t="s">
        <v>2614</v>
      </c>
      <c r="C1823" s="19">
        <v>121027</v>
      </c>
      <c r="D1823" s="19" t="s">
        <v>2614</v>
      </c>
      <c r="E1823" s="19">
        <v>1889</v>
      </c>
      <c r="F1823" s="19" t="s">
        <v>29</v>
      </c>
      <c r="G1823" s="19" t="s">
        <v>2615</v>
      </c>
      <c r="H1823" s="35">
        <v>46210</v>
      </c>
      <c r="I1823" t="s">
        <v>14</v>
      </c>
      <c r="J1823" t="e">
        <f>VLOOKUP(E1823,'Room Count'!A$2:B$2616,2,FALSE)</f>
        <v>#N/A</v>
      </c>
    </row>
    <row r="1824" spans="1:10" hidden="1">
      <c r="A1824" s="19" t="s">
        <v>47</v>
      </c>
      <c r="B1824" s="19" t="s">
        <v>2616</v>
      </c>
      <c r="C1824" s="19">
        <v>213243</v>
      </c>
      <c r="D1824" s="19" t="s">
        <v>2616</v>
      </c>
      <c r="E1824" s="19">
        <v>1994</v>
      </c>
      <c r="F1824" s="19" t="s">
        <v>30</v>
      </c>
      <c r="G1824" s="19" t="s">
        <v>2617</v>
      </c>
      <c r="H1824" s="35">
        <v>46210</v>
      </c>
      <c r="I1824" t="s">
        <v>14</v>
      </c>
      <c r="J1824" t="e">
        <f>VLOOKUP(E1824,'Room Count'!A$2:B$2616,2,FALSE)</f>
        <v>#N/A</v>
      </c>
    </row>
    <row r="1825" spans="1:10" hidden="1">
      <c r="A1825" s="19" t="s">
        <v>47</v>
      </c>
      <c r="B1825" s="19" t="s">
        <v>2618</v>
      </c>
      <c r="C1825" s="19">
        <v>213237</v>
      </c>
      <c r="D1825" s="19" t="s">
        <v>2618</v>
      </c>
      <c r="E1825" s="19">
        <v>1990</v>
      </c>
      <c r="F1825" s="19" t="s">
        <v>30</v>
      </c>
      <c r="G1825" s="19" t="s">
        <v>2619</v>
      </c>
      <c r="H1825" s="35">
        <v>46210</v>
      </c>
      <c r="I1825" t="s">
        <v>14</v>
      </c>
      <c r="J1825" t="e">
        <f>VLOOKUP(E1825,'Room Count'!A$2:B$2616,2,FALSE)</f>
        <v>#N/A</v>
      </c>
    </row>
    <row r="1826" spans="1:10" hidden="1">
      <c r="A1826" s="19" t="s">
        <v>47</v>
      </c>
      <c r="B1826" s="19" t="s">
        <v>2620</v>
      </c>
      <c r="C1826" s="19">
        <v>213133</v>
      </c>
      <c r="D1826" s="19" t="s">
        <v>2620</v>
      </c>
      <c r="E1826" s="19">
        <v>1934</v>
      </c>
      <c r="F1826" s="19" t="s">
        <v>30</v>
      </c>
      <c r="G1826" s="19" t="s">
        <v>2621</v>
      </c>
      <c r="H1826" s="35">
        <v>46210</v>
      </c>
      <c r="I1826" t="s">
        <v>14</v>
      </c>
      <c r="J1826" t="e">
        <f>VLOOKUP(E1826,'Room Count'!A$2:B$2616,2,FALSE)</f>
        <v>#N/A</v>
      </c>
    </row>
    <row r="1827" spans="1:10" hidden="1">
      <c r="A1827" s="19" t="s">
        <v>47</v>
      </c>
      <c r="B1827" s="19" t="s">
        <v>2622</v>
      </c>
      <c r="C1827" s="19">
        <v>121011</v>
      </c>
      <c r="D1827" s="19" t="s">
        <v>2622</v>
      </c>
      <c r="E1827" s="19">
        <v>1863</v>
      </c>
      <c r="F1827" s="19" t="s">
        <v>29</v>
      </c>
      <c r="G1827" s="19" t="s">
        <v>2623</v>
      </c>
      <c r="H1827" s="35">
        <v>46210</v>
      </c>
      <c r="I1827" t="s">
        <v>14</v>
      </c>
      <c r="J1827" t="e">
        <f>VLOOKUP(E1827,'Room Count'!A$2:B$2616,2,FALSE)</f>
        <v>#N/A</v>
      </c>
    </row>
    <row r="1828" spans="1:10" hidden="1">
      <c r="A1828" s="19" t="s">
        <v>47</v>
      </c>
      <c r="B1828" s="19" t="s">
        <v>2624</v>
      </c>
      <c r="C1828" s="19">
        <v>121013</v>
      </c>
      <c r="D1828" s="19" t="s">
        <v>2624</v>
      </c>
      <c r="E1828" s="19">
        <v>1865</v>
      </c>
      <c r="F1828" s="19" t="s">
        <v>29</v>
      </c>
      <c r="G1828" s="19" t="s">
        <v>2625</v>
      </c>
      <c r="H1828" s="35">
        <v>46210</v>
      </c>
      <c r="I1828" t="s">
        <v>14</v>
      </c>
      <c r="J1828" t="e">
        <f>VLOOKUP(E1828,'Room Count'!A$2:B$2616,2,FALSE)</f>
        <v>#N/A</v>
      </c>
    </row>
    <row r="1829" spans="1:10" hidden="1">
      <c r="A1829" s="19" t="s">
        <v>47</v>
      </c>
      <c r="B1829" s="19" t="s">
        <v>2626</v>
      </c>
      <c r="C1829" s="19">
        <v>121009</v>
      </c>
      <c r="D1829" s="19" t="s">
        <v>2626</v>
      </c>
      <c r="E1829" s="19">
        <v>1860</v>
      </c>
      <c r="F1829" s="19" t="s">
        <v>29</v>
      </c>
      <c r="G1829" s="19" t="s">
        <v>2627</v>
      </c>
      <c r="H1829" s="35">
        <v>46210</v>
      </c>
      <c r="I1829" t="s">
        <v>14</v>
      </c>
      <c r="J1829" t="e">
        <f>VLOOKUP(E1829,'Room Count'!A$2:B$2616,2,FALSE)</f>
        <v>#N/A</v>
      </c>
    </row>
    <row r="1830" spans="1:10" hidden="1">
      <c r="A1830" s="19" t="s">
        <v>47</v>
      </c>
      <c r="B1830" s="19" t="s">
        <v>2628</v>
      </c>
      <c r="C1830" s="19">
        <v>213031</v>
      </c>
      <c r="D1830" s="19" t="s">
        <v>2628</v>
      </c>
      <c r="E1830" s="19">
        <v>1853</v>
      </c>
      <c r="F1830" s="19" t="s">
        <v>30</v>
      </c>
      <c r="G1830" s="19" t="s">
        <v>2629</v>
      </c>
      <c r="H1830" s="35">
        <v>46210</v>
      </c>
      <c r="I1830" t="s">
        <v>14</v>
      </c>
      <c r="J1830" t="e">
        <f>VLOOKUP(E1830,'Room Count'!A$2:B$2616,2,FALSE)</f>
        <v>#N/A</v>
      </c>
    </row>
    <row r="1831" spans="1:10" hidden="1">
      <c r="A1831" s="19" t="s">
        <v>47</v>
      </c>
      <c r="B1831" s="19" t="s">
        <v>2630</v>
      </c>
      <c r="C1831" s="19">
        <v>213035</v>
      </c>
      <c r="D1831" s="19" t="s">
        <v>2630</v>
      </c>
      <c r="E1831" s="19">
        <v>1857</v>
      </c>
      <c r="F1831" s="19" t="s">
        <v>30</v>
      </c>
      <c r="G1831" s="19" t="s">
        <v>2631</v>
      </c>
      <c r="H1831" s="35">
        <v>46210</v>
      </c>
      <c r="I1831" t="s">
        <v>14</v>
      </c>
      <c r="J1831" t="e">
        <f>VLOOKUP(E1831,'Room Count'!A$2:B$2616,2,FALSE)</f>
        <v>#N/A</v>
      </c>
    </row>
    <row r="1832" spans="1:10" hidden="1">
      <c r="A1832" s="19" t="s">
        <v>47</v>
      </c>
      <c r="B1832" s="19" t="s">
        <v>2632</v>
      </c>
      <c r="C1832" s="19">
        <v>213021</v>
      </c>
      <c r="D1832" s="19" t="s">
        <v>2632</v>
      </c>
      <c r="E1832" s="19">
        <v>1848</v>
      </c>
      <c r="F1832" s="19" t="s">
        <v>30</v>
      </c>
      <c r="G1832" s="19" t="s">
        <v>2633</v>
      </c>
      <c r="H1832" s="35">
        <v>46210</v>
      </c>
      <c r="I1832" t="s">
        <v>14</v>
      </c>
      <c r="J1832" t="e">
        <f>VLOOKUP(E1832,'Room Count'!A$2:B$2616,2,FALSE)</f>
        <v>#N/A</v>
      </c>
    </row>
    <row r="1833" spans="1:10" hidden="1">
      <c r="A1833" s="19" t="s">
        <v>47</v>
      </c>
      <c r="B1833" s="19" t="s">
        <v>2634</v>
      </c>
      <c r="C1833" s="19">
        <v>213023</v>
      </c>
      <c r="D1833" s="19" t="s">
        <v>2634</v>
      </c>
      <c r="E1833" s="19">
        <v>1849</v>
      </c>
      <c r="F1833" s="19" t="s">
        <v>30</v>
      </c>
      <c r="G1833" s="19" t="s">
        <v>2635</v>
      </c>
      <c r="H1833" s="35">
        <v>46210</v>
      </c>
      <c r="I1833" t="s">
        <v>14</v>
      </c>
      <c r="J1833" t="e">
        <f>VLOOKUP(E1833,'Room Count'!A$2:B$2616,2,FALSE)</f>
        <v>#N/A</v>
      </c>
    </row>
    <row r="1834" spans="1:10" hidden="1">
      <c r="A1834" s="19" t="s">
        <v>47</v>
      </c>
      <c r="B1834" s="19" t="s">
        <v>2636</v>
      </c>
      <c r="C1834" s="19">
        <v>213027</v>
      </c>
      <c r="D1834" s="19" t="s">
        <v>2636</v>
      </c>
      <c r="E1834" s="19">
        <v>1851</v>
      </c>
      <c r="F1834" s="19" t="s">
        <v>30</v>
      </c>
      <c r="G1834" s="19" t="s">
        <v>2637</v>
      </c>
      <c r="H1834" s="35">
        <v>46210</v>
      </c>
      <c r="I1834" t="s">
        <v>14</v>
      </c>
      <c r="J1834" t="e">
        <f>VLOOKUP(E1834,'Room Count'!A$2:B$2616,2,FALSE)</f>
        <v>#N/A</v>
      </c>
    </row>
    <row r="1835" spans="1:10" hidden="1">
      <c r="A1835" s="19" t="s">
        <v>47</v>
      </c>
      <c r="B1835" s="19" t="s">
        <v>2638</v>
      </c>
      <c r="C1835" s="19">
        <v>213135</v>
      </c>
      <c r="D1835" s="19" t="s">
        <v>2638</v>
      </c>
      <c r="E1835" s="19">
        <v>1935</v>
      </c>
      <c r="F1835" s="19" t="s">
        <v>30</v>
      </c>
      <c r="G1835" s="19" t="s">
        <v>2639</v>
      </c>
      <c r="H1835" s="35">
        <v>46210</v>
      </c>
      <c r="I1835" t="s">
        <v>14</v>
      </c>
      <c r="J1835" t="e">
        <f>VLOOKUP(E1835,'Room Count'!A$2:B$2616,2,FALSE)</f>
        <v>#N/A</v>
      </c>
    </row>
    <row r="1836" spans="1:10" hidden="1">
      <c r="A1836" s="19" t="s">
        <v>47</v>
      </c>
      <c r="B1836" s="19" t="s">
        <v>2640</v>
      </c>
      <c r="C1836" s="19">
        <v>213117</v>
      </c>
      <c r="D1836" s="19" t="s">
        <v>2640</v>
      </c>
      <c r="E1836" s="19">
        <v>1921</v>
      </c>
      <c r="F1836" s="19" t="s">
        <v>30</v>
      </c>
      <c r="G1836" s="19" t="s">
        <v>2641</v>
      </c>
      <c r="H1836" s="35">
        <v>46210</v>
      </c>
      <c r="I1836" t="s">
        <v>14</v>
      </c>
      <c r="J1836" t="e">
        <f>VLOOKUP(E1836,'Room Count'!A$2:B$2616,2,FALSE)</f>
        <v>#N/A</v>
      </c>
    </row>
    <row r="1837" spans="1:10" hidden="1">
      <c r="A1837" s="19" t="s">
        <v>47</v>
      </c>
      <c r="B1837" s="19" t="s">
        <v>2642</v>
      </c>
      <c r="C1837" s="19">
        <v>213001</v>
      </c>
      <c r="D1837" s="19" t="s">
        <v>2642</v>
      </c>
      <c r="E1837" s="19">
        <v>1836</v>
      </c>
      <c r="F1837" s="19" t="s">
        <v>30</v>
      </c>
      <c r="G1837" s="19" t="s">
        <v>2643</v>
      </c>
      <c r="H1837" s="35">
        <v>46210</v>
      </c>
      <c r="I1837" t="s">
        <v>14</v>
      </c>
      <c r="J1837" t="e">
        <f>VLOOKUP(E1837,'Room Count'!A$2:B$2616,2,FALSE)</f>
        <v>#N/A</v>
      </c>
    </row>
    <row r="1838" spans="1:10" hidden="1">
      <c r="A1838" s="19" t="s">
        <v>47</v>
      </c>
      <c r="B1838" s="19" t="s">
        <v>2644</v>
      </c>
      <c r="C1838" s="19">
        <v>213009</v>
      </c>
      <c r="D1838" s="19" t="s">
        <v>2644</v>
      </c>
      <c r="E1838" s="19">
        <v>1840</v>
      </c>
      <c r="F1838" s="19" t="s">
        <v>30</v>
      </c>
      <c r="G1838" s="19" t="s">
        <v>2645</v>
      </c>
      <c r="H1838" s="35">
        <v>46210</v>
      </c>
      <c r="I1838" t="s">
        <v>14</v>
      </c>
      <c r="J1838" t="e">
        <f>VLOOKUP(E1838,'Room Count'!A$2:B$2616,2,FALSE)</f>
        <v>#N/A</v>
      </c>
    </row>
    <row r="1839" spans="1:10" hidden="1">
      <c r="A1839" s="19" t="s">
        <v>47</v>
      </c>
      <c r="B1839" s="19" t="s">
        <v>2646</v>
      </c>
      <c r="C1839" s="19">
        <v>213017</v>
      </c>
      <c r="D1839" s="19" t="s">
        <v>2646</v>
      </c>
      <c r="E1839" s="19">
        <v>1845</v>
      </c>
      <c r="F1839" s="19" t="s">
        <v>30</v>
      </c>
      <c r="G1839" s="19" t="s">
        <v>2647</v>
      </c>
      <c r="H1839" s="35">
        <v>46210</v>
      </c>
      <c r="I1839" t="s">
        <v>14</v>
      </c>
      <c r="J1839" t="e">
        <f>VLOOKUP(E1839,'Room Count'!A$2:B$2616,2,FALSE)</f>
        <v>#N/A</v>
      </c>
    </row>
    <row r="1840" spans="1:10" hidden="1">
      <c r="A1840" s="19" t="s">
        <v>47</v>
      </c>
      <c r="B1840" s="19" t="s">
        <v>2648</v>
      </c>
      <c r="C1840" s="19">
        <v>213037</v>
      </c>
      <c r="D1840" s="19" t="s">
        <v>2648</v>
      </c>
      <c r="E1840" s="19">
        <v>1858</v>
      </c>
      <c r="F1840" s="19" t="s">
        <v>30</v>
      </c>
      <c r="G1840" s="19" t="s">
        <v>2649</v>
      </c>
      <c r="H1840" s="35">
        <v>46210</v>
      </c>
      <c r="I1840" t="s">
        <v>14</v>
      </c>
      <c r="J1840" t="e">
        <f>VLOOKUP(E1840,'Room Count'!A$2:B$2616,2,FALSE)</f>
        <v>#N/A</v>
      </c>
    </row>
    <row r="1841" spans="1:10" hidden="1">
      <c r="A1841" s="19" t="s">
        <v>47</v>
      </c>
      <c r="B1841" s="19" t="s">
        <v>2650</v>
      </c>
      <c r="C1841" s="19">
        <v>213029</v>
      </c>
      <c r="D1841" s="19" t="s">
        <v>2650</v>
      </c>
      <c r="E1841" s="19">
        <v>1852</v>
      </c>
      <c r="F1841" s="19" t="s">
        <v>30</v>
      </c>
      <c r="G1841" s="19" t="s">
        <v>2651</v>
      </c>
      <c r="H1841" s="35">
        <v>46210</v>
      </c>
      <c r="I1841" t="s">
        <v>14</v>
      </c>
      <c r="J1841" t="e">
        <f>VLOOKUP(E1841,'Room Count'!A$2:B$2616,2,FALSE)</f>
        <v>#N/A</v>
      </c>
    </row>
    <row r="1842" spans="1:10" hidden="1">
      <c r="A1842" s="19" t="s">
        <v>47</v>
      </c>
      <c r="B1842" s="19" t="s">
        <v>2652</v>
      </c>
      <c r="C1842" s="19">
        <v>213121</v>
      </c>
      <c r="D1842" s="19" t="s">
        <v>2652</v>
      </c>
      <c r="E1842" s="19">
        <v>1923</v>
      </c>
      <c r="F1842" s="19" t="s">
        <v>30</v>
      </c>
      <c r="G1842" s="19" t="s">
        <v>2653</v>
      </c>
      <c r="H1842" s="35">
        <v>46210</v>
      </c>
      <c r="I1842" t="s">
        <v>14</v>
      </c>
      <c r="J1842" t="e">
        <f>VLOOKUP(E1842,'Room Count'!A$2:B$2616,2,FALSE)</f>
        <v>#N/A</v>
      </c>
    </row>
    <row r="1843" spans="1:10" hidden="1">
      <c r="A1843" s="19" t="s">
        <v>47</v>
      </c>
      <c r="B1843" s="19" t="s">
        <v>2654</v>
      </c>
      <c r="C1843" s="19">
        <v>213069</v>
      </c>
      <c r="D1843" s="19" t="s">
        <v>2654</v>
      </c>
      <c r="E1843" s="19">
        <v>1880</v>
      </c>
      <c r="F1843" s="19" t="s">
        <v>30</v>
      </c>
      <c r="G1843" s="19" t="s">
        <v>2655</v>
      </c>
      <c r="H1843" s="35">
        <v>46210</v>
      </c>
      <c r="I1843" t="s">
        <v>14</v>
      </c>
      <c r="J1843" t="e">
        <f>VLOOKUP(E1843,'Room Count'!A$2:B$2616,2,FALSE)</f>
        <v>#N/A</v>
      </c>
    </row>
    <row r="1844" spans="1:10" hidden="1">
      <c r="A1844" s="19" t="s">
        <v>47</v>
      </c>
      <c r="B1844" s="19" t="s">
        <v>2656</v>
      </c>
      <c r="C1844" s="19">
        <v>213235</v>
      </c>
      <c r="D1844" s="19" t="s">
        <v>2656</v>
      </c>
      <c r="E1844" s="19">
        <v>1989</v>
      </c>
      <c r="F1844" s="19" t="s">
        <v>30</v>
      </c>
      <c r="G1844" s="19" t="s">
        <v>2657</v>
      </c>
      <c r="H1844" s="35">
        <v>46210</v>
      </c>
      <c r="I1844" t="s">
        <v>14</v>
      </c>
      <c r="J1844" t="e">
        <f>VLOOKUP(E1844,'Room Count'!A$2:B$2616,2,FALSE)</f>
        <v>#N/A</v>
      </c>
    </row>
    <row r="1845" spans="1:10" hidden="1">
      <c r="A1845" s="19" t="s">
        <v>47</v>
      </c>
      <c r="B1845" s="19" t="s">
        <v>2658</v>
      </c>
      <c r="C1845" s="19">
        <v>213139</v>
      </c>
      <c r="D1845" s="19" t="s">
        <v>2658</v>
      </c>
      <c r="E1845" s="19">
        <v>1937</v>
      </c>
      <c r="F1845" s="19" t="s">
        <v>30</v>
      </c>
      <c r="G1845" s="19" t="s">
        <v>2659</v>
      </c>
      <c r="H1845" s="35">
        <v>46210</v>
      </c>
      <c r="I1845" t="s">
        <v>14</v>
      </c>
      <c r="J1845" t="e">
        <f>VLOOKUP(E1845,'Room Count'!A$2:B$2616,2,FALSE)</f>
        <v>#N/A</v>
      </c>
    </row>
    <row r="1846" spans="1:10" hidden="1">
      <c r="A1846" s="19" t="s">
        <v>47</v>
      </c>
      <c r="B1846" s="19" t="s">
        <v>2660</v>
      </c>
      <c r="C1846" s="19">
        <v>213169</v>
      </c>
      <c r="D1846" s="19" t="s">
        <v>2660</v>
      </c>
      <c r="E1846" s="19">
        <v>1953</v>
      </c>
      <c r="F1846" s="19" t="s">
        <v>30</v>
      </c>
      <c r="G1846" s="19" t="s">
        <v>2661</v>
      </c>
      <c r="H1846" s="35">
        <v>46210</v>
      </c>
      <c r="I1846" t="s">
        <v>14</v>
      </c>
      <c r="J1846" t="e">
        <f>VLOOKUP(E1846,'Room Count'!A$2:B$2616,2,FALSE)</f>
        <v>#N/A</v>
      </c>
    </row>
    <row r="1847" spans="1:10" hidden="1">
      <c r="A1847" s="19" t="s">
        <v>47</v>
      </c>
      <c r="B1847" s="19" t="s">
        <v>2662</v>
      </c>
      <c r="C1847" s="19">
        <v>213019</v>
      </c>
      <c r="D1847" s="19" t="s">
        <v>2662</v>
      </c>
      <c r="E1847" s="19">
        <v>1847</v>
      </c>
      <c r="F1847" s="19" t="s">
        <v>30</v>
      </c>
      <c r="G1847" s="19" t="s">
        <v>2663</v>
      </c>
      <c r="H1847" s="35">
        <v>46210</v>
      </c>
      <c r="I1847" t="s">
        <v>14</v>
      </c>
      <c r="J1847" t="e">
        <f>VLOOKUP(E1847,'Room Count'!A$2:B$2616,2,FALSE)</f>
        <v>#N/A</v>
      </c>
    </row>
    <row r="1848" spans="1:10" hidden="1">
      <c r="A1848" s="19" t="s">
        <v>47</v>
      </c>
      <c r="B1848" s="19" t="s">
        <v>2664</v>
      </c>
      <c r="C1848" s="19">
        <v>213039</v>
      </c>
      <c r="D1848" s="19" t="s">
        <v>2664</v>
      </c>
      <c r="E1848" s="19">
        <v>1859</v>
      </c>
      <c r="F1848" s="19" t="s">
        <v>30</v>
      </c>
      <c r="G1848" s="19" t="s">
        <v>2665</v>
      </c>
      <c r="H1848" s="35">
        <v>46210</v>
      </c>
      <c r="I1848" t="s">
        <v>14</v>
      </c>
      <c r="J1848" t="e">
        <f>VLOOKUP(E1848,'Room Count'!A$2:B$2616,2,FALSE)</f>
        <v>#N/A</v>
      </c>
    </row>
    <row r="1849" spans="1:10" hidden="1">
      <c r="A1849" s="19" t="s">
        <v>47</v>
      </c>
      <c r="B1849" s="19" t="s">
        <v>2666</v>
      </c>
      <c r="C1849" s="19">
        <v>213063</v>
      </c>
      <c r="D1849" s="19" t="s">
        <v>2666</v>
      </c>
      <c r="E1849" s="19">
        <v>1874</v>
      </c>
      <c r="F1849" s="19" t="s">
        <v>30</v>
      </c>
      <c r="G1849" s="19" t="s">
        <v>2667</v>
      </c>
      <c r="H1849" s="35">
        <v>46210</v>
      </c>
      <c r="I1849" t="s">
        <v>14</v>
      </c>
      <c r="J1849" t="e">
        <f>VLOOKUP(E1849,'Room Count'!A$2:B$2616,2,FALSE)</f>
        <v>#N/A</v>
      </c>
    </row>
    <row r="1850" spans="1:10" hidden="1">
      <c r="A1850" s="19" t="s">
        <v>47</v>
      </c>
      <c r="B1850" s="19" t="s">
        <v>2668</v>
      </c>
      <c r="C1850" s="19">
        <v>213073</v>
      </c>
      <c r="D1850" s="19" t="s">
        <v>2668</v>
      </c>
      <c r="E1850" s="19">
        <v>1884</v>
      </c>
      <c r="F1850" s="19" t="s">
        <v>30</v>
      </c>
      <c r="G1850" s="19" t="s">
        <v>2669</v>
      </c>
      <c r="H1850" s="35">
        <v>46210</v>
      </c>
      <c r="I1850" t="s">
        <v>14</v>
      </c>
      <c r="J1850" t="e">
        <f>VLOOKUP(E1850,'Room Count'!A$2:B$2616,2,FALSE)</f>
        <v>#N/A</v>
      </c>
    </row>
    <row r="1851" spans="1:10" hidden="1">
      <c r="A1851" s="19" t="s">
        <v>47</v>
      </c>
      <c r="B1851" s="19" t="s">
        <v>2670</v>
      </c>
      <c r="C1851" s="19">
        <v>213127</v>
      </c>
      <c r="D1851" s="19" t="s">
        <v>2670</v>
      </c>
      <c r="E1851" s="19">
        <v>1930</v>
      </c>
      <c r="F1851" s="19" t="s">
        <v>30</v>
      </c>
      <c r="G1851" s="19" t="s">
        <v>2671</v>
      </c>
      <c r="H1851" s="35">
        <v>46210</v>
      </c>
      <c r="I1851" t="s">
        <v>14</v>
      </c>
      <c r="J1851" t="e">
        <f>VLOOKUP(E1851,'Room Count'!A$2:B$2616,2,FALSE)</f>
        <v>#N/A</v>
      </c>
    </row>
    <row r="1852" spans="1:10" hidden="1">
      <c r="A1852" s="19" t="s">
        <v>47</v>
      </c>
      <c r="B1852" s="19" t="s">
        <v>2672</v>
      </c>
      <c r="C1852" s="19">
        <v>213011</v>
      </c>
      <c r="D1852" s="19" t="s">
        <v>2672</v>
      </c>
      <c r="E1852" s="19">
        <v>1841</v>
      </c>
      <c r="F1852" s="19" t="s">
        <v>30</v>
      </c>
      <c r="G1852" s="19" t="s">
        <v>2673</v>
      </c>
      <c r="H1852" s="35">
        <v>46210</v>
      </c>
      <c r="I1852" t="s">
        <v>14</v>
      </c>
      <c r="J1852" t="e">
        <f>VLOOKUP(E1852,'Room Count'!A$2:B$2616,2,FALSE)</f>
        <v>#N/A</v>
      </c>
    </row>
    <row r="1853" spans="1:10" hidden="1">
      <c r="A1853" s="19" t="s">
        <v>47</v>
      </c>
      <c r="B1853" s="19" t="s">
        <v>2674</v>
      </c>
      <c r="C1853" s="19">
        <v>213049</v>
      </c>
      <c r="D1853" s="19" t="s">
        <v>2674</v>
      </c>
      <c r="E1853" s="19">
        <v>1867</v>
      </c>
      <c r="F1853" s="19" t="s">
        <v>30</v>
      </c>
      <c r="G1853" s="19" t="s">
        <v>2675</v>
      </c>
      <c r="H1853" s="35">
        <v>46210</v>
      </c>
      <c r="I1853" t="s">
        <v>14</v>
      </c>
      <c r="J1853" t="e">
        <f>VLOOKUP(E1853,'Room Count'!A$2:B$2616,2,FALSE)</f>
        <v>#N/A</v>
      </c>
    </row>
    <row r="1854" spans="1:10" hidden="1">
      <c r="A1854" s="19" t="s">
        <v>47</v>
      </c>
      <c r="B1854" s="19" t="s">
        <v>2676</v>
      </c>
      <c r="C1854" s="19">
        <v>213079</v>
      </c>
      <c r="D1854" s="19" t="s">
        <v>2676</v>
      </c>
      <c r="E1854" s="19">
        <v>1888</v>
      </c>
      <c r="F1854" s="19" t="s">
        <v>30</v>
      </c>
      <c r="G1854" s="19" t="s">
        <v>2677</v>
      </c>
      <c r="H1854" s="35">
        <v>46210</v>
      </c>
      <c r="I1854" t="s">
        <v>14</v>
      </c>
      <c r="J1854" t="e">
        <f>VLOOKUP(E1854,'Room Count'!A$2:B$2616,2,FALSE)</f>
        <v>#N/A</v>
      </c>
    </row>
    <row r="1855" spans="1:10" hidden="1">
      <c r="A1855" s="19" t="s">
        <v>47</v>
      </c>
      <c r="B1855" s="19" t="s">
        <v>2678</v>
      </c>
      <c r="C1855" s="19">
        <v>213005</v>
      </c>
      <c r="D1855" s="19" t="s">
        <v>2678</v>
      </c>
      <c r="E1855" s="19">
        <v>1838</v>
      </c>
      <c r="F1855" s="19" t="s">
        <v>30</v>
      </c>
      <c r="G1855" s="19" t="s">
        <v>2679</v>
      </c>
      <c r="H1855" s="35">
        <v>46210</v>
      </c>
      <c r="I1855" t="s">
        <v>14</v>
      </c>
      <c r="J1855" t="e">
        <f>VLOOKUP(E1855,'Room Count'!A$2:B$2616,2,FALSE)</f>
        <v>#N/A</v>
      </c>
    </row>
    <row r="1856" spans="1:10" hidden="1">
      <c r="A1856" s="19" t="s">
        <v>47</v>
      </c>
      <c r="B1856" s="19" t="s">
        <v>2680</v>
      </c>
      <c r="C1856" s="19">
        <v>213105</v>
      </c>
      <c r="D1856" s="19" t="s">
        <v>2680</v>
      </c>
      <c r="E1856" s="19">
        <v>1907</v>
      </c>
      <c r="F1856" s="19" t="s">
        <v>30</v>
      </c>
      <c r="G1856" s="19" t="s">
        <v>2681</v>
      </c>
      <c r="H1856" s="35">
        <v>46210</v>
      </c>
      <c r="I1856" t="s">
        <v>14</v>
      </c>
      <c r="J1856" t="e">
        <f>VLOOKUP(E1856,'Room Count'!A$2:B$2616,2,FALSE)</f>
        <v>#N/A</v>
      </c>
    </row>
    <row r="1857" spans="1:10" hidden="1">
      <c r="A1857" s="19" t="s">
        <v>47</v>
      </c>
      <c r="B1857" s="19" t="s">
        <v>2682</v>
      </c>
      <c r="C1857" s="19">
        <v>213003</v>
      </c>
      <c r="D1857" s="19" t="s">
        <v>2682</v>
      </c>
      <c r="E1857" s="19">
        <v>1837</v>
      </c>
      <c r="F1857" s="19" t="s">
        <v>30</v>
      </c>
      <c r="G1857" s="19" t="s">
        <v>2683</v>
      </c>
      <c r="H1857" s="35">
        <v>46210</v>
      </c>
      <c r="I1857" t="s">
        <v>14</v>
      </c>
      <c r="J1857" t="e">
        <f>VLOOKUP(E1857,'Room Count'!A$2:B$2616,2,FALSE)</f>
        <v>#N/A</v>
      </c>
    </row>
    <row r="1858" spans="1:10" hidden="1">
      <c r="A1858" s="19" t="s">
        <v>47</v>
      </c>
      <c r="B1858" s="19" t="s">
        <v>2684</v>
      </c>
      <c r="C1858" s="19">
        <v>213025</v>
      </c>
      <c r="D1858" s="19" t="s">
        <v>2684</v>
      </c>
      <c r="E1858" s="19">
        <v>1850</v>
      </c>
      <c r="F1858" s="19" t="s">
        <v>30</v>
      </c>
      <c r="G1858" s="19" t="s">
        <v>2685</v>
      </c>
      <c r="H1858" s="35">
        <v>46210</v>
      </c>
      <c r="I1858" t="s">
        <v>14</v>
      </c>
      <c r="J1858" t="e">
        <f>VLOOKUP(E1858,'Room Count'!A$2:B$2616,2,FALSE)</f>
        <v>#N/A</v>
      </c>
    </row>
    <row r="1859" spans="1:10" hidden="1">
      <c r="A1859" s="19" t="s">
        <v>47</v>
      </c>
      <c r="B1859" s="19" t="s">
        <v>2686</v>
      </c>
      <c r="C1859" s="19">
        <v>213043</v>
      </c>
      <c r="D1859" s="19" t="s">
        <v>2686</v>
      </c>
      <c r="E1859" s="19">
        <v>1862</v>
      </c>
      <c r="F1859" s="19" t="s">
        <v>30</v>
      </c>
      <c r="G1859" s="19" t="s">
        <v>2687</v>
      </c>
      <c r="H1859" s="35">
        <v>46210</v>
      </c>
      <c r="I1859" t="s">
        <v>14</v>
      </c>
      <c r="J1859" t="e">
        <f>VLOOKUP(E1859,'Room Count'!A$2:B$2616,2,FALSE)</f>
        <v>#N/A</v>
      </c>
    </row>
    <row r="1860" spans="1:10" hidden="1">
      <c r="A1860" s="19" t="s">
        <v>47</v>
      </c>
      <c r="B1860" s="19" t="s">
        <v>2688</v>
      </c>
      <c r="C1860" s="19">
        <v>213015</v>
      </c>
      <c r="D1860" s="19" t="s">
        <v>2688</v>
      </c>
      <c r="E1860" s="19">
        <v>1843</v>
      </c>
      <c r="F1860" s="19" t="s">
        <v>30</v>
      </c>
      <c r="G1860" s="19" t="s">
        <v>2689</v>
      </c>
      <c r="H1860" s="35">
        <v>46210</v>
      </c>
      <c r="I1860" t="s">
        <v>14</v>
      </c>
      <c r="J1860" t="e">
        <f>VLOOKUP(E1860,'Room Count'!A$2:B$2616,2,FALSE)</f>
        <v>#N/A</v>
      </c>
    </row>
    <row r="1861" spans="1:10" hidden="1">
      <c r="A1861" s="19" t="s">
        <v>47</v>
      </c>
      <c r="B1861" s="19" t="s">
        <v>2690</v>
      </c>
      <c r="C1861" s="19">
        <v>213013</v>
      </c>
      <c r="D1861" s="19" t="s">
        <v>2690</v>
      </c>
      <c r="E1861" s="19">
        <v>1842</v>
      </c>
      <c r="F1861" s="19" t="s">
        <v>30</v>
      </c>
      <c r="G1861" s="19" t="s">
        <v>2691</v>
      </c>
      <c r="H1861" s="35">
        <v>46210</v>
      </c>
      <c r="I1861" t="s">
        <v>14</v>
      </c>
      <c r="J1861" t="e">
        <f>VLOOKUP(E1861,'Room Count'!A$2:B$2616,2,FALSE)</f>
        <v>#N/A</v>
      </c>
    </row>
    <row r="1862" spans="1:10" hidden="1">
      <c r="A1862" s="19" t="s">
        <v>47</v>
      </c>
      <c r="B1862" s="19" t="s">
        <v>2692</v>
      </c>
      <c r="C1862" s="19">
        <v>213045</v>
      </c>
      <c r="D1862" s="19" t="s">
        <v>2692</v>
      </c>
      <c r="E1862" s="19">
        <v>1864</v>
      </c>
      <c r="F1862" s="19" t="s">
        <v>30</v>
      </c>
      <c r="G1862" s="19" t="s">
        <v>2693</v>
      </c>
      <c r="H1862" s="35">
        <v>46210</v>
      </c>
      <c r="I1862" t="s">
        <v>14</v>
      </c>
      <c r="J1862" t="e">
        <f>VLOOKUP(E1862,'Room Count'!A$2:B$2616,2,FALSE)</f>
        <v>#N/A</v>
      </c>
    </row>
    <row r="1863" spans="1:10" hidden="1">
      <c r="A1863" s="19" t="s">
        <v>47</v>
      </c>
      <c r="B1863" s="19" t="s">
        <v>2694</v>
      </c>
      <c r="C1863" s="19">
        <v>213033</v>
      </c>
      <c r="D1863" s="19" t="s">
        <v>2694</v>
      </c>
      <c r="E1863" s="19">
        <v>1855</v>
      </c>
      <c r="F1863" s="19" t="s">
        <v>30</v>
      </c>
      <c r="G1863" s="19" t="s">
        <v>2695</v>
      </c>
      <c r="H1863" s="35">
        <v>46210</v>
      </c>
      <c r="I1863" t="s">
        <v>14</v>
      </c>
      <c r="J1863" t="e">
        <f>VLOOKUP(E1863,'Room Count'!A$2:B$2616,2,FALSE)</f>
        <v>#N/A</v>
      </c>
    </row>
    <row r="1864" spans="1:10" hidden="1">
      <c r="A1864" s="19" t="s">
        <v>47</v>
      </c>
      <c r="B1864" s="19" t="s">
        <v>2696</v>
      </c>
      <c r="C1864" s="19">
        <v>213101</v>
      </c>
      <c r="D1864" s="19" t="s">
        <v>2696</v>
      </c>
      <c r="E1864" s="19">
        <v>1905</v>
      </c>
      <c r="F1864" s="19" t="s">
        <v>30</v>
      </c>
      <c r="G1864" s="19" t="s">
        <v>2697</v>
      </c>
      <c r="H1864" s="35">
        <v>46210</v>
      </c>
      <c r="I1864" t="s">
        <v>14</v>
      </c>
      <c r="J1864" t="e">
        <f>VLOOKUP(E1864,'Room Count'!A$2:B$2616,2,FALSE)</f>
        <v>#N/A</v>
      </c>
    </row>
    <row r="1865" spans="1:10" hidden="1">
      <c r="A1865" s="19" t="s">
        <v>47</v>
      </c>
      <c r="B1865" s="19" t="s">
        <v>2698</v>
      </c>
      <c r="C1865" s="19">
        <v>213091</v>
      </c>
      <c r="D1865" s="19" t="s">
        <v>2698</v>
      </c>
      <c r="E1865" s="19">
        <v>1899</v>
      </c>
      <c r="F1865" s="19" t="s">
        <v>30</v>
      </c>
      <c r="G1865" s="19" t="s">
        <v>2699</v>
      </c>
      <c r="H1865" s="35">
        <v>46210</v>
      </c>
      <c r="I1865" t="s">
        <v>14</v>
      </c>
      <c r="J1865" t="e">
        <f>VLOOKUP(E1865,'Room Count'!A$2:B$2616,2,FALSE)</f>
        <v>#N/A</v>
      </c>
    </row>
    <row r="1866" spans="1:10" hidden="1">
      <c r="A1866" s="19" t="s">
        <v>47</v>
      </c>
      <c r="B1866" s="19" t="s">
        <v>2700</v>
      </c>
      <c r="C1866" s="19">
        <v>213065</v>
      </c>
      <c r="D1866" s="19" t="s">
        <v>2700</v>
      </c>
      <c r="E1866" s="19">
        <v>1877</v>
      </c>
      <c r="F1866" s="19" t="s">
        <v>30</v>
      </c>
      <c r="G1866" s="19" t="s">
        <v>2701</v>
      </c>
      <c r="H1866" s="35">
        <v>46210</v>
      </c>
      <c r="I1866" t="s">
        <v>14</v>
      </c>
      <c r="J1866" t="e">
        <f>VLOOKUP(E1866,'Room Count'!A$2:B$2616,2,FALSE)</f>
        <v>#N/A</v>
      </c>
    </row>
    <row r="1867" spans="1:10" hidden="1">
      <c r="A1867" s="19" t="s">
        <v>47</v>
      </c>
      <c r="B1867" s="19" t="s">
        <v>2702</v>
      </c>
      <c r="C1867" s="19">
        <v>213057</v>
      </c>
      <c r="D1867" s="19" t="s">
        <v>2702</v>
      </c>
      <c r="E1867" s="19">
        <v>1871</v>
      </c>
      <c r="F1867" s="19" t="s">
        <v>30</v>
      </c>
      <c r="G1867" s="19" t="s">
        <v>2703</v>
      </c>
      <c r="H1867" s="35">
        <v>46210</v>
      </c>
      <c r="I1867" t="s">
        <v>14</v>
      </c>
      <c r="J1867" t="e">
        <f>VLOOKUP(E1867,'Room Count'!A$2:B$2616,2,FALSE)</f>
        <v>#N/A</v>
      </c>
    </row>
    <row r="1868" spans="1:10" hidden="1">
      <c r="A1868" s="19" t="s">
        <v>47</v>
      </c>
      <c r="B1868" s="19" t="s">
        <v>2704</v>
      </c>
      <c r="C1868" s="19">
        <v>213007</v>
      </c>
      <c r="D1868" s="19" t="s">
        <v>2704</v>
      </c>
      <c r="E1868" s="19">
        <v>1839</v>
      </c>
      <c r="F1868" s="19" t="s">
        <v>30</v>
      </c>
      <c r="G1868" s="19" t="s">
        <v>2705</v>
      </c>
      <c r="H1868" s="35">
        <v>46210</v>
      </c>
      <c r="I1868" t="s">
        <v>14</v>
      </c>
      <c r="J1868" t="e">
        <f>VLOOKUP(E1868,'Room Count'!A$2:B$2616,2,FALSE)</f>
        <v>#N/A</v>
      </c>
    </row>
    <row r="1869" spans="1:10" hidden="1">
      <c r="A1869" s="19" t="s">
        <v>47</v>
      </c>
      <c r="B1869" s="19" t="s">
        <v>2706</v>
      </c>
      <c r="C1869" s="19">
        <v>213081</v>
      </c>
      <c r="D1869" s="19" t="s">
        <v>2706</v>
      </c>
      <c r="E1869" s="19">
        <v>1890</v>
      </c>
      <c r="F1869" s="19" t="s">
        <v>30</v>
      </c>
      <c r="G1869" s="19" t="s">
        <v>2707</v>
      </c>
      <c r="H1869" s="35">
        <v>46210</v>
      </c>
      <c r="I1869" t="s">
        <v>14</v>
      </c>
      <c r="J1869" t="e">
        <f>VLOOKUP(E1869,'Room Count'!A$2:B$2616,2,FALSE)</f>
        <v>#N/A</v>
      </c>
    </row>
    <row r="1870" spans="1:10" hidden="1">
      <c r="A1870" s="19" t="s">
        <v>47</v>
      </c>
      <c r="B1870" s="19" t="s">
        <v>2708</v>
      </c>
      <c r="C1870" s="19">
        <v>213119</v>
      </c>
      <c r="D1870" s="19" t="s">
        <v>2708</v>
      </c>
      <c r="E1870" s="19">
        <v>1922</v>
      </c>
      <c r="F1870" s="19" t="s">
        <v>30</v>
      </c>
      <c r="G1870" s="19" t="s">
        <v>2709</v>
      </c>
      <c r="H1870" s="35">
        <v>46210</v>
      </c>
      <c r="I1870" t="s">
        <v>14</v>
      </c>
      <c r="J1870" t="e">
        <f>VLOOKUP(E1870,'Room Count'!A$2:B$2616,2,FALSE)</f>
        <v>#N/A</v>
      </c>
    </row>
    <row r="1871" spans="1:10" hidden="1">
      <c r="A1871" s="19" t="s">
        <v>47</v>
      </c>
      <c r="B1871" s="19" t="s">
        <v>2710</v>
      </c>
      <c r="C1871" s="19">
        <v>213087</v>
      </c>
      <c r="D1871" s="19" t="s">
        <v>2710</v>
      </c>
      <c r="E1871" s="19">
        <v>1897</v>
      </c>
      <c r="F1871" s="19" t="s">
        <v>30</v>
      </c>
      <c r="G1871" s="19" t="s">
        <v>2711</v>
      </c>
      <c r="H1871" s="35">
        <v>46210</v>
      </c>
      <c r="I1871" t="s">
        <v>14</v>
      </c>
      <c r="J1871" t="e">
        <f>VLOOKUP(E1871,'Room Count'!A$2:B$2616,2,FALSE)</f>
        <v>#N/A</v>
      </c>
    </row>
    <row r="1872" spans="1:10" hidden="1">
      <c r="A1872" s="19" t="s">
        <v>47</v>
      </c>
      <c r="B1872" s="19" t="s">
        <v>2712</v>
      </c>
      <c r="C1872" s="19">
        <v>213041</v>
      </c>
      <c r="D1872" s="19" t="s">
        <v>2712</v>
      </c>
      <c r="E1872" s="19">
        <v>1861</v>
      </c>
      <c r="F1872" s="19" t="s">
        <v>30</v>
      </c>
      <c r="G1872" s="19" t="s">
        <v>2713</v>
      </c>
      <c r="H1872" s="35">
        <v>46210</v>
      </c>
      <c r="I1872" t="s">
        <v>14</v>
      </c>
      <c r="J1872" t="e">
        <f>VLOOKUP(E1872,'Room Count'!A$2:B$2616,2,FALSE)</f>
        <v>#N/A</v>
      </c>
    </row>
    <row r="1873" spans="1:10" hidden="1">
      <c r="A1873" s="19" t="s">
        <v>47</v>
      </c>
      <c r="B1873" s="19" t="s">
        <v>2714</v>
      </c>
      <c r="C1873" s="19">
        <v>121093</v>
      </c>
      <c r="D1873" s="19" t="s">
        <v>2714</v>
      </c>
      <c r="E1873" s="19">
        <v>2005</v>
      </c>
      <c r="F1873" s="19" t="s">
        <v>29</v>
      </c>
      <c r="G1873" s="19" t="s">
        <v>2715</v>
      </c>
      <c r="H1873" s="35">
        <v>46210</v>
      </c>
      <c r="I1873" t="s">
        <v>14</v>
      </c>
      <c r="J1873" t="e">
        <f>VLOOKUP(E1873,'Room Count'!A$2:B$2616,2,FALSE)</f>
        <v>#N/A</v>
      </c>
    </row>
    <row r="1874" spans="1:10" hidden="1">
      <c r="A1874" s="19" t="s">
        <v>47</v>
      </c>
      <c r="B1874" s="19" t="s">
        <v>2716</v>
      </c>
      <c r="C1874" s="19">
        <v>121089</v>
      </c>
      <c r="D1874" s="19" t="s">
        <v>2716</v>
      </c>
      <c r="E1874" s="19">
        <v>2003</v>
      </c>
      <c r="F1874" s="19" t="s">
        <v>29</v>
      </c>
      <c r="G1874" s="19" t="s">
        <v>2717</v>
      </c>
      <c r="H1874" s="35">
        <v>46210</v>
      </c>
      <c r="I1874" t="s">
        <v>14</v>
      </c>
      <c r="J1874" t="e">
        <f>VLOOKUP(E1874,'Room Count'!A$2:B$2616,2,FALSE)</f>
        <v>#N/A</v>
      </c>
    </row>
    <row r="1875" spans="1:10" hidden="1">
      <c r="A1875" s="19" t="s">
        <v>47</v>
      </c>
      <c r="B1875" s="19" t="s">
        <v>2718</v>
      </c>
      <c r="C1875" s="19">
        <v>121077</v>
      </c>
      <c r="D1875" s="19" t="s">
        <v>2718</v>
      </c>
      <c r="E1875" s="19">
        <v>1997</v>
      </c>
      <c r="F1875" s="19" t="s">
        <v>29</v>
      </c>
      <c r="G1875" s="19" t="s">
        <v>2719</v>
      </c>
      <c r="H1875" s="35">
        <v>46210</v>
      </c>
      <c r="I1875" t="s">
        <v>14</v>
      </c>
      <c r="J1875" t="e">
        <f>VLOOKUP(E1875,'Room Count'!A$2:B$2616,2,FALSE)</f>
        <v>#N/A</v>
      </c>
    </row>
    <row r="1876" spans="1:10" hidden="1">
      <c r="A1876" s="19" t="s">
        <v>47</v>
      </c>
      <c r="B1876" s="19" t="s">
        <v>2720</v>
      </c>
      <c r="C1876" s="19">
        <v>121057</v>
      </c>
      <c r="D1876" s="19" t="s">
        <v>2720</v>
      </c>
      <c r="E1876" s="19">
        <v>1926</v>
      </c>
      <c r="F1876" s="19" t="s">
        <v>29</v>
      </c>
      <c r="G1876" s="19" t="s">
        <v>2721</v>
      </c>
      <c r="H1876" s="35">
        <v>46210</v>
      </c>
      <c r="I1876" t="s">
        <v>14</v>
      </c>
      <c r="J1876" t="e">
        <f>VLOOKUP(E1876,'Room Count'!A$2:B$2616,2,FALSE)</f>
        <v>#N/A</v>
      </c>
    </row>
    <row r="1877" spans="1:10" hidden="1">
      <c r="A1877" s="19" t="s">
        <v>47</v>
      </c>
      <c r="B1877" s="19" t="s">
        <v>2722</v>
      </c>
      <c r="C1877" s="19">
        <v>121085</v>
      </c>
      <c r="D1877" s="19" t="s">
        <v>2722</v>
      </c>
      <c r="E1877" s="19">
        <v>2001</v>
      </c>
      <c r="F1877" s="19" t="s">
        <v>29</v>
      </c>
      <c r="G1877" s="19" t="s">
        <v>2723</v>
      </c>
      <c r="H1877" s="35">
        <v>46210</v>
      </c>
      <c r="I1877" t="s">
        <v>14</v>
      </c>
      <c r="J1877" t="e">
        <f>VLOOKUP(E1877,'Room Count'!A$2:B$2616,2,FALSE)</f>
        <v>#N/A</v>
      </c>
    </row>
    <row r="1878" spans="1:10" hidden="1">
      <c r="A1878" s="19" t="s">
        <v>47</v>
      </c>
      <c r="B1878" s="19" t="s">
        <v>2724</v>
      </c>
      <c r="C1878" s="19">
        <v>121083</v>
      </c>
      <c r="D1878" s="19" t="s">
        <v>2724</v>
      </c>
      <c r="E1878" s="19">
        <v>2000</v>
      </c>
      <c r="F1878" s="19" t="s">
        <v>29</v>
      </c>
      <c r="G1878" s="19" t="s">
        <v>2725</v>
      </c>
      <c r="H1878" s="35">
        <v>46210</v>
      </c>
      <c r="I1878" t="s">
        <v>14</v>
      </c>
      <c r="J1878" t="e">
        <f>VLOOKUP(E1878,'Room Count'!A$2:B$2616,2,FALSE)</f>
        <v>#N/A</v>
      </c>
    </row>
    <row r="1879" spans="1:10" hidden="1">
      <c r="A1879" s="19" t="s">
        <v>47</v>
      </c>
      <c r="B1879" s="19" t="s">
        <v>2726</v>
      </c>
      <c r="C1879" s="19">
        <v>121095</v>
      </c>
      <c r="D1879" s="19" t="s">
        <v>2726</v>
      </c>
      <c r="E1879" s="19">
        <v>2006</v>
      </c>
      <c r="F1879" s="19" t="s">
        <v>29</v>
      </c>
      <c r="G1879" s="19" t="s">
        <v>2727</v>
      </c>
      <c r="H1879" s="35">
        <v>46210</v>
      </c>
      <c r="I1879" t="s">
        <v>14</v>
      </c>
      <c r="J1879" t="e">
        <f>VLOOKUP(E1879,'Room Count'!A$2:B$2616,2,FALSE)</f>
        <v>#N/A</v>
      </c>
    </row>
    <row r="1880" spans="1:10" hidden="1">
      <c r="A1880" s="19" t="s">
        <v>47</v>
      </c>
      <c r="B1880" s="19" t="s">
        <v>2728</v>
      </c>
      <c r="C1880" s="19">
        <v>121075</v>
      </c>
      <c r="D1880" s="19" t="s">
        <v>2728</v>
      </c>
      <c r="E1880" s="19">
        <v>1996</v>
      </c>
      <c r="F1880" s="19" t="s">
        <v>29</v>
      </c>
      <c r="G1880" s="19" t="s">
        <v>2729</v>
      </c>
      <c r="H1880" s="35">
        <v>46210</v>
      </c>
      <c r="I1880" t="s">
        <v>14</v>
      </c>
      <c r="J1880" t="e">
        <f>VLOOKUP(E1880,'Room Count'!A$2:B$2616,2,FALSE)</f>
        <v>#N/A</v>
      </c>
    </row>
    <row r="1881" spans="1:10" hidden="1">
      <c r="A1881" s="19" t="s">
        <v>47</v>
      </c>
      <c r="B1881" s="19" t="s">
        <v>2730</v>
      </c>
      <c r="C1881" s="19">
        <v>121081</v>
      </c>
      <c r="D1881" s="19" t="s">
        <v>2730</v>
      </c>
      <c r="E1881" s="19">
        <v>1999</v>
      </c>
      <c r="F1881" s="19" t="s">
        <v>29</v>
      </c>
      <c r="G1881" s="19" t="s">
        <v>2731</v>
      </c>
      <c r="H1881" s="35">
        <v>46210</v>
      </c>
      <c r="I1881" t="s">
        <v>14</v>
      </c>
      <c r="J1881" t="e">
        <f>VLOOKUP(E1881,'Room Count'!A$2:B$2616,2,FALSE)</f>
        <v>#N/A</v>
      </c>
    </row>
    <row r="1882" spans="1:10" hidden="1">
      <c r="A1882" s="19" t="s">
        <v>47</v>
      </c>
      <c r="B1882" s="19" t="s">
        <v>2732</v>
      </c>
      <c r="C1882" s="19">
        <v>121079</v>
      </c>
      <c r="D1882" s="19" t="s">
        <v>2732</v>
      </c>
      <c r="E1882" s="19">
        <v>1998</v>
      </c>
      <c r="F1882" s="19" t="s">
        <v>29</v>
      </c>
      <c r="G1882" s="19" t="s">
        <v>2733</v>
      </c>
      <c r="H1882" s="35">
        <v>46210</v>
      </c>
      <c r="I1882" t="s">
        <v>14</v>
      </c>
      <c r="J1882" t="e">
        <f>VLOOKUP(E1882,'Room Count'!A$2:B$2616,2,FALSE)</f>
        <v>#N/A</v>
      </c>
    </row>
    <row r="1883" spans="1:10" hidden="1">
      <c r="A1883" s="19" t="s">
        <v>47</v>
      </c>
      <c r="B1883" s="19" t="s">
        <v>2734</v>
      </c>
      <c r="C1883" s="19">
        <v>121091</v>
      </c>
      <c r="D1883" s="19" t="s">
        <v>2734</v>
      </c>
      <c r="E1883" s="19">
        <v>2004</v>
      </c>
      <c r="F1883" s="19" t="s">
        <v>29</v>
      </c>
      <c r="G1883" s="19" t="s">
        <v>2735</v>
      </c>
      <c r="H1883" s="35">
        <v>46210</v>
      </c>
      <c r="I1883" t="s">
        <v>14</v>
      </c>
      <c r="J1883" t="e">
        <f>VLOOKUP(E1883,'Room Count'!A$2:B$2616,2,FALSE)</f>
        <v>#N/A</v>
      </c>
    </row>
    <row r="1884" spans="1:10" hidden="1">
      <c r="A1884" s="19" t="s">
        <v>47</v>
      </c>
      <c r="B1884" s="19" t="s">
        <v>2736</v>
      </c>
      <c r="C1884" s="19">
        <v>121073</v>
      </c>
      <c r="D1884" s="19" t="s">
        <v>2736</v>
      </c>
      <c r="E1884" s="19">
        <v>1991</v>
      </c>
      <c r="F1884" s="19" t="s">
        <v>29</v>
      </c>
      <c r="G1884" s="19" t="s">
        <v>2737</v>
      </c>
      <c r="H1884" s="35">
        <v>46210</v>
      </c>
      <c r="I1884" t="s">
        <v>14</v>
      </c>
      <c r="J1884" t="e">
        <f>VLOOKUP(E1884,'Room Count'!A$2:B$2616,2,FALSE)</f>
        <v>#N/A</v>
      </c>
    </row>
    <row r="1885" spans="1:10" hidden="1">
      <c r="A1885" s="19" t="s">
        <v>47</v>
      </c>
      <c r="B1885" s="19" t="s">
        <v>2738</v>
      </c>
      <c r="C1885" s="19">
        <v>121071</v>
      </c>
      <c r="D1885" s="19" t="s">
        <v>2738</v>
      </c>
      <c r="E1885" s="19">
        <v>1988</v>
      </c>
      <c r="F1885" s="19" t="s">
        <v>29</v>
      </c>
      <c r="G1885" s="19" t="s">
        <v>2739</v>
      </c>
      <c r="H1885" s="35">
        <v>46210</v>
      </c>
      <c r="I1885" t="s">
        <v>14</v>
      </c>
      <c r="J1885" t="e">
        <f>VLOOKUP(E1885,'Room Count'!A$2:B$2616,2,FALSE)</f>
        <v>#N/A</v>
      </c>
    </row>
    <row r="1886" spans="1:10" hidden="1">
      <c r="A1886" s="19" t="s">
        <v>47</v>
      </c>
      <c r="B1886" s="19" t="s">
        <v>2740</v>
      </c>
      <c r="C1886" s="19">
        <v>121087</v>
      </c>
      <c r="D1886" s="19" t="s">
        <v>2740</v>
      </c>
      <c r="E1886" s="19">
        <v>2002</v>
      </c>
      <c r="F1886" s="19" t="s">
        <v>29</v>
      </c>
      <c r="G1886" s="19" t="s">
        <v>2741</v>
      </c>
      <c r="H1886" s="35">
        <v>46210</v>
      </c>
      <c r="I1886" t="s">
        <v>14</v>
      </c>
      <c r="J1886" t="e">
        <f>VLOOKUP(E1886,'Room Count'!A$2:B$2616,2,FALSE)</f>
        <v>#N/A</v>
      </c>
    </row>
    <row r="1887" spans="1:10" hidden="1">
      <c r="A1887" s="19" t="s">
        <v>48</v>
      </c>
      <c r="B1887" s="19" t="s">
        <v>2742</v>
      </c>
      <c r="C1887" s="19">
        <v>122007</v>
      </c>
      <c r="D1887" s="19" t="s">
        <v>2742</v>
      </c>
      <c r="E1887" s="19">
        <v>2014</v>
      </c>
      <c r="F1887" s="19" t="s">
        <v>31</v>
      </c>
      <c r="G1887" s="19" t="s">
        <v>2743</v>
      </c>
      <c r="H1887" s="35">
        <v>46224</v>
      </c>
      <c r="I1887" t="s">
        <v>14</v>
      </c>
      <c r="J1887" t="e">
        <f>VLOOKUP(E1887,'Room Count'!A$2:B$2616,2,FALSE)</f>
        <v>#N/A</v>
      </c>
    </row>
    <row r="1888" spans="1:10" hidden="1">
      <c r="A1888" s="19" t="s">
        <v>48</v>
      </c>
      <c r="B1888" s="19" t="s">
        <v>2744</v>
      </c>
      <c r="C1888" s="19">
        <v>122037</v>
      </c>
      <c r="D1888" s="19" t="s">
        <v>2744</v>
      </c>
      <c r="E1888" s="19">
        <v>2029</v>
      </c>
      <c r="F1888" s="19" t="s">
        <v>31</v>
      </c>
      <c r="G1888" s="19" t="s">
        <v>2745</v>
      </c>
      <c r="H1888" s="35">
        <v>46224</v>
      </c>
      <c r="I1888" t="s">
        <v>14</v>
      </c>
      <c r="J1888" t="e">
        <f>VLOOKUP(E1888,'Room Count'!A$2:B$2616,2,FALSE)</f>
        <v>#N/A</v>
      </c>
    </row>
    <row r="1889" spans="1:10" hidden="1">
      <c r="A1889" s="19" t="s">
        <v>48</v>
      </c>
      <c r="B1889" s="19" t="s">
        <v>2746</v>
      </c>
      <c r="C1889" s="19">
        <v>122063</v>
      </c>
      <c r="D1889" s="19" t="s">
        <v>2746</v>
      </c>
      <c r="E1889" s="19">
        <v>2042</v>
      </c>
      <c r="F1889" s="19" t="s">
        <v>31</v>
      </c>
      <c r="G1889" s="19" t="s">
        <v>2747</v>
      </c>
      <c r="H1889" s="35">
        <v>46224</v>
      </c>
      <c r="I1889" t="s">
        <v>14</v>
      </c>
      <c r="J1889" t="e">
        <f>VLOOKUP(E1889,'Room Count'!A$2:B$2616,2,FALSE)</f>
        <v>#N/A</v>
      </c>
    </row>
    <row r="1890" spans="1:10" hidden="1">
      <c r="A1890" s="19" t="s">
        <v>48</v>
      </c>
      <c r="B1890" s="19" t="s">
        <v>2748</v>
      </c>
      <c r="C1890" s="19">
        <v>122005</v>
      </c>
      <c r="D1890" s="19" t="s">
        <v>2748</v>
      </c>
      <c r="E1890" s="19">
        <v>2013</v>
      </c>
      <c r="F1890" s="19" t="s">
        <v>31</v>
      </c>
      <c r="G1890" s="19" t="s">
        <v>2749</v>
      </c>
      <c r="H1890" s="35">
        <v>46224</v>
      </c>
      <c r="I1890" t="s">
        <v>14</v>
      </c>
      <c r="J1890" t="e">
        <f>VLOOKUP(E1890,'Room Count'!A$2:B$2616,2,FALSE)</f>
        <v>#N/A</v>
      </c>
    </row>
    <row r="1891" spans="1:10" hidden="1">
      <c r="A1891" s="19" t="s">
        <v>48</v>
      </c>
      <c r="B1891" s="19" t="s">
        <v>2750</v>
      </c>
      <c r="C1891" s="19">
        <v>122025</v>
      </c>
      <c r="D1891" s="19" t="s">
        <v>2750</v>
      </c>
      <c r="E1891" s="19">
        <v>2023</v>
      </c>
      <c r="F1891" s="19" t="s">
        <v>31</v>
      </c>
      <c r="G1891" s="19" t="s">
        <v>2751</v>
      </c>
      <c r="H1891" s="35">
        <v>46224</v>
      </c>
      <c r="I1891" t="s">
        <v>14</v>
      </c>
      <c r="J1891" t="e">
        <f>VLOOKUP(E1891,'Room Count'!A$2:B$2616,2,FALSE)</f>
        <v>#N/A</v>
      </c>
    </row>
    <row r="1892" spans="1:10" hidden="1">
      <c r="A1892" s="19" t="s">
        <v>48</v>
      </c>
      <c r="B1892" s="19" t="s">
        <v>2752</v>
      </c>
      <c r="C1892" s="19">
        <v>122047</v>
      </c>
      <c r="D1892" s="19" t="s">
        <v>2752</v>
      </c>
      <c r="E1892" s="19">
        <v>2034</v>
      </c>
      <c r="F1892" s="19" t="s">
        <v>31</v>
      </c>
      <c r="G1892" s="19" t="s">
        <v>2753</v>
      </c>
      <c r="H1892" s="35">
        <v>46224</v>
      </c>
      <c r="I1892" t="s">
        <v>14</v>
      </c>
      <c r="J1892" t="e">
        <f>VLOOKUP(E1892,'Room Count'!A$2:B$2616,2,FALSE)</f>
        <v>#N/A</v>
      </c>
    </row>
    <row r="1893" spans="1:10" hidden="1">
      <c r="A1893" s="19" t="s">
        <v>48</v>
      </c>
      <c r="B1893" s="19" t="s">
        <v>2754</v>
      </c>
      <c r="C1893" s="19">
        <v>122173</v>
      </c>
      <c r="D1893" s="19" t="s">
        <v>2754</v>
      </c>
      <c r="E1893" s="19">
        <v>2097</v>
      </c>
      <c r="F1893" s="19" t="s">
        <v>31</v>
      </c>
      <c r="G1893" s="19" t="s">
        <v>2755</v>
      </c>
      <c r="H1893" s="35">
        <v>46224</v>
      </c>
      <c r="I1893" t="s">
        <v>14</v>
      </c>
      <c r="J1893" t="e">
        <f>VLOOKUP(E1893,'Room Count'!A$2:B$2616,2,FALSE)</f>
        <v>#N/A</v>
      </c>
    </row>
    <row r="1894" spans="1:10" hidden="1">
      <c r="A1894" s="19" t="s">
        <v>48</v>
      </c>
      <c r="B1894" s="19" t="s">
        <v>2756</v>
      </c>
      <c r="C1894" s="19">
        <v>122181</v>
      </c>
      <c r="D1894" s="19" t="s">
        <v>2756</v>
      </c>
      <c r="E1894" s="19">
        <v>2101</v>
      </c>
      <c r="F1894" s="19" t="s">
        <v>31</v>
      </c>
      <c r="G1894" s="19" t="s">
        <v>2757</v>
      </c>
      <c r="H1894" s="35">
        <v>46224</v>
      </c>
      <c r="I1894" t="s">
        <v>14</v>
      </c>
      <c r="J1894" t="e">
        <f>VLOOKUP(E1894,'Room Count'!A$2:B$2616,2,FALSE)</f>
        <v>#N/A</v>
      </c>
    </row>
    <row r="1895" spans="1:10" hidden="1">
      <c r="A1895" s="19" t="s">
        <v>48</v>
      </c>
      <c r="B1895" s="19" t="s">
        <v>2758</v>
      </c>
      <c r="C1895" s="19">
        <v>122079</v>
      </c>
      <c r="D1895" s="19" t="s">
        <v>2758</v>
      </c>
      <c r="E1895" s="19">
        <v>2050</v>
      </c>
      <c r="F1895" s="19" t="s">
        <v>31</v>
      </c>
      <c r="G1895" s="19" t="s">
        <v>2759</v>
      </c>
      <c r="H1895" s="35">
        <v>46224</v>
      </c>
      <c r="I1895" t="s">
        <v>14</v>
      </c>
      <c r="J1895" t="e">
        <f>VLOOKUP(E1895,'Room Count'!A$2:B$2616,2,FALSE)</f>
        <v>#N/A</v>
      </c>
    </row>
    <row r="1896" spans="1:10" hidden="1">
      <c r="A1896" s="19" t="s">
        <v>48</v>
      </c>
      <c r="B1896" s="19" t="s">
        <v>2760</v>
      </c>
      <c r="C1896" s="19">
        <v>122125</v>
      </c>
      <c r="D1896" s="19" t="s">
        <v>2760</v>
      </c>
      <c r="E1896" s="19">
        <v>2073</v>
      </c>
      <c r="F1896" s="19" t="s">
        <v>31</v>
      </c>
      <c r="G1896" s="19" t="s">
        <v>2761</v>
      </c>
      <c r="H1896" s="35">
        <v>46224</v>
      </c>
      <c r="I1896" t="s">
        <v>14</v>
      </c>
      <c r="J1896" t="e">
        <f>VLOOKUP(E1896,'Room Count'!A$2:B$2616,2,FALSE)</f>
        <v>#N/A</v>
      </c>
    </row>
    <row r="1897" spans="1:10" hidden="1">
      <c r="A1897" s="19" t="s">
        <v>48</v>
      </c>
      <c r="B1897" s="19" t="s">
        <v>2762</v>
      </c>
      <c r="C1897" s="19">
        <v>122167</v>
      </c>
      <c r="D1897" s="19" t="s">
        <v>2762</v>
      </c>
      <c r="E1897" s="19">
        <v>2094</v>
      </c>
      <c r="F1897" s="19" t="s">
        <v>31</v>
      </c>
      <c r="G1897" s="19" t="s">
        <v>2763</v>
      </c>
      <c r="H1897" s="35">
        <v>46224</v>
      </c>
      <c r="I1897" t="s">
        <v>14</v>
      </c>
      <c r="J1897" t="e">
        <f>VLOOKUP(E1897,'Room Count'!A$2:B$2616,2,FALSE)</f>
        <v>#N/A</v>
      </c>
    </row>
    <row r="1898" spans="1:10" hidden="1">
      <c r="A1898" s="19" t="s">
        <v>48</v>
      </c>
      <c r="B1898" s="19" t="s">
        <v>2764</v>
      </c>
      <c r="C1898" s="19">
        <v>122041</v>
      </c>
      <c r="D1898" s="19" t="s">
        <v>2764</v>
      </c>
      <c r="E1898" s="19">
        <v>2031</v>
      </c>
      <c r="F1898" s="19" t="s">
        <v>31</v>
      </c>
      <c r="G1898" s="19" t="s">
        <v>2765</v>
      </c>
      <c r="H1898" s="35">
        <v>46224</v>
      </c>
      <c r="I1898" t="s">
        <v>14</v>
      </c>
      <c r="J1898" t="e">
        <f>VLOOKUP(E1898,'Room Count'!A$2:B$2616,2,FALSE)</f>
        <v>#N/A</v>
      </c>
    </row>
    <row r="1899" spans="1:10" hidden="1">
      <c r="A1899" s="19" t="s">
        <v>48</v>
      </c>
      <c r="B1899" s="19" t="s">
        <v>2766</v>
      </c>
      <c r="C1899" s="19">
        <v>213269</v>
      </c>
      <c r="D1899" s="19" t="s">
        <v>2766</v>
      </c>
      <c r="E1899" s="19">
        <v>2126</v>
      </c>
      <c r="F1899" s="19" t="s">
        <v>30</v>
      </c>
      <c r="G1899" s="19" t="s">
        <v>2767</v>
      </c>
      <c r="H1899" s="35">
        <v>46224</v>
      </c>
      <c r="I1899" t="s">
        <v>14</v>
      </c>
      <c r="J1899" t="e">
        <f>VLOOKUP(E1899,'Room Count'!A$2:B$2616,2,FALSE)</f>
        <v>#N/A</v>
      </c>
    </row>
    <row r="1900" spans="1:10" hidden="1">
      <c r="A1900" s="19" t="s">
        <v>48</v>
      </c>
      <c r="B1900" s="19" t="s">
        <v>2768</v>
      </c>
      <c r="C1900" s="19">
        <v>122123</v>
      </c>
      <c r="D1900" s="19" t="s">
        <v>2768</v>
      </c>
      <c r="E1900" s="19">
        <v>2072</v>
      </c>
      <c r="F1900" s="19" t="s">
        <v>31</v>
      </c>
      <c r="G1900" s="19" t="s">
        <v>2769</v>
      </c>
      <c r="H1900" s="35">
        <v>46224</v>
      </c>
      <c r="I1900" t="s">
        <v>14</v>
      </c>
      <c r="J1900" t="e">
        <f>VLOOKUP(E1900,'Room Count'!A$2:B$2616,2,FALSE)</f>
        <v>#N/A</v>
      </c>
    </row>
    <row r="1901" spans="1:10" hidden="1">
      <c r="A1901" s="19" t="s">
        <v>48</v>
      </c>
      <c r="B1901" s="19" t="s">
        <v>2770</v>
      </c>
      <c r="C1901" s="19">
        <v>122121</v>
      </c>
      <c r="D1901" s="19" t="s">
        <v>2770</v>
      </c>
      <c r="E1901" s="19">
        <v>2071</v>
      </c>
      <c r="F1901" s="19" t="s">
        <v>31</v>
      </c>
      <c r="G1901" s="19" t="s">
        <v>2771</v>
      </c>
      <c r="H1901" s="35">
        <v>46224</v>
      </c>
      <c r="I1901" t="s">
        <v>14</v>
      </c>
      <c r="J1901" t="e">
        <f>VLOOKUP(E1901,'Room Count'!A$2:B$2616,2,FALSE)</f>
        <v>#N/A</v>
      </c>
    </row>
    <row r="1902" spans="1:10" hidden="1">
      <c r="A1902" s="19" t="s">
        <v>48</v>
      </c>
      <c r="B1902" s="19" t="s">
        <v>2772</v>
      </c>
      <c r="C1902" s="19">
        <v>122215</v>
      </c>
      <c r="D1902" s="19" t="s">
        <v>2772</v>
      </c>
      <c r="E1902" s="19">
        <v>2154</v>
      </c>
      <c r="F1902" s="19" t="s">
        <v>31</v>
      </c>
      <c r="G1902" s="19" t="s">
        <v>2773</v>
      </c>
      <c r="H1902" s="35">
        <v>46224</v>
      </c>
      <c r="I1902" t="s">
        <v>14</v>
      </c>
      <c r="J1902" t="e">
        <f>VLOOKUP(E1902,'Room Count'!A$2:B$2616,2,FALSE)</f>
        <v>#N/A</v>
      </c>
    </row>
    <row r="1903" spans="1:10" hidden="1">
      <c r="A1903" s="19" t="s">
        <v>48</v>
      </c>
      <c r="B1903" s="19" t="s">
        <v>2774</v>
      </c>
      <c r="C1903" s="19">
        <v>122115</v>
      </c>
      <c r="D1903" s="19" t="s">
        <v>2774</v>
      </c>
      <c r="E1903" s="19">
        <v>2068</v>
      </c>
      <c r="F1903" s="19" t="s">
        <v>31</v>
      </c>
      <c r="G1903" s="19" t="s">
        <v>2775</v>
      </c>
      <c r="H1903" s="35">
        <v>46224</v>
      </c>
      <c r="I1903" t="s">
        <v>14</v>
      </c>
      <c r="J1903" t="e">
        <f>VLOOKUP(E1903,'Room Count'!A$2:B$2616,2,FALSE)</f>
        <v>#N/A</v>
      </c>
    </row>
    <row r="1904" spans="1:10" hidden="1">
      <c r="A1904" s="19" t="s">
        <v>48</v>
      </c>
      <c r="B1904" s="19" t="s">
        <v>2776</v>
      </c>
      <c r="C1904" s="19">
        <v>122189</v>
      </c>
      <c r="D1904" s="19" t="s">
        <v>2776</v>
      </c>
      <c r="E1904" s="19">
        <v>2105</v>
      </c>
      <c r="F1904" s="19" t="s">
        <v>31</v>
      </c>
      <c r="G1904" s="19" t="s">
        <v>2777</v>
      </c>
      <c r="H1904" s="35">
        <v>46224</v>
      </c>
      <c r="I1904" t="s">
        <v>14</v>
      </c>
      <c r="J1904" t="e">
        <f>VLOOKUP(E1904,'Room Count'!A$2:B$2616,2,FALSE)</f>
        <v>#N/A</v>
      </c>
    </row>
    <row r="1905" spans="1:10" hidden="1">
      <c r="A1905" s="19" t="s">
        <v>48</v>
      </c>
      <c r="B1905" s="19" t="s">
        <v>2778</v>
      </c>
      <c r="C1905" s="19">
        <v>122113</v>
      </c>
      <c r="D1905" s="19" t="s">
        <v>2778</v>
      </c>
      <c r="E1905" s="19">
        <v>2067</v>
      </c>
      <c r="F1905" s="19" t="s">
        <v>31</v>
      </c>
      <c r="G1905" s="19" t="s">
        <v>2779</v>
      </c>
      <c r="H1905" s="35">
        <v>46224</v>
      </c>
      <c r="I1905" t="s">
        <v>14</v>
      </c>
      <c r="J1905" t="e">
        <f>VLOOKUP(E1905,'Room Count'!A$2:B$2616,2,FALSE)</f>
        <v>#N/A</v>
      </c>
    </row>
    <row r="1906" spans="1:10" hidden="1">
      <c r="A1906" s="19" t="s">
        <v>48</v>
      </c>
      <c r="B1906" s="19" t="s">
        <v>2780</v>
      </c>
      <c r="C1906" s="19">
        <v>122143</v>
      </c>
      <c r="D1906" s="19" t="s">
        <v>2780</v>
      </c>
      <c r="E1906" s="19">
        <v>2082</v>
      </c>
      <c r="F1906" s="19" t="s">
        <v>31</v>
      </c>
      <c r="G1906" s="19" t="s">
        <v>2781</v>
      </c>
      <c r="H1906" s="35">
        <v>46224</v>
      </c>
      <c r="I1906" t="s">
        <v>14</v>
      </c>
      <c r="J1906" t="e">
        <f>VLOOKUP(E1906,'Room Count'!A$2:B$2616,2,FALSE)</f>
        <v>#N/A</v>
      </c>
    </row>
    <row r="1907" spans="1:10" hidden="1">
      <c r="A1907" s="19" t="s">
        <v>48</v>
      </c>
      <c r="B1907" s="19" t="s">
        <v>2782</v>
      </c>
      <c r="C1907" s="19">
        <v>122093</v>
      </c>
      <c r="D1907" s="19" t="s">
        <v>2782</v>
      </c>
      <c r="E1907" s="19">
        <v>2057</v>
      </c>
      <c r="F1907" s="19" t="s">
        <v>31</v>
      </c>
      <c r="G1907" s="19" t="s">
        <v>2783</v>
      </c>
      <c r="H1907" s="35">
        <v>46224</v>
      </c>
      <c r="I1907" t="s">
        <v>14</v>
      </c>
      <c r="J1907" t="e">
        <f>VLOOKUP(E1907,'Room Count'!A$2:B$2616,2,FALSE)</f>
        <v>#N/A</v>
      </c>
    </row>
    <row r="1908" spans="1:10" hidden="1">
      <c r="A1908" s="19" t="s">
        <v>48</v>
      </c>
      <c r="B1908" s="19" t="s">
        <v>2784</v>
      </c>
      <c r="C1908" s="19">
        <v>122165</v>
      </c>
      <c r="D1908" s="19" t="s">
        <v>2784</v>
      </c>
      <c r="E1908" s="19">
        <v>2093</v>
      </c>
      <c r="F1908" s="19" t="s">
        <v>31</v>
      </c>
      <c r="G1908" s="19" t="s">
        <v>2785</v>
      </c>
      <c r="H1908" s="35">
        <v>46224</v>
      </c>
      <c r="I1908" t="s">
        <v>14</v>
      </c>
      <c r="J1908" t="e">
        <f>VLOOKUP(E1908,'Room Count'!A$2:B$2616,2,FALSE)</f>
        <v>#N/A</v>
      </c>
    </row>
    <row r="1909" spans="1:10" hidden="1">
      <c r="A1909" s="19" t="s">
        <v>48</v>
      </c>
      <c r="B1909" s="19" t="s">
        <v>2786</v>
      </c>
      <c r="C1909" s="19">
        <v>122153</v>
      </c>
      <c r="D1909" s="19" t="s">
        <v>2786</v>
      </c>
      <c r="E1909" s="19">
        <v>2087</v>
      </c>
      <c r="F1909" s="19" t="s">
        <v>31</v>
      </c>
      <c r="G1909" s="19" t="s">
        <v>2787</v>
      </c>
      <c r="H1909" s="35">
        <v>46224</v>
      </c>
      <c r="I1909" t="s">
        <v>14</v>
      </c>
      <c r="J1909" t="e">
        <f>VLOOKUP(E1909,'Room Count'!A$2:B$2616,2,FALSE)</f>
        <v>#N/A</v>
      </c>
    </row>
    <row r="1910" spans="1:10" hidden="1">
      <c r="A1910" s="19" t="s">
        <v>48</v>
      </c>
      <c r="B1910" s="19" t="s">
        <v>2788</v>
      </c>
      <c r="C1910" s="19">
        <v>122177</v>
      </c>
      <c r="D1910" s="19" t="s">
        <v>2788</v>
      </c>
      <c r="E1910" s="19">
        <v>2099</v>
      </c>
      <c r="F1910" s="19" t="s">
        <v>31</v>
      </c>
      <c r="G1910" s="19" t="s">
        <v>2789</v>
      </c>
      <c r="H1910" s="35">
        <v>46224</v>
      </c>
      <c r="I1910" t="s">
        <v>14</v>
      </c>
      <c r="J1910" t="e">
        <f>VLOOKUP(E1910,'Room Count'!A$2:B$2616,2,FALSE)</f>
        <v>#N/A</v>
      </c>
    </row>
    <row r="1911" spans="1:10" hidden="1">
      <c r="A1911" s="19" t="s">
        <v>48</v>
      </c>
      <c r="B1911" s="19" t="s">
        <v>2790</v>
      </c>
      <c r="C1911" s="19">
        <v>122101</v>
      </c>
      <c r="D1911" s="19" t="s">
        <v>2790</v>
      </c>
      <c r="E1911" s="19">
        <v>2061</v>
      </c>
      <c r="F1911" s="19" t="s">
        <v>31</v>
      </c>
      <c r="G1911" s="19" t="s">
        <v>2791</v>
      </c>
      <c r="H1911" s="35">
        <v>46224</v>
      </c>
      <c r="I1911" t="s">
        <v>14</v>
      </c>
      <c r="J1911" t="e">
        <f>VLOOKUP(E1911,'Room Count'!A$2:B$2616,2,FALSE)</f>
        <v>#N/A</v>
      </c>
    </row>
    <row r="1912" spans="1:10" hidden="1">
      <c r="A1912" s="19" t="s">
        <v>48</v>
      </c>
      <c r="B1912" s="19" t="s">
        <v>2792</v>
      </c>
      <c r="C1912" s="19">
        <v>122183</v>
      </c>
      <c r="D1912" s="19" t="s">
        <v>2792</v>
      </c>
      <c r="E1912" s="19">
        <v>2102</v>
      </c>
      <c r="F1912" s="19" t="s">
        <v>31</v>
      </c>
      <c r="G1912" s="19" t="s">
        <v>2793</v>
      </c>
      <c r="H1912" s="35">
        <v>46224</v>
      </c>
      <c r="I1912" t="s">
        <v>14</v>
      </c>
      <c r="J1912" t="e">
        <f>VLOOKUP(E1912,'Room Count'!A$2:B$2616,2,FALSE)</f>
        <v>#N/A</v>
      </c>
    </row>
    <row r="1913" spans="1:10" hidden="1">
      <c r="A1913" s="19" t="s">
        <v>48</v>
      </c>
      <c r="B1913" s="19" t="s">
        <v>2794</v>
      </c>
      <c r="C1913" s="19">
        <v>122159</v>
      </c>
      <c r="D1913" s="19" t="s">
        <v>2794</v>
      </c>
      <c r="E1913" s="19">
        <v>2090</v>
      </c>
      <c r="F1913" s="19" t="s">
        <v>31</v>
      </c>
      <c r="G1913" s="19" t="s">
        <v>2795</v>
      </c>
      <c r="H1913" s="35">
        <v>46224</v>
      </c>
      <c r="I1913" t="s">
        <v>14</v>
      </c>
      <c r="J1913" t="e">
        <f>VLOOKUP(E1913,'Room Count'!A$2:B$2616,2,FALSE)</f>
        <v>#N/A</v>
      </c>
    </row>
    <row r="1914" spans="1:10" hidden="1">
      <c r="A1914" s="19" t="s">
        <v>48</v>
      </c>
      <c r="B1914" s="19" t="s">
        <v>2796</v>
      </c>
      <c r="C1914" s="19">
        <v>122155</v>
      </c>
      <c r="D1914" s="19" t="s">
        <v>2796</v>
      </c>
      <c r="E1914" s="19">
        <v>2088</v>
      </c>
      <c r="F1914" s="19" t="s">
        <v>31</v>
      </c>
      <c r="G1914" s="19" t="s">
        <v>2797</v>
      </c>
      <c r="H1914" s="35">
        <v>46224</v>
      </c>
      <c r="I1914" t="s">
        <v>14</v>
      </c>
      <c r="J1914" t="e">
        <f>VLOOKUP(E1914,'Room Count'!A$2:B$2616,2,FALSE)</f>
        <v>#N/A</v>
      </c>
    </row>
    <row r="1915" spans="1:10" hidden="1">
      <c r="A1915" s="19" t="s">
        <v>48</v>
      </c>
      <c r="B1915" s="19" t="s">
        <v>2798</v>
      </c>
      <c r="C1915" s="19">
        <v>122077</v>
      </c>
      <c r="D1915" s="19" t="s">
        <v>2798</v>
      </c>
      <c r="E1915" s="19">
        <v>2049</v>
      </c>
      <c r="F1915" s="19" t="s">
        <v>31</v>
      </c>
      <c r="G1915" s="19" t="s">
        <v>2799</v>
      </c>
      <c r="H1915" s="35">
        <v>46224</v>
      </c>
      <c r="I1915" t="s">
        <v>14</v>
      </c>
      <c r="J1915" t="e">
        <f>VLOOKUP(E1915,'Room Count'!A$2:B$2616,2,FALSE)</f>
        <v>#N/A</v>
      </c>
    </row>
    <row r="1916" spans="1:10" hidden="1">
      <c r="A1916" s="19" t="s">
        <v>48</v>
      </c>
      <c r="B1916" s="19" t="s">
        <v>2800</v>
      </c>
      <c r="C1916" s="19">
        <v>122065</v>
      </c>
      <c r="D1916" s="19" t="s">
        <v>2800</v>
      </c>
      <c r="E1916" s="19">
        <v>2043</v>
      </c>
      <c r="F1916" s="19" t="s">
        <v>31</v>
      </c>
      <c r="G1916" s="19" t="s">
        <v>2801</v>
      </c>
      <c r="H1916" s="35">
        <v>46224</v>
      </c>
      <c r="I1916" t="s">
        <v>14</v>
      </c>
      <c r="J1916" t="e">
        <f>VLOOKUP(E1916,'Room Count'!A$2:B$2616,2,FALSE)</f>
        <v>#N/A</v>
      </c>
    </row>
    <row r="1917" spans="1:10" hidden="1">
      <c r="A1917" s="19" t="s">
        <v>48</v>
      </c>
      <c r="B1917" s="19" t="s">
        <v>2802</v>
      </c>
      <c r="C1917" s="19">
        <v>122117</v>
      </c>
      <c r="D1917" s="19" t="s">
        <v>2802</v>
      </c>
      <c r="E1917" s="19">
        <v>2069</v>
      </c>
      <c r="F1917" s="19" t="s">
        <v>31</v>
      </c>
      <c r="G1917" s="19" t="s">
        <v>2803</v>
      </c>
      <c r="H1917" s="35">
        <v>46224</v>
      </c>
      <c r="I1917" t="s">
        <v>14</v>
      </c>
      <c r="J1917" t="e">
        <f>VLOOKUP(E1917,'Room Count'!A$2:B$2616,2,FALSE)</f>
        <v>#N/A</v>
      </c>
    </row>
    <row r="1918" spans="1:10" hidden="1">
      <c r="A1918" s="19" t="s">
        <v>48</v>
      </c>
      <c r="B1918" s="19" t="s">
        <v>2804</v>
      </c>
      <c r="C1918" s="19">
        <v>122147</v>
      </c>
      <c r="D1918" s="19" t="s">
        <v>2804</v>
      </c>
      <c r="E1918" s="19">
        <v>2084</v>
      </c>
      <c r="F1918" s="19" t="s">
        <v>31</v>
      </c>
      <c r="G1918" s="19" t="s">
        <v>2805</v>
      </c>
      <c r="H1918" s="35">
        <v>46224</v>
      </c>
      <c r="I1918" t="s">
        <v>14</v>
      </c>
      <c r="J1918" t="e">
        <f>VLOOKUP(E1918,'Room Count'!A$2:B$2616,2,FALSE)</f>
        <v>#N/A</v>
      </c>
    </row>
    <row r="1919" spans="1:10" hidden="1">
      <c r="A1919" s="19" t="s">
        <v>48</v>
      </c>
      <c r="B1919" s="19" t="s">
        <v>2806</v>
      </c>
      <c r="C1919" s="19">
        <v>122085</v>
      </c>
      <c r="D1919" s="19" t="s">
        <v>2806</v>
      </c>
      <c r="E1919" s="19">
        <v>2053</v>
      </c>
      <c r="F1919" s="19" t="s">
        <v>31</v>
      </c>
      <c r="G1919" s="19" t="s">
        <v>2807</v>
      </c>
      <c r="H1919" s="35">
        <v>46224</v>
      </c>
      <c r="I1919" t="s">
        <v>14</v>
      </c>
      <c r="J1919" t="e">
        <f>VLOOKUP(E1919,'Room Count'!A$2:B$2616,2,FALSE)</f>
        <v>#N/A</v>
      </c>
    </row>
    <row r="1920" spans="1:10" hidden="1">
      <c r="A1920" s="19" t="s">
        <v>48</v>
      </c>
      <c r="B1920" s="19" t="s">
        <v>2808</v>
      </c>
      <c r="C1920" s="19">
        <v>122061</v>
      </c>
      <c r="D1920" s="19" t="s">
        <v>2808</v>
      </c>
      <c r="E1920" s="19">
        <v>2041</v>
      </c>
      <c r="F1920" s="19" t="s">
        <v>31</v>
      </c>
      <c r="G1920" s="19" t="s">
        <v>2809</v>
      </c>
      <c r="H1920" s="35">
        <v>46224</v>
      </c>
      <c r="I1920" t="s">
        <v>14</v>
      </c>
      <c r="J1920" t="e">
        <f>VLOOKUP(E1920,'Room Count'!A$2:B$2616,2,FALSE)</f>
        <v>#N/A</v>
      </c>
    </row>
    <row r="1921" spans="1:10" hidden="1">
      <c r="A1921" s="19" t="s">
        <v>48</v>
      </c>
      <c r="B1921" s="19" t="s">
        <v>2810</v>
      </c>
      <c r="C1921" s="19">
        <v>122003</v>
      </c>
      <c r="D1921" s="19" t="s">
        <v>2810</v>
      </c>
      <c r="E1921" s="19">
        <v>2012</v>
      </c>
      <c r="F1921" s="19" t="s">
        <v>31</v>
      </c>
      <c r="G1921" s="19" t="s">
        <v>2811</v>
      </c>
      <c r="H1921" s="35">
        <v>46224</v>
      </c>
      <c r="I1921" t="s">
        <v>14</v>
      </c>
      <c r="J1921" t="e">
        <f>VLOOKUP(E1921,'Room Count'!A$2:B$2616,2,FALSE)</f>
        <v>#N/A</v>
      </c>
    </row>
    <row r="1922" spans="1:10" hidden="1">
      <c r="A1922" s="19" t="s">
        <v>48</v>
      </c>
      <c r="B1922" s="19" t="s">
        <v>2812</v>
      </c>
      <c r="C1922" s="19">
        <v>122141</v>
      </c>
      <c r="D1922" s="19" t="s">
        <v>2812</v>
      </c>
      <c r="E1922" s="19">
        <v>2081</v>
      </c>
      <c r="F1922" s="19" t="s">
        <v>31</v>
      </c>
      <c r="G1922" s="19" t="s">
        <v>2813</v>
      </c>
      <c r="H1922" s="35">
        <v>46224</v>
      </c>
      <c r="I1922" t="s">
        <v>14</v>
      </c>
      <c r="J1922" t="e">
        <f>VLOOKUP(E1922,'Room Count'!A$2:B$2616,2,FALSE)</f>
        <v>#N/A</v>
      </c>
    </row>
    <row r="1923" spans="1:10" hidden="1">
      <c r="A1923" s="19" t="s">
        <v>48</v>
      </c>
      <c r="B1923" s="19" t="s">
        <v>2814</v>
      </c>
      <c r="C1923" s="19">
        <v>122057</v>
      </c>
      <c r="D1923" s="19" t="s">
        <v>2814</v>
      </c>
      <c r="E1923" s="19">
        <v>2039</v>
      </c>
      <c r="F1923" s="19" t="s">
        <v>31</v>
      </c>
      <c r="G1923" s="19" t="s">
        <v>2815</v>
      </c>
      <c r="H1923" s="35">
        <v>46224</v>
      </c>
      <c r="I1923" t="s">
        <v>14</v>
      </c>
      <c r="J1923" t="e">
        <f>VLOOKUP(E1923,'Room Count'!A$2:B$2616,2,FALSE)</f>
        <v>#N/A</v>
      </c>
    </row>
    <row r="1924" spans="1:10" hidden="1">
      <c r="A1924" s="19" t="s">
        <v>48</v>
      </c>
      <c r="B1924" s="19" t="s">
        <v>2816</v>
      </c>
      <c r="C1924" s="19">
        <v>213307</v>
      </c>
      <c r="D1924" s="19" t="s">
        <v>2816</v>
      </c>
      <c r="E1924" s="19">
        <v>2148</v>
      </c>
      <c r="F1924" s="19" t="s">
        <v>30</v>
      </c>
      <c r="G1924" s="19" t="s">
        <v>2817</v>
      </c>
      <c r="H1924" s="35">
        <v>46224</v>
      </c>
      <c r="I1924" t="s">
        <v>14</v>
      </c>
      <c r="J1924" t="e">
        <f>VLOOKUP(E1924,'Room Count'!A$2:B$2616,2,FALSE)</f>
        <v>#N/A</v>
      </c>
    </row>
    <row r="1925" spans="1:10" hidden="1">
      <c r="A1925" s="19" t="s">
        <v>48</v>
      </c>
      <c r="B1925" s="19" t="s">
        <v>2818</v>
      </c>
      <c r="C1925" s="19">
        <v>213279</v>
      </c>
      <c r="D1925" s="19" t="s">
        <v>2818</v>
      </c>
      <c r="E1925" s="19">
        <v>2131</v>
      </c>
      <c r="F1925" s="19" t="s">
        <v>30</v>
      </c>
      <c r="G1925" s="19" t="s">
        <v>2819</v>
      </c>
      <c r="H1925" s="35">
        <v>46224</v>
      </c>
      <c r="I1925" t="s">
        <v>14</v>
      </c>
      <c r="J1925" t="e">
        <f>VLOOKUP(E1925,'Room Count'!A$2:B$2616,2,FALSE)</f>
        <v>#N/A</v>
      </c>
    </row>
    <row r="1926" spans="1:10" hidden="1">
      <c r="A1926" s="19" t="s">
        <v>48</v>
      </c>
      <c r="B1926" s="19" t="s">
        <v>2820</v>
      </c>
      <c r="C1926" s="19">
        <v>213305</v>
      </c>
      <c r="D1926" s="19" t="s">
        <v>2820</v>
      </c>
      <c r="E1926" s="19">
        <v>2147</v>
      </c>
      <c r="F1926" s="19" t="s">
        <v>30</v>
      </c>
      <c r="G1926" s="19" t="s">
        <v>2821</v>
      </c>
      <c r="H1926" s="35">
        <v>46224</v>
      </c>
      <c r="I1926" t="s">
        <v>14</v>
      </c>
      <c r="J1926" t="e">
        <f>VLOOKUP(E1926,'Room Count'!A$2:B$2616,2,FALSE)</f>
        <v>#N/A</v>
      </c>
    </row>
    <row r="1927" spans="1:10" hidden="1">
      <c r="A1927" s="19" t="s">
        <v>48</v>
      </c>
      <c r="B1927" s="19" t="s">
        <v>2822</v>
      </c>
      <c r="C1927" s="19">
        <v>213273</v>
      </c>
      <c r="D1927" s="19" t="s">
        <v>2822</v>
      </c>
      <c r="E1927" s="19">
        <v>2128</v>
      </c>
      <c r="F1927" s="19" t="s">
        <v>30</v>
      </c>
      <c r="G1927" s="19" t="s">
        <v>2823</v>
      </c>
      <c r="H1927" s="35">
        <v>46224</v>
      </c>
      <c r="I1927" t="s">
        <v>14</v>
      </c>
      <c r="J1927" t="e">
        <f>VLOOKUP(E1927,'Room Count'!A$2:B$2616,2,FALSE)</f>
        <v>#N/A</v>
      </c>
    </row>
    <row r="1928" spans="1:10" hidden="1">
      <c r="A1928" s="19" t="s">
        <v>48</v>
      </c>
      <c r="B1928" s="19" t="s">
        <v>2824</v>
      </c>
      <c r="C1928" s="19">
        <v>213255</v>
      </c>
      <c r="D1928" s="19" t="s">
        <v>2824</v>
      </c>
      <c r="E1928" s="19">
        <v>2117</v>
      </c>
      <c r="F1928" s="19" t="s">
        <v>30</v>
      </c>
      <c r="G1928" s="19" t="s">
        <v>2825</v>
      </c>
      <c r="H1928" s="35">
        <v>46224</v>
      </c>
      <c r="I1928" t="s">
        <v>14</v>
      </c>
      <c r="J1928" t="e">
        <f>VLOOKUP(E1928,'Room Count'!A$2:B$2616,2,FALSE)</f>
        <v>#N/A</v>
      </c>
    </row>
    <row r="1929" spans="1:10" hidden="1">
      <c r="A1929" s="19" t="s">
        <v>48</v>
      </c>
      <c r="B1929" s="19" t="s">
        <v>2826</v>
      </c>
      <c r="C1929" s="19">
        <v>213267</v>
      </c>
      <c r="D1929" s="19" t="s">
        <v>2826</v>
      </c>
      <c r="E1929" s="19">
        <v>2125</v>
      </c>
      <c r="F1929" s="19" t="s">
        <v>30</v>
      </c>
      <c r="G1929" s="19" t="s">
        <v>2827</v>
      </c>
      <c r="H1929" s="35">
        <v>46224</v>
      </c>
      <c r="I1929" t="s">
        <v>14</v>
      </c>
      <c r="J1929" t="e">
        <f>VLOOKUP(E1929,'Room Count'!A$2:B$2616,2,FALSE)</f>
        <v>#N/A</v>
      </c>
    </row>
    <row r="1930" spans="1:10" hidden="1">
      <c r="A1930" s="19" t="s">
        <v>48</v>
      </c>
      <c r="B1930" s="19" t="s">
        <v>2828</v>
      </c>
      <c r="C1930" s="19">
        <v>213271</v>
      </c>
      <c r="D1930" s="19" t="s">
        <v>2828</v>
      </c>
      <c r="E1930" s="19">
        <v>2127</v>
      </c>
      <c r="F1930" s="19" t="s">
        <v>30</v>
      </c>
      <c r="G1930" s="19" t="s">
        <v>2829</v>
      </c>
      <c r="H1930" s="35">
        <v>46224</v>
      </c>
      <c r="I1930" t="s">
        <v>14</v>
      </c>
      <c r="J1930" t="e">
        <f>VLOOKUP(E1930,'Room Count'!A$2:B$2616,2,FALSE)</f>
        <v>#N/A</v>
      </c>
    </row>
    <row r="1931" spans="1:10" hidden="1">
      <c r="A1931" s="19" t="s">
        <v>48</v>
      </c>
      <c r="B1931" s="19" t="s">
        <v>2830</v>
      </c>
      <c r="C1931" s="19">
        <v>213253</v>
      </c>
      <c r="D1931" s="19" t="s">
        <v>2830</v>
      </c>
      <c r="E1931" s="19">
        <v>2116</v>
      </c>
      <c r="F1931" s="19" t="s">
        <v>30</v>
      </c>
      <c r="G1931" s="19" t="s">
        <v>2831</v>
      </c>
      <c r="H1931" s="35">
        <v>46224</v>
      </c>
      <c r="I1931" t="s">
        <v>14</v>
      </c>
      <c r="J1931" t="e">
        <f>VLOOKUP(E1931,'Room Count'!A$2:B$2616,2,FALSE)</f>
        <v>#N/A</v>
      </c>
    </row>
    <row r="1932" spans="1:10" hidden="1">
      <c r="A1932" s="19" t="s">
        <v>48</v>
      </c>
      <c r="B1932" s="19" t="s">
        <v>2832</v>
      </c>
      <c r="C1932" s="19">
        <v>213293</v>
      </c>
      <c r="D1932" s="19" t="s">
        <v>2832</v>
      </c>
      <c r="E1932" s="19">
        <v>2139</v>
      </c>
      <c r="F1932" s="19" t="s">
        <v>30</v>
      </c>
      <c r="G1932" s="19" t="s">
        <v>2833</v>
      </c>
      <c r="H1932" s="35">
        <v>46224</v>
      </c>
      <c r="I1932" t="s">
        <v>14</v>
      </c>
      <c r="J1932" t="e">
        <f>VLOOKUP(E1932,'Room Count'!A$2:B$2616,2,FALSE)</f>
        <v>#N/A</v>
      </c>
    </row>
    <row r="1933" spans="1:10" hidden="1">
      <c r="A1933" s="19" t="s">
        <v>48</v>
      </c>
      <c r="B1933" s="19" t="s">
        <v>2834</v>
      </c>
      <c r="C1933" s="19">
        <v>213289</v>
      </c>
      <c r="D1933" s="19" t="s">
        <v>2834</v>
      </c>
      <c r="E1933" s="19">
        <v>2136</v>
      </c>
      <c r="F1933" s="19" t="s">
        <v>30</v>
      </c>
      <c r="G1933" s="19" t="s">
        <v>2835</v>
      </c>
      <c r="H1933" s="35">
        <v>46224</v>
      </c>
      <c r="I1933" t="s">
        <v>14</v>
      </c>
      <c r="J1933" t="e">
        <f>VLOOKUP(E1933,'Room Count'!A$2:B$2616,2,FALSE)</f>
        <v>#N/A</v>
      </c>
    </row>
    <row r="1934" spans="1:10" hidden="1">
      <c r="A1934" s="19" t="s">
        <v>48</v>
      </c>
      <c r="B1934" s="19" t="s">
        <v>2836</v>
      </c>
      <c r="C1934" s="19">
        <v>213281</v>
      </c>
      <c r="D1934" s="19" t="s">
        <v>2836</v>
      </c>
      <c r="E1934" s="19">
        <v>2132</v>
      </c>
      <c r="F1934" s="19" t="s">
        <v>30</v>
      </c>
      <c r="G1934" s="19" t="s">
        <v>2837</v>
      </c>
      <c r="H1934" s="35">
        <v>46224</v>
      </c>
      <c r="I1934" t="s">
        <v>14</v>
      </c>
      <c r="J1934" t="e">
        <f>VLOOKUP(E1934,'Room Count'!A$2:B$2616,2,FALSE)</f>
        <v>#N/A</v>
      </c>
    </row>
    <row r="1935" spans="1:10" hidden="1">
      <c r="A1935" s="19" t="s">
        <v>48</v>
      </c>
      <c r="B1935" s="19" t="s">
        <v>2838</v>
      </c>
      <c r="C1935" s="19">
        <v>213287</v>
      </c>
      <c r="D1935" s="19" t="s">
        <v>2838</v>
      </c>
      <c r="E1935" s="19">
        <v>2135</v>
      </c>
      <c r="F1935" s="19" t="s">
        <v>30</v>
      </c>
      <c r="G1935" s="19" t="s">
        <v>2839</v>
      </c>
      <c r="H1935" s="35">
        <v>46224</v>
      </c>
      <c r="I1935" t="s">
        <v>14</v>
      </c>
      <c r="J1935" t="e">
        <f>VLOOKUP(E1935,'Room Count'!A$2:B$2616,2,FALSE)</f>
        <v>#N/A</v>
      </c>
    </row>
    <row r="1936" spans="1:10" hidden="1">
      <c r="A1936" s="19" t="s">
        <v>48</v>
      </c>
      <c r="B1936" s="19" t="s">
        <v>2840</v>
      </c>
      <c r="C1936" s="19">
        <v>213315</v>
      </c>
      <c r="D1936" s="19" t="s">
        <v>2840</v>
      </c>
      <c r="E1936" s="19">
        <v>2152</v>
      </c>
      <c r="F1936" s="19" t="s">
        <v>30</v>
      </c>
      <c r="G1936" s="19" t="s">
        <v>2841</v>
      </c>
      <c r="H1936" s="35">
        <v>46224</v>
      </c>
      <c r="I1936" t="s">
        <v>14</v>
      </c>
      <c r="J1936" t="e">
        <f>VLOOKUP(E1936,'Room Count'!A$2:B$2616,2,FALSE)</f>
        <v>#N/A</v>
      </c>
    </row>
    <row r="1937" spans="1:10" hidden="1">
      <c r="A1937" s="19" t="s">
        <v>48</v>
      </c>
      <c r="B1937" s="19" t="s">
        <v>2842</v>
      </c>
      <c r="C1937" s="19">
        <v>213295</v>
      </c>
      <c r="D1937" s="19" t="s">
        <v>2842</v>
      </c>
      <c r="E1937" s="19">
        <v>2142</v>
      </c>
      <c r="F1937" s="19" t="s">
        <v>30</v>
      </c>
      <c r="G1937" s="19" t="s">
        <v>2843</v>
      </c>
      <c r="H1937" s="35">
        <v>46224</v>
      </c>
      <c r="I1937" t="s">
        <v>14</v>
      </c>
      <c r="J1937" t="e">
        <f>VLOOKUP(E1937,'Room Count'!A$2:B$2616,2,FALSE)</f>
        <v>#N/A</v>
      </c>
    </row>
    <row r="1938" spans="1:10" hidden="1">
      <c r="A1938" s="19" t="s">
        <v>48</v>
      </c>
      <c r="B1938" s="19" t="s">
        <v>2844</v>
      </c>
      <c r="C1938" s="19">
        <v>213291</v>
      </c>
      <c r="D1938" s="19" t="s">
        <v>2844</v>
      </c>
      <c r="E1938" s="19">
        <v>2138</v>
      </c>
      <c r="F1938" s="19" t="s">
        <v>30</v>
      </c>
      <c r="G1938" s="19" t="s">
        <v>2845</v>
      </c>
      <c r="H1938" s="35">
        <v>46224</v>
      </c>
      <c r="I1938" t="s">
        <v>14</v>
      </c>
      <c r="J1938" t="e">
        <f>VLOOKUP(E1938,'Room Count'!A$2:B$2616,2,FALSE)</f>
        <v>#N/A</v>
      </c>
    </row>
    <row r="1939" spans="1:10" hidden="1">
      <c r="A1939" s="19" t="s">
        <v>48</v>
      </c>
      <c r="B1939" s="19" t="s">
        <v>2846</v>
      </c>
      <c r="C1939" s="19">
        <v>213275</v>
      </c>
      <c r="D1939" s="19" t="s">
        <v>2846</v>
      </c>
      <c r="E1939" s="19">
        <v>2129</v>
      </c>
      <c r="F1939" s="19" t="s">
        <v>30</v>
      </c>
      <c r="G1939" s="19" t="s">
        <v>2847</v>
      </c>
      <c r="H1939" s="35">
        <v>46224</v>
      </c>
      <c r="I1939" t="s">
        <v>14</v>
      </c>
      <c r="J1939" t="e">
        <f>VLOOKUP(E1939,'Room Count'!A$2:B$2616,2,FALSE)</f>
        <v>#N/A</v>
      </c>
    </row>
    <row r="1940" spans="1:10" hidden="1">
      <c r="A1940" s="19" t="s">
        <v>48</v>
      </c>
      <c r="B1940" s="19" t="s">
        <v>2848</v>
      </c>
      <c r="C1940" s="19">
        <v>213263</v>
      </c>
      <c r="D1940" s="19" t="s">
        <v>2848</v>
      </c>
      <c r="E1940" s="19">
        <v>2123</v>
      </c>
      <c r="F1940" s="19" t="s">
        <v>30</v>
      </c>
      <c r="G1940" s="19" t="s">
        <v>2849</v>
      </c>
      <c r="H1940" s="35">
        <v>46224</v>
      </c>
      <c r="I1940" t="s">
        <v>14</v>
      </c>
      <c r="J1940" t="e">
        <f>VLOOKUP(E1940,'Room Count'!A$2:B$2616,2,FALSE)</f>
        <v>#N/A</v>
      </c>
    </row>
    <row r="1941" spans="1:10" hidden="1">
      <c r="A1941" s="19" t="s">
        <v>48</v>
      </c>
      <c r="B1941" s="19" t="s">
        <v>2850</v>
      </c>
      <c r="C1941" s="19">
        <v>213317</v>
      </c>
      <c r="D1941" s="19" t="s">
        <v>2850</v>
      </c>
      <c r="E1941" s="19">
        <v>2153</v>
      </c>
      <c r="F1941" s="19" t="s">
        <v>30</v>
      </c>
      <c r="G1941" s="19" t="s">
        <v>2851</v>
      </c>
      <c r="H1941" s="35">
        <v>46224</v>
      </c>
      <c r="I1941" t="s">
        <v>14</v>
      </c>
      <c r="J1941" t="e">
        <f>VLOOKUP(E1941,'Room Count'!A$2:B$2616,2,FALSE)</f>
        <v>#N/A</v>
      </c>
    </row>
    <row r="1942" spans="1:10" hidden="1">
      <c r="A1942" s="19" t="s">
        <v>48</v>
      </c>
      <c r="B1942" s="19" t="s">
        <v>2852</v>
      </c>
      <c r="C1942" s="19">
        <v>122067</v>
      </c>
      <c r="D1942" s="19" t="s">
        <v>2852</v>
      </c>
      <c r="E1942" s="19">
        <v>2044</v>
      </c>
      <c r="F1942" s="19" t="s">
        <v>31</v>
      </c>
      <c r="G1942" s="19" t="s">
        <v>2853</v>
      </c>
      <c r="H1942" s="35">
        <v>46224</v>
      </c>
      <c r="I1942" t="s">
        <v>14</v>
      </c>
      <c r="J1942" t="e">
        <f>VLOOKUP(E1942,'Room Count'!A$2:B$2616,2,FALSE)</f>
        <v>#N/A</v>
      </c>
    </row>
    <row r="1943" spans="1:10" hidden="1">
      <c r="A1943" s="19" t="s">
        <v>48</v>
      </c>
      <c r="B1943" s="19" t="s">
        <v>2854</v>
      </c>
      <c r="C1943" s="19">
        <v>122109</v>
      </c>
      <c r="D1943" s="19" t="s">
        <v>2854</v>
      </c>
      <c r="E1943" s="19">
        <v>2065</v>
      </c>
      <c r="F1943" s="19" t="s">
        <v>31</v>
      </c>
      <c r="G1943" s="19" t="s">
        <v>2855</v>
      </c>
      <c r="H1943" s="35">
        <v>46224</v>
      </c>
      <c r="I1943" t="s">
        <v>14</v>
      </c>
      <c r="J1943" t="e">
        <f>VLOOKUP(E1943,'Room Count'!A$2:B$2616,2,FALSE)</f>
        <v>#N/A</v>
      </c>
    </row>
    <row r="1944" spans="1:10" hidden="1">
      <c r="A1944" s="19" t="s">
        <v>48</v>
      </c>
      <c r="B1944" s="19" t="s">
        <v>2856</v>
      </c>
      <c r="C1944" s="19">
        <v>122185</v>
      </c>
      <c r="D1944" s="19" t="s">
        <v>2856</v>
      </c>
      <c r="E1944" s="19">
        <v>2103</v>
      </c>
      <c r="F1944" s="19" t="s">
        <v>31</v>
      </c>
      <c r="G1944" s="19" t="s">
        <v>2857</v>
      </c>
      <c r="H1944" s="35">
        <v>46224</v>
      </c>
      <c r="I1944" t="s">
        <v>14</v>
      </c>
      <c r="J1944" t="e">
        <f>VLOOKUP(E1944,'Room Count'!A$2:B$2616,2,FALSE)</f>
        <v>#N/A</v>
      </c>
    </row>
    <row r="1945" spans="1:10" hidden="1">
      <c r="A1945" s="19" t="s">
        <v>48</v>
      </c>
      <c r="B1945" s="19" t="s">
        <v>2858</v>
      </c>
      <c r="C1945" s="19">
        <v>213327</v>
      </c>
      <c r="D1945" s="19" t="s">
        <v>2858</v>
      </c>
      <c r="E1945" s="19">
        <v>2160</v>
      </c>
      <c r="F1945" s="19" t="s">
        <v>30</v>
      </c>
      <c r="G1945" s="19" t="s">
        <v>2859</v>
      </c>
      <c r="H1945" s="35">
        <v>46224</v>
      </c>
      <c r="I1945" t="s">
        <v>14</v>
      </c>
      <c r="J1945" t="e">
        <f>VLOOKUP(E1945,'Room Count'!A$2:B$2616,2,FALSE)</f>
        <v>#N/A</v>
      </c>
    </row>
    <row r="1946" spans="1:10" hidden="1">
      <c r="A1946" s="19" t="s">
        <v>48</v>
      </c>
      <c r="B1946" s="19" t="s">
        <v>2860</v>
      </c>
      <c r="C1946" s="19">
        <v>122039</v>
      </c>
      <c r="D1946" s="19" t="s">
        <v>2860</v>
      </c>
      <c r="E1946" s="19">
        <v>2030</v>
      </c>
      <c r="F1946" s="19" t="s">
        <v>31</v>
      </c>
      <c r="G1946" s="19" t="s">
        <v>2861</v>
      </c>
      <c r="H1946" s="35">
        <v>46224</v>
      </c>
      <c r="I1946" t="s">
        <v>14</v>
      </c>
      <c r="J1946" t="e">
        <f>VLOOKUP(E1946,'Room Count'!A$2:B$2616,2,FALSE)</f>
        <v>#N/A</v>
      </c>
    </row>
    <row r="1947" spans="1:10" hidden="1">
      <c r="A1947" s="19" t="s">
        <v>48</v>
      </c>
      <c r="B1947" s="19" t="s">
        <v>2862</v>
      </c>
      <c r="C1947" s="19">
        <v>122209</v>
      </c>
      <c r="D1947" s="19" t="s">
        <v>2862</v>
      </c>
      <c r="E1947" s="19">
        <v>2137</v>
      </c>
      <c r="F1947" s="19" t="s">
        <v>31</v>
      </c>
      <c r="G1947" s="19" t="s">
        <v>2863</v>
      </c>
      <c r="H1947" s="35">
        <v>46224</v>
      </c>
      <c r="I1947" t="s">
        <v>14</v>
      </c>
      <c r="J1947" t="e">
        <f>VLOOKUP(E1947,'Room Count'!A$2:B$2616,2,FALSE)</f>
        <v>#N/A</v>
      </c>
    </row>
    <row r="1948" spans="1:10" hidden="1">
      <c r="A1948" s="19" t="s">
        <v>48</v>
      </c>
      <c r="B1948" s="19" t="s">
        <v>2864</v>
      </c>
      <c r="C1948" s="19">
        <v>213351</v>
      </c>
      <c r="D1948" s="19" t="s">
        <v>2864</v>
      </c>
      <c r="E1948" s="19">
        <v>2172</v>
      </c>
      <c r="F1948" s="19" t="s">
        <v>30</v>
      </c>
      <c r="G1948" s="19" t="s">
        <v>2865</v>
      </c>
      <c r="H1948" s="35">
        <v>46224</v>
      </c>
      <c r="I1948" t="s">
        <v>14</v>
      </c>
      <c r="J1948" t="e">
        <f>VLOOKUP(E1948,'Room Count'!A$2:B$2616,2,FALSE)</f>
        <v>#N/A</v>
      </c>
    </row>
    <row r="1949" spans="1:10" hidden="1">
      <c r="A1949" s="19" t="s">
        <v>48</v>
      </c>
      <c r="B1949" s="19" t="s">
        <v>2866</v>
      </c>
      <c r="C1949" s="19">
        <v>213333</v>
      </c>
      <c r="D1949" s="19" t="s">
        <v>2866</v>
      </c>
      <c r="E1949" s="19">
        <v>2163</v>
      </c>
      <c r="F1949" s="19" t="s">
        <v>30</v>
      </c>
      <c r="G1949" s="19" t="s">
        <v>2867</v>
      </c>
      <c r="H1949" s="35">
        <v>46224</v>
      </c>
      <c r="I1949" t="s">
        <v>14</v>
      </c>
      <c r="J1949" t="e">
        <f>VLOOKUP(E1949,'Room Count'!A$2:B$2616,2,FALSE)</f>
        <v>#N/A</v>
      </c>
    </row>
    <row r="1950" spans="1:10" hidden="1">
      <c r="A1950" s="19" t="s">
        <v>48</v>
      </c>
      <c r="B1950" s="19" t="s">
        <v>2868</v>
      </c>
      <c r="C1950" s="19">
        <v>213357</v>
      </c>
      <c r="D1950" s="19" t="s">
        <v>2868</v>
      </c>
      <c r="E1950" s="19">
        <v>2175</v>
      </c>
      <c r="F1950" s="19" t="s">
        <v>30</v>
      </c>
      <c r="G1950" s="19" t="s">
        <v>2869</v>
      </c>
      <c r="H1950" s="35">
        <v>46224</v>
      </c>
      <c r="I1950" t="s">
        <v>14</v>
      </c>
      <c r="J1950" t="e">
        <f>VLOOKUP(E1950,'Room Count'!A$2:B$2616,2,FALSE)</f>
        <v>#N/A</v>
      </c>
    </row>
    <row r="1951" spans="1:10" hidden="1">
      <c r="A1951" s="19" t="s">
        <v>48</v>
      </c>
      <c r="B1951" s="19" t="s">
        <v>2870</v>
      </c>
      <c r="C1951" s="19">
        <v>213343</v>
      </c>
      <c r="D1951" s="19" t="s">
        <v>2870</v>
      </c>
      <c r="E1951" s="19">
        <v>2168</v>
      </c>
      <c r="F1951" s="19" t="s">
        <v>30</v>
      </c>
      <c r="G1951" s="19" t="s">
        <v>2871</v>
      </c>
      <c r="H1951" s="35">
        <v>46224</v>
      </c>
      <c r="I1951" t="s">
        <v>14</v>
      </c>
      <c r="J1951" t="e">
        <f>VLOOKUP(E1951,'Room Count'!A$2:B$2616,2,FALSE)</f>
        <v>#N/A</v>
      </c>
    </row>
    <row r="1952" spans="1:10" hidden="1">
      <c r="A1952" s="19" t="s">
        <v>48</v>
      </c>
      <c r="B1952" s="19" t="s">
        <v>2872</v>
      </c>
      <c r="C1952" s="19">
        <v>213331</v>
      </c>
      <c r="D1952" s="19" t="s">
        <v>2872</v>
      </c>
      <c r="E1952" s="19">
        <v>2162</v>
      </c>
      <c r="F1952" s="19" t="s">
        <v>30</v>
      </c>
      <c r="G1952" s="19" t="s">
        <v>2873</v>
      </c>
      <c r="H1952" s="35">
        <v>46224</v>
      </c>
      <c r="I1952" t="s">
        <v>14</v>
      </c>
      <c r="J1952" t="e">
        <f>VLOOKUP(E1952,'Room Count'!A$2:B$2616,2,FALSE)</f>
        <v>#N/A</v>
      </c>
    </row>
    <row r="1953" spans="1:10" hidden="1">
      <c r="A1953" s="19" t="s">
        <v>48</v>
      </c>
      <c r="B1953" s="19" t="s">
        <v>2874</v>
      </c>
      <c r="C1953" s="19">
        <v>122169</v>
      </c>
      <c r="D1953" s="19" t="s">
        <v>2874</v>
      </c>
      <c r="E1953" s="19">
        <v>2095</v>
      </c>
      <c r="F1953" s="19" t="s">
        <v>31</v>
      </c>
      <c r="G1953" s="19" t="s">
        <v>2875</v>
      </c>
      <c r="H1953" s="35">
        <v>46224</v>
      </c>
      <c r="I1953" t="s">
        <v>14</v>
      </c>
      <c r="J1953" t="e">
        <f>VLOOKUP(E1953,'Room Count'!A$2:B$2616,2,FALSE)</f>
        <v>#N/A</v>
      </c>
    </row>
    <row r="1954" spans="1:10" hidden="1">
      <c r="A1954" s="19" t="s">
        <v>48</v>
      </c>
      <c r="B1954" s="19" t="s">
        <v>2876</v>
      </c>
      <c r="C1954" s="19">
        <v>213261</v>
      </c>
      <c r="D1954" s="19" t="s">
        <v>2876</v>
      </c>
      <c r="E1954" s="19">
        <v>2122</v>
      </c>
      <c r="F1954" s="19" t="s">
        <v>30</v>
      </c>
      <c r="G1954" s="19" t="s">
        <v>2877</v>
      </c>
      <c r="H1954" s="35">
        <v>46224</v>
      </c>
      <c r="I1954" t="s">
        <v>14</v>
      </c>
      <c r="J1954" t="e">
        <f>VLOOKUP(E1954,'Room Count'!A$2:B$2616,2,FALSE)</f>
        <v>#N/A</v>
      </c>
    </row>
    <row r="1955" spans="1:10" hidden="1">
      <c r="A1955" s="19" t="s">
        <v>48</v>
      </c>
      <c r="B1955" s="19" t="s">
        <v>2878</v>
      </c>
      <c r="C1955" s="19">
        <v>122199</v>
      </c>
      <c r="D1955" s="19" t="s">
        <v>2878</v>
      </c>
      <c r="E1955" s="19">
        <v>2110</v>
      </c>
      <c r="F1955" s="19" t="s">
        <v>31</v>
      </c>
      <c r="G1955" s="19" t="s">
        <v>2879</v>
      </c>
      <c r="H1955" s="35">
        <v>46224</v>
      </c>
      <c r="I1955" t="s">
        <v>14</v>
      </c>
      <c r="J1955" t="e">
        <f>VLOOKUP(E1955,'Room Count'!A$2:B$2616,2,FALSE)</f>
        <v>#N/A</v>
      </c>
    </row>
    <row r="1956" spans="1:10" hidden="1">
      <c r="A1956" s="19" t="s">
        <v>48</v>
      </c>
      <c r="B1956" s="19" t="s">
        <v>2880</v>
      </c>
      <c r="C1956" s="19">
        <v>122055</v>
      </c>
      <c r="D1956" s="19" t="s">
        <v>2880</v>
      </c>
      <c r="E1956" s="19">
        <v>2038</v>
      </c>
      <c r="F1956" s="19" t="s">
        <v>31</v>
      </c>
      <c r="G1956" s="19" t="s">
        <v>2881</v>
      </c>
      <c r="H1956" s="35">
        <v>46224</v>
      </c>
      <c r="I1956" t="s">
        <v>14</v>
      </c>
      <c r="J1956" t="e">
        <f>VLOOKUP(E1956,'Room Count'!A$2:B$2616,2,FALSE)</f>
        <v>#N/A</v>
      </c>
    </row>
    <row r="1957" spans="1:10" hidden="1">
      <c r="A1957" s="19" t="s">
        <v>48</v>
      </c>
      <c r="B1957" s="19" t="s">
        <v>2882</v>
      </c>
      <c r="C1957" s="19">
        <v>213355</v>
      </c>
      <c r="D1957" s="19" t="s">
        <v>2882</v>
      </c>
      <c r="E1957" s="19">
        <v>2174</v>
      </c>
      <c r="F1957" s="19" t="s">
        <v>30</v>
      </c>
      <c r="G1957" s="19" t="s">
        <v>2883</v>
      </c>
      <c r="H1957" s="35">
        <v>46224</v>
      </c>
      <c r="I1957" t="s">
        <v>14</v>
      </c>
      <c r="J1957" t="e">
        <f>VLOOKUP(E1957,'Room Count'!A$2:B$2616,2,FALSE)</f>
        <v>#N/A</v>
      </c>
    </row>
    <row r="1958" spans="1:10" hidden="1">
      <c r="A1958" s="19" t="s">
        <v>48</v>
      </c>
      <c r="B1958" s="19" t="s">
        <v>2884</v>
      </c>
      <c r="C1958" s="19">
        <v>213337</v>
      </c>
      <c r="D1958" s="19" t="s">
        <v>2884</v>
      </c>
      <c r="E1958" s="19">
        <v>2165</v>
      </c>
      <c r="F1958" s="19" t="s">
        <v>30</v>
      </c>
      <c r="G1958" s="19" t="s">
        <v>2885</v>
      </c>
      <c r="H1958" s="35">
        <v>46224</v>
      </c>
      <c r="I1958" t="s">
        <v>14</v>
      </c>
      <c r="J1958" t="e">
        <f>VLOOKUP(E1958,'Room Count'!A$2:B$2616,2,FALSE)</f>
        <v>#N/A</v>
      </c>
    </row>
    <row r="1959" spans="1:10" hidden="1">
      <c r="A1959" s="19" t="s">
        <v>48</v>
      </c>
      <c r="B1959" s="19" t="s">
        <v>2886</v>
      </c>
      <c r="C1959" s="19">
        <v>122049</v>
      </c>
      <c r="D1959" s="19" t="s">
        <v>2886</v>
      </c>
      <c r="E1959" s="19">
        <v>2035</v>
      </c>
      <c r="F1959" s="19" t="s">
        <v>31</v>
      </c>
      <c r="G1959" s="19" t="s">
        <v>2887</v>
      </c>
      <c r="H1959" s="35">
        <v>46224</v>
      </c>
      <c r="I1959" t="s">
        <v>14</v>
      </c>
      <c r="J1959" t="e">
        <f>VLOOKUP(E1959,'Room Count'!A$2:B$2616,2,FALSE)</f>
        <v>#N/A</v>
      </c>
    </row>
    <row r="1960" spans="1:10" hidden="1">
      <c r="A1960" s="19" t="s">
        <v>48</v>
      </c>
      <c r="B1960" s="19" t="s">
        <v>2888</v>
      </c>
      <c r="C1960" s="19">
        <v>122133</v>
      </c>
      <c r="D1960" s="19" t="s">
        <v>2888</v>
      </c>
      <c r="E1960" s="19">
        <v>2077</v>
      </c>
      <c r="F1960" s="19" t="s">
        <v>31</v>
      </c>
      <c r="G1960" s="19" t="s">
        <v>2889</v>
      </c>
      <c r="H1960" s="35">
        <v>46224</v>
      </c>
      <c r="I1960" t="s">
        <v>14</v>
      </c>
      <c r="J1960" t="e">
        <f>VLOOKUP(E1960,'Room Count'!A$2:B$2616,2,FALSE)</f>
        <v>#N/A</v>
      </c>
    </row>
    <row r="1961" spans="1:10" hidden="1">
      <c r="A1961" s="19" t="s">
        <v>48</v>
      </c>
      <c r="B1961" s="19" t="s">
        <v>2890</v>
      </c>
      <c r="C1961" s="19">
        <v>122021</v>
      </c>
      <c r="D1961" s="19" t="s">
        <v>2890</v>
      </c>
      <c r="E1961" s="19">
        <v>2021</v>
      </c>
      <c r="F1961" s="19" t="s">
        <v>31</v>
      </c>
      <c r="G1961" s="19" t="s">
        <v>2891</v>
      </c>
      <c r="H1961" s="35">
        <v>46224</v>
      </c>
      <c r="I1961" t="s">
        <v>14</v>
      </c>
      <c r="J1961" t="e">
        <f>VLOOKUP(E1961,'Room Count'!A$2:B$2616,2,FALSE)</f>
        <v>#N/A</v>
      </c>
    </row>
    <row r="1962" spans="1:10" hidden="1">
      <c r="A1962" s="19" t="s">
        <v>48</v>
      </c>
      <c r="B1962" s="19" t="s">
        <v>2892</v>
      </c>
      <c r="C1962" s="19">
        <v>122175</v>
      </c>
      <c r="D1962" s="19" t="s">
        <v>2892</v>
      </c>
      <c r="E1962" s="19">
        <v>2098</v>
      </c>
      <c r="F1962" s="19" t="s">
        <v>31</v>
      </c>
      <c r="G1962" s="19" t="s">
        <v>2893</v>
      </c>
      <c r="H1962" s="35">
        <v>46224</v>
      </c>
      <c r="I1962" t="s">
        <v>14</v>
      </c>
      <c r="J1962" t="e">
        <f>VLOOKUP(E1962,'Room Count'!A$2:B$2616,2,FALSE)</f>
        <v>#N/A</v>
      </c>
    </row>
    <row r="1963" spans="1:10" hidden="1">
      <c r="A1963" s="19" t="s">
        <v>48</v>
      </c>
      <c r="B1963" s="19" t="s">
        <v>2894</v>
      </c>
      <c r="C1963" s="19">
        <v>122145</v>
      </c>
      <c r="D1963" s="19" t="s">
        <v>2894</v>
      </c>
      <c r="E1963" s="19">
        <v>2083</v>
      </c>
      <c r="F1963" s="19" t="s">
        <v>31</v>
      </c>
      <c r="G1963" s="19" t="s">
        <v>2895</v>
      </c>
      <c r="H1963" s="35">
        <v>46224</v>
      </c>
      <c r="I1963" t="s">
        <v>14</v>
      </c>
      <c r="J1963" t="e">
        <f>VLOOKUP(E1963,'Room Count'!A$2:B$2616,2,FALSE)</f>
        <v>#N/A</v>
      </c>
    </row>
    <row r="1964" spans="1:10" hidden="1">
      <c r="A1964" s="19" t="s">
        <v>48</v>
      </c>
      <c r="B1964" s="19" t="s">
        <v>2896</v>
      </c>
      <c r="C1964" s="19">
        <v>122163</v>
      </c>
      <c r="D1964" s="19" t="s">
        <v>2896</v>
      </c>
      <c r="E1964" s="19">
        <v>2092</v>
      </c>
      <c r="F1964" s="19" t="s">
        <v>31</v>
      </c>
      <c r="G1964" s="19" t="s">
        <v>2897</v>
      </c>
      <c r="H1964" s="35">
        <v>46224</v>
      </c>
      <c r="I1964" t="s">
        <v>14</v>
      </c>
      <c r="J1964" t="e">
        <f>VLOOKUP(E1964,'Room Count'!A$2:B$2616,2,FALSE)</f>
        <v>#N/A</v>
      </c>
    </row>
    <row r="1965" spans="1:10" hidden="1">
      <c r="A1965" s="19" t="s">
        <v>48</v>
      </c>
      <c r="B1965" s="19" t="s">
        <v>2898</v>
      </c>
      <c r="C1965" s="19">
        <v>122019</v>
      </c>
      <c r="D1965" s="19" t="s">
        <v>2898</v>
      </c>
      <c r="E1965" s="19">
        <v>2020</v>
      </c>
      <c r="F1965" s="19" t="s">
        <v>31</v>
      </c>
      <c r="G1965" s="19" t="s">
        <v>2899</v>
      </c>
      <c r="H1965" s="35">
        <v>46224</v>
      </c>
      <c r="I1965" t="s">
        <v>14</v>
      </c>
      <c r="J1965" t="e">
        <f>VLOOKUP(E1965,'Room Count'!A$2:B$2616,2,FALSE)</f>
        <v>#N/A</v>
      </c>
    </row>
    <row r="1966" spans="1:10" hidden="1">
      <c r="A1966" s="19" t="s">
        <v>48</v>
      </c>
      <c r="B1966" s="19" t="s">
        <v>2900</v>
      </c>
      <c r="C1966" s="19">
        <v>213247</v>
      </c>
      <c r="D1966" s="19" t="s">
        <v>2900</v>
      </c>
      <c r="E1966" s="19">
        <v>2113</v>
      </c>
      <c r="F1966" s="19" t="s">
        <v>30</v>
      </c>
      <c r="G1966" s="19" t="s">
        <v>2901</v>
      </c>
      <c r="H1966" s="35">
        <v>46224</v>
      </c>
      <c r="I1966" t="s">
        <v>14</v>
      </c>
      <c r="J1966" t="e">
        <f>VLOOKUP(E1966,'Room Count'!A$2:B$2616,2,FALSE)</f>
        <v>#N/A</v>
      </c>
    </row>
    <row r="1967" spans="1:10" hidden="1">
      <c r="A1967" s="19" t="s">
        <v>48</v>
      </c>
      <c r="B1967" s="19" t="s">
        <v>2902</v>
      </c>
      <c r="C1967" s="19">
        <v>213297</v>
      </c>
      <c r="D1967" s="19" t="s">
        <v>2902</v>
      </c>
      <c r="E1967" s="19">
        <v>2143</v>
      </c>
      <c r="F1967" s="19" t="s">
        <v>30</v>
      </c>
      <c r="G1967" s="19" t="s">
        <v>2903</v>
      </c>
      <c r="H1967" s="35">
        <v>46224</v>
      </c>
      <c r="I1967" t="s">
        <v>14</v>
      </c>
      <c r="J1967" t="e">
        <f>VLOOKUP(E1967,'Room Count'!A$2:B$2616,2,FALSE)</f>
        <v>#N/A</v>
      </c>
    </row>
    <row r="1968" spans="1:10" hidden="1">
      <c r="A1968" s="19" t="s">
        <v>48</v>
      </c>
      <c r="B1968" s="19" t="s">
        <v>2904</v>
      </c>
      <c r="C1968" s="19">
        <v>213251</v>
      </c>
      <c r="D1968" s="19" t="s">
        <v>2904</v>
      </c>
      <c r="E1968" s="19">
        <v>2115</v>
      </c>
      <c r="F1968" s="19" t="s">
        <v>30</v>
      </c>
      <c r="G1968" s="19" t="s">
        <v>2905</v>
      </c>
      <c r="H1968" s="35">
        <v>46224</v>
      </c>
      <c r="I1968" t="s">
        <v>14</v>
      </c>
      <c r="J1968" t="e">
        <f>VLOOKUP(E1968,'Room Count'!A$2:B$2616,2,FALSE)</f>
        <v>#N/A</v>
      </c>
    </row>
    <row r="1969" spans="1:10" hidden="1">
      <c r="A1969" s="19" t="s">
        <v>48</v>
      </c>
      <c r="B1969" s="19" t="s">
        <v>2906</v>
      </c>
      <c r="C1969" s="19">
        <v>213285</v>
      </c>
      <c r="D1969" s="19" t="s">
        <v>2906</v>
      </c>
      <c r="E1969" s="19">
        <v>2134</v>
      </c>
      <c r="F1969" s="19" t="s">
        <v>30</v>
      </c>
      <c r="G1969" s="19" t="s">
        <v>2907</v>
      </c>
      <c r="H1969" s="35">
        <v>46224</v>
      </c>
      <c r="I1969" t="s">
        <v>14</v>
      </c>
      <c r="J1969" t="e">
        <f>VLOOKUP(E1969,'Room Count'!A$2:B$2616,2,FALSE)</f>
        <v>#N/A</v>
      </c>
    </row>
    <row r="1970" spans="1:10" hidden="1">
      <c r="A1970" s="19" t="s">
        <v>48</v>
      </c>
      <c r="B1970" s="19" t="s">
        <v>2908</v>
      </c>
      <c r="C1970" s="19">
        <v>213277</v>
      </c>
      <c r="D1970" s="19" t="s">
        <v>2908</v>
      </c>
      <c r="E1970" s="19">
        <v>2130</v>
      </c>
      <c r="F1970" s="19" t="s">
        <v>30</v>
      </c>
      <c r="G1970" s="19" t="s">
        <v>2909</v>
      </c>
      <c r="H1970" s="35">
        <v>46224</v>
      </c>
      <c r="I1970" t="s">
        <v>14</v>
      </c>
      <c r="J1970" t="e">
        <f>VLOOKUP(E1970,'Room Count'!A$2:B$2616,2,FALSE)</f>
        <v>#N/A</v>
      </c>
    </row>
    <row r="1971" spans="1:10" hidden="1">
      <c r="A1971" s="19" t="s">
        <v>48</v>
      </c>
      <c r="B1971" s="19" t="s">
        <v>2910</v>
      </c>
      <c r="C1971" s="19">
        <v>213309</v>
      </c>
      <c r="D1971" s="19" t="s">
        <v>2910</v>
      </c>
      <c r="E1971" s="19">
        <v>2149</v>
      </c>
      <c r="F1971" s="19" t="s">
        <v>30</v>
      </c>
      <c r="G1971" s="19" t="s">
        <v>2911</v>
      </c>
      <c r="H1971" s="35">
        <v>46224</v>
      </c>
      <c r="I1971" t="s">
        <v>14</v>
      </c>
      <c r="J1971" t="e">
        <f>VLOOKUP(E1971,'Room Count'!A$2:B$2616,2,FALSE)</f>
        <v>#N/A</v>
      </c>
    </row>
    <row r="1972" spans="1:10" hidden="1">
      <c r="A1972" s="19" t="s">
        <v>48</v>
      </c>
      <c r="B1972" s="19" t="s">
        <v>2912</v>
      </c>
      <c r="C1972" s="19">
        <v>213299</v>
      </c>
      <c r="D1972" s="19" t="s">
        <v>2912</v>
      </c>
      <c r="E1972" s="19">
        <v>2144</v>
      </c>
      <c r="F1972" s="19" t="s">
        <v>30</v>
      </c>
      <c r="G1972" s="19" t="s">
        <v>2913</v>
      </c>
      <c r="H1972" s="35">
        <v>46224</v>
      </c>
      <c r="I1972" t="s">
        <v>14</v>
      </c>
      <c r="J1972" t="e">
        <f>VLOOKUP(E1972,'Room Count'!A$2:B$2616,2,FALSE)</f>
        <v>#N/A</v>
      </c>
    </row>
    <row r="1973" spans="1:10" hidden="1">
      <c r="A1973" s="19" t="s">
        <v>48</v>
      </c>
      <c r="B1973" s="19" t="s">
        <v>2914</v>
      </c>
      <c r="C1973" s="19">
        <v>122179</v>
      </c>
      <c r="D1973" s="19" t="s">
        <v>2914</v>
      </c>
      <c r="E1973" s="19">
        <v>2100</v>
      </c>
      <c r="F1973" s="19" t="s">
        <v>31</v>
      </c>
      <c r="G1973" s="19" t="s">
        <v>2915</v>
      </c>
      <c r="H1973" s="35">
        <v>46224</v>
      </c>
      <c r="I1973" t="s">
        <v>14</v>
      </c>
      <c r="J1973" t="e">
        <f>VLOOKUP(E1973,'Room Count'!A$2:B$2616,2,FALSE)</f>
        <v>#N/A</v>
      </c>
    </row>
    <row r="1974" spans="1:10" hidden="1">
      <c r="A1974" s="19" t="s">
        <v>48</v>
      </c>
      <c r="B1974" s="19" t="s">
        <v>2916</v>
      </c>
      <c r="C1974" s="19">
        <v>122187</v>
      </c>
      <c r="D1974" s="19" t="s">
        <v>2916</v>
      </c>
      <c r="E1974" s="19">
        <v>2104</v>
      </c>
      <c r="F1974" s="19" t="s">
        <v>31</v>
      </c>
      <c r="G1974" s="19" t="s">
        <v>2917</v>
      </c>
      <c r="H1974" s="35">
        <v>46224</v>
      </c>
      <c r="I1974" t="s">
        <v>14</v>
      </c>
      <c r="J1974" t="e">
        <f>VLOOKUP(E1974,'Room Count'!A$2:B$2616,2,FALSE)</f>
        <v>#N/A</v>
      </c>
    </row>
    <row r="1975" spans="1:10" hidden="1">
      <c r="A1975" s="19" t="s">
        <v>48</v>
      </c>
      <c r="B1975" s="19" t="s">
        <v>2918</v>
      </c>
      <c r="C1975" s="19">
        <v>213347</v>
      </c>
      <c r="D1975" s="19" t="s">
        <v>2918</v>
      </c>
      <c r="E1975" s="19">
        <v>2170</v>
      </c>
      <c r="F1975" s="19" t="s">
        <v>30</v>
      </c>
      <c r="G1975" s="19" t="s">
        <v>2919</v>
      </c>
      <c r="H1975" s="35">
        <v>46224</v>
      </c>
      <c r="I1975" t="s">
        <v>14</v>
      </c>
      <c r="J1975" t="e">
        <f>VLOOKUP(E1975,'Room Count'!A$2:B$2616,2,FALSE)</f>
        <v>#N/A</v>
      </c>
    </row>
    <row r="1976" spans="1:10" hidden="1">
      <c r="A1976" s="19" t="s">
        <v>48</v>
      </c>
      <c r="B1976" s="19" t="s">
        <v>2920</v>
      </c>
      <c r="C1976" s="19">
        <v>122107</v>
      </c>
      <c r="D1976" s="19" t="s">
        <v>2920</v>
      </c>
      <c r="E1976" s="19">
        <v>2064</v>
      </c>
      <c r="F1976" s="19" t="s">
        <v>31</v>
      </c>
      <c r="G1976" s="19" t="s">
        <v>2921</v>
      </c>
      <c r="H1976" s="35">
        <v>46224</v>
      </c>
      <c r="I1976" t="s">
        <v>14</v>
      </c>
      <c r="J1976" t="e">
        <f>VLOOKUP(E1976,'Room Count'!A$2:B$2616,2,FALSE)</f>
        <v>#N/A</v>
      </c>
    </row>
    <row r="1977" spans="1:10" hidden="1">
      <c r="A1977" s="19" t="s">
        <v>48</v>
      </c>
      <c r="B1977" s="19" t="s">
        <v>2922</v>
      </c>
      <c r="C1977" s="19">
        <v>213341</v>
      </c>
      <c r="D1977" s="19" t="s">
        <v>2922</v>
      </c>
      <c r="E1977" s="19">
        <v>2167</v>
      </c>
      <c r="F1977" s="19" t="s">
        <v>30</v>
      </c>
      <c r="G1977" s="19" t="s">
        <v>2923</v>
      </c>
      <c r="H1977" s="35">
        <v>46224</v>
      </c>
      <c r="I1977" t="s">
        <v>14</v>
      </c>
      <c r="J1977" t="e">
        <f>VLOOKUP(E1977,'Room Count'!A$2:B$2616,2,FALSE)</f>
        <v>#N/A</v>
      </c>
    </row>
    <row r="1978" spans="1:10" hidden="1">
      <c r="A1978" s="19" t="s">
        <v>48</v>
      </c>
      <c r="B1978" s="19" t="s">
        <v>2924</v>
      </c>
      <c r="C1978" s="19">
        <v>122031</v>
      </c>
      <c r="D1978" s="19" t="s">
        <v>2924</v>
      </c>
      <c r="E1978" s="19">
        <v>2026</v>
      </c>
      <c r="F1978" s="19" t="s">
        <v>31</v>
      </c>
      <c r="G1978" s="19" t="s">
        <v>2925</v>
      </c>
      <c r="H1978" s="35">
        <v>46224</v>
      </c>
      <c r="I1978" t="s">
        <v>14</v>
      </c>
      <c r="J1978" t="e">
        <f>VLOOKUP(E1978,'Room Count'!A$2:B$2616,2,FALSE)</f>
        <v>#N/A</v>
      </c>
    </row>
    <row r="1979" spans="1:10" hidden="1">
      <c r="A1979" s="19" t="s">
        <v>48</v>
      </c>
      <c r="B1979" s="19" t="s">
        <v>2926</v>
      </c>
      <c r="C1979" s="19">
        <v>122097</v>
      </c>
      <c r="D1979" s="19" t="s">
        <v>2926</v>
      </c>
      <c r="E1979" s="19">
        <v>2059</v>
      </c>
      <c r="F1979" s="19" t="s">
        <v>31</v>
      </c>
      <c r="G1979" s="19" t="s">
        <v>2927</v>
      </c>
      <c r="H1979" s="35">
        <v>46224</v>
      </c>
      <c r="I1979" t="s">
        <v>14</v>
      </c>
      <c r="J1979" t="e">
        <f>VLOOKUP(E1979,'Room Count'!A$2:B$2616,2,FALSE)</f>
        <v>#N/A</v>
      </c>
    </row>
    <row r="1980" spans="1:10" hidden="1">
      <c r="A1980" s="19" t="s">
        <v>48</v>
      </c>
      <c r="B1980" s="19" t="s">
        <v>2928</v>
      </c>
      <c r="C1980" s="19">
        <v>122129</v>
      </c>
      <c r="D1980" s="19" t="s">
        <v>2928</v>
      </c>
      <c r="E1980" s="19">
        <v>2075</v>
      </c>
      <c r="F1980" s="19" t="s">
        <v>31</v>
      </c>
      <c r="G1980" s="19" t="s">
        <v>2929</v>
      </c>
      <c r="H1980" s="35">
        <v>46224</v>
      </c>
      <c r="I1980" t="s">
        <v>14</v>
      </c>
      <c r="J1980" t="e">
        <f>VLOOKUP(E1980,'Room Count'!A$2:B$2616,2,FALSE)</f>
        <v>#N/A</v>
      </c>
    </row>
    <row r="1981" spans="1:10" hidden="1">
      <c r="A1981" s="19" t="s">
        <v>48</v>
      </c>
      <c r="B1981" s="19" t="s">
        <v>2930</v>
      </c>
      <c r="C1981" s="19">
        <v>122105</v>
      </c>
      <c r="D1981" s="19" t="s">
        <v>2930</v>
      </c>
      <c r="E1981" s="19">
        <v>2063</v>
      </c>
      <c r="F1981" s="19" t="s">
        <v>31</v>
      </c>
      <c r="G1981" s="19" t="s">
        <v>2931</v>
      </c>
      <c r="H1981" s="35">
        <v>46224</v>
      </c>
      <c r="I1981" t="s">
        <v>14</v>
      </c>
      <c r="J1981" t="e">
        <f>VLOOKUP(E1981,'Room Count'!A$2:B$2616,2,FALSE)</f>
        <v>#N/A</v>
      </c>
    </row>
    <row r="1982" spans="1:10" hidden="1">
      <c r="A1982" s="19" t="s">
        <v>48</v>
      </c>
      <c r="B1982" s="19" t="s">
        <v>2932</v>
      </c>
      <c r="C1982" s="19">
        <v>122071</v>
      </c>
      <c r="D1982" s="19" t="s">
        <v>2932</v>
      </c>
      <c r="E1982" s="19">
        <v>2046</v>
      </c>
      <c r="F1982" s="19" t="s">
        <v>31</v>
      </c>
      <c r="G1982" s="19" t="s">
        <v>2933</v>
      </c>
      <c r="H1982" s="35">
        <v>46224</v>
      </c>
      <c r="I1982" t="s">
        <v>14</v>
      </c>
      <c r="J1982" t="e">
        <f>VLOOKUP(E1982,'Room Count'!A$2:B$2616,2,FALSE)</f>
        <v>#N/A</v>
      </c>
    </row>
    <row r="1983" spans="1:10" hidden="1">
      <c r="A1983" s="19" t="s">
        <v>48</v>
      </c>
      <c r="B1983" s="19" t="s">
        <v>2934</v>
      </c>
      <c r="C1983" s="19">
        <v>122053</v>
      </c>
      <c r="D1983" s="19" t="s">
        <v>2934</v>
      </c>
      <c r="E1983" s="19">
        <v>2037</v>
      </c>
      <c r="F1983" s="19" t="s">
        <v>31</v>
      </c>
      <c r="G1983" s="19" t="s">
        <v>2935</v>
      </c>
      <c r="H1983" s="35">
        <v>46224</v>
      </c>
      <c r="I1983" t="s">
        <v>14</v>
      </c>
      <c r="J1983" t="e">
        <f>VLOOKUP(E1983,'Room Count'!A$2:B$2616,2,FALSE)</f>
        <v>#N/A</v>
      </c>
    </row>
    <row r="1984" spans="1:10" hidden="1">
      <c r="A1984" s="19" t="s">
        <v>48</v>
      </c>
      <c r="B1984" s="19" t="s">
        <v>2936</v>
      </c>
      <c r="C1984" s="19">
        <v>122171</v>
      </c>
      <c r="D1984" s="19" t="s">
        <v>2936</v>
      </c>
      <c r="E1984" s="19">
        <v>2096</v>
      </c>
      <c r="F1984" s="19" t="s">
        <v>31</v>
      </c>
      <c r="G1984" s="19" t="s">
        <v>2937</v>
      </c>
      <c r="H1984" s="35">
        <v>46224</v>
      </c>
      <c r="I1984" t="s">
        <v>14</v>
      </c>
      <c r="J1984" t="e">
        <f>VLOOKUP(E1984,'Room Count'!A$2:B$2616,2,FALSE)</f>
        <v>#N/A</v>
      </c>
    </row>
    <row r="1985" spans="1:10" hidden="1">
      <c r="A1985" s="19" t="s">
        <v>48</v>
      </c>
      <c r="B1985" s="19" t="s">
        <v>2938</v>
      </c>
      <c r="C1985" s="19">
        <v>122089</v>
      </c>
      <c r="D1985" s="19" t="s">
        <v>2938</v>
      </c>
      <c r="E1985" s="19">
        <v>2055</v>
      </c>
      <c r="F1985" s="19" t="s">
        <v>31</v>
      </c>
      <c r="G1985" s="19" t="s">
        <v>2575</v>
      </c>
      <c r="H1985" s="35">
        <v>46224</v>
      </c>
      <c r="I1985" t="s">
        <v>14</v>
      </c>
      <c r="J1985" t="e">
        <f>VLOOKUP(E1985,'Room Count'!A$2:B$2616,2,FALSE)</f>
        <v>#N/A</v>
      </c>
    </row>
    <row r="1986" spans="1:10" hidden="1">
      <c r="A1986" s="19" t="s">
        <v>48</v>
      </c>
      <c r="B1986" s="19" t="s">
        <v>2939</v>
      </c>
      <c r="C1986" s="19">
        <v>213365</v>
      </c>
      <c r="D1986" s="19" t="s">
        <v>2939</v>
      </c>
      <c r="E1986" s="19">
        <v>2179</v>
      </c>
      <c r="F1986" s="19" t="s">
        <v>30</v>
      </c>
      <c r="G1986" s="19" t="s">
        <v>2940</v>
      </c>
      <c r="H1986" s="35">
        <v>46224</v>
      </c>
      <c r="I1986" t="s">
        <v>14</v>
      </c>
      <c r="J1986" t="e">
        <f>VLOOKUP(E1986,'Room Count'!A$2:B$2616,2,FALSE)</f>
        <v>#N/A</v>
      </c>
    </row>
    <row r="1987" spans="1:10" hidden="1">
      <c r="A1987" s="19" t="s">
        <v>48</v>
      </c>
      <c r="B1987" s="19" t="s">
        <v>2941</v>
      </c>
      <c r="C1987" s="19">
        <v>122069</v>
      </c>
      <c r="D1987" s="19" t="s">
        <v>2941</v>
      </c>
      <c r="E1987" s="19">
        <v>2045</v>
      </c>
      <c r="F1987" s="19" t="s">
        <v>31</v>
      </c>
      <c r="G1987" s="19" t="s">
        <v>2942</v>
      </c>
      <c r="H1987" s="35">
        <v>46224</v>
      </c>
      <c r="I1987" t="s">
        <v>14</v>
      </c>
      <c r="J1987" t="e">
        <f>VLOOKUP(E1987,'Room Count'!A$2:B$2616,2,FALSE)</f>
        <v>#N/A</v>
      </c>
    </row>
    <row r="1988" spans="1:10" hidden="1">
      <c r="A1988" s="19" t="s">
        <v>48</v>
      </c>
      <c r="B1988" s="19" t="s">
        <v>2943</v>
      </c>
      <c r="C1988" s="19">
        <v>122119</v>
      </c>
      <c r="D1988" s="19" t="s">
        <v>2943</v>
      </c>
      <c r="E1988" s="19">
        <v>2070</v>
      </c>
      <c r="F1988" s="19" t="s">
        <v>31</v>
      </c>
      <c r="G1988" s="19" t="s">
        <v>2944</v>
      </c>
      <c r="H1988" s="35">
        <v>46224</v>
      </c>
      <c r="I1988" t="s">
        <v>14</v>
      </c>
      <c r="J1988" t="e">
        <f>VLOOKUP(E1988,'Room Count'!A$2:B$2616,2,FALSE)</f>
        <v>#N/A</v>
      </c>
    </row>
    <row r="1989" spans="1:10" hidden="1">
      <c r="A1989" s="19" t="s">
        <v>48</v>
      </c>
      <c r="B1989" s="19" t="s">
        <v>2945</v>
      </c>
      <c r="C1989" s="19">
        <v>213335</v>
      </c>
      <c r="D1989" s="19" t="s">
        <v>2945</v>
      </c>
      <c r="E1989" s="19">
        <v>2164</v>
      </c>
      <c r="F1989" s="19" t="s">
        <v>30</v>
      </c>
      <c r="G1989" s="19" t="s">
        <v>2946</v>
      </c>
      <c r="H1989" s="35">
        <v>46224</v>
      </c>
      <c r="I1989" t="s">
        <v>14</v>
      </c>
      <c r="J1989" t="e">
        <f>VLOOKUP(E1989,'Room Count'!A$2:B$2616,2,FALSE)</f>
        <v>#N/A</v>
      </c>
    </row>
    <row r="1990" spans="1:10" hidden="1">
      <c r="A1990" s="19" t="s">
        <v>48</v>
      </c>
      <c r="B1990" s="19" t="s">
        <v>2947</v>
      </c>
      <c r="C1990" s="19">
        <v>213323</v>
      </c>
      <c r="D1990" s="19" t="s">
        <v>2947</v>
      </c>
      <c r="E1990" s="19">
        <v>2158</v>
      </c>
      <c r="F1990" s="19" t="s">
        <v>30</v>
      </c>
      <c r="G1990" s="19" t="s">
        <v>2948</v>
      </c>
      <c r="H1990" s="35">
        <v>46224</v>
      </c>
      <c r="I1990" t="s">
        <v>14</v>
      </c>
      <c r="J1990" t="e">
        <f>VLOOKUP(E1990,'Room Count'!A$2:B$2616,2,FALSE)</f>
        <v>#N/A</v>
      </c>
    </row>
    <row r="1991" spans="1:10" hidden="1">
      <c r="A1991" s="19" t="s">
        <v>48</v>
      </c>
      <c r="B1991" s="19" t="s">
        <v>2949</v>
      </c>
      <c r="C1991" s="19">
        <v>213339</v>
      </c>
      <c r="D1991" s="19" t="s">
        <v>2949</v>
      </c>
      <c r="E1991" s="19">
        <v>2166</v>
      </c>
      <c r="F1991" s="19" t="s">
        <v>30</v>
      </c>
      <c r="G1991" s="19" t="s">
        <v>2950</v>
      </c>
      <c r="H1991" s="35">
        <v>46224</v>
      </c>
      <c r="I1991" t="s">
        <v>14</v>
      </c>
      <c r="J1991" t="e">
        <f>VLOOKUP(E1991,'Room Count'!A$2:B$2616,2,FALSE)</f>
        <v>#N/A</v>
      </c>
    </row>
    <row r="1992" spans="1:10" hidden="1">
      <c r="A1992" s="19" t="s">
        <v>48</v>
      </c>
      <c r="B1992" s="19" t="s">
        <v>2951</v>
      </c>
      <c r="C1992" s="19">
        <v>213363</v>
      </c>
      <c r="D1992" s="19" t="s">
        <v>2951</v>
      </c>
      <c r="E1992" s="19">
        <v>2178</v>
      </c>
      <c r="F1992" s="19" t="s">
        <v>30</v>
      </c>
      <c r="G1992" s="19" t="s">
        <v>2952</v>
      </c>
      <c r="H1992" s="35">
        <v>46224</v>
      </c>
      <c r="I1992" t="s">
        <v>14</v>
      </c>
      <c r="J1992" t="e">
        <f>VLOOKUP(E1992,'Room Count'!A$2:B$2616,2,FALSE)</f>
        <v>#N/A</v>
      </c>
    </row>
    <row r="1993" spans="1:10" hidden="1">
      <c r="A1993" s="19" t="s">
        <v>48</v>
      </c>
      <c r="B1993" s="19" t="s">
        <v>2953</v>
      </c>
      <c r="C1993" s="19">
        <v>213345</v>
      </c>
      <c r="D1993" s="19" t="s">
        <v>2953</v>
      </c>
      <c r="E1993" s="19">
        <v>2169</v>
      </c>
      <c r="F1993" s="19" t="s">
        <v>30</v>
      </c>
      <c r="G1993" s="19" t="s">
        <v>2954</v>
      </c>
      <c r="H1993" s="35">
        <v>46224</v>
      </c>
      <c r="I1993" t="s">
        <v>14</v>
      </c>
      <c r="J1993" t="e">
        <f>VLOOKUP(E1993,'Room Count'!A$2:B$2616,2,FALSE)</f>
        <v>#N/A</v>
      </c>
    </row>
    <row r="1994" spans="1:10" hidden="1">
      <c r="A1994" s="19" t="s">
        <v>48</v>
      </c>
      <c r="B1994" s="19" t="s">
        <v>2955</v>
      </c>
      <c r="C1994" s="19">
        <v>122035</v>
      </c>
      <c r="D1994" s="19" t="s">
        <v>2955</v>
      </c>
      <c r="E1994" s="19">
        <v>2028</v>
      </c>
      <c r="F1994" s="19" t="s">
        <v>31</v>
      </c>
      <c r="G1994" s="19" t="s">
        <v>2956</v>
      </c>
      <c r="H1994" s="35">
        <v>46224</v>
      </c>
      <c r="I1994" t="s">
        <v>14</v>
      </c>
      <c r="J1994" t="e">
        <f>VLOOKUP(E1994,'Room Count'!A$2:B$2616,2,FALSE)</f>
        <v>#N/A</v>
      </c>
    </row>
    <row r="1995" spans="1:10" hidden="1">
      <c r="A1995" s="19" t="s">
        <v>48</v>
      </c>
      <c r="B1995" s="19" t="s">
        <v>2957</v>
      </c>
      <c r="C1995" s="19">
        <v>122195</v>
      </c>
      <c r="D1995" s="19" t="s">
        <v>2957</v>
      </c>
      <c r="E1995" s="19">
        <v>2108</v>
      </c>
      <c r="F1995" s="19" t="s">
        <v>31</v>
      </c>
      <c r="G1995" s="19" t="s">
        <v>2958</v>
      </c>
      <c r="H1995" s="35">
        <v>46224</v>
      </c>
      <c r="I1995" t="s">
        <v>14</v>
      </c>
      <c r="J1995" t="e">
        <f>VLOOKUP(E1995,'Room Count'!A$2:B$2616,2,FALSE)</f>
        <v>#N/A</v>
      </c>
    </row>
    <row r="1996" spans="1:10" hidden="1">
      <c r="A1996" s="19" t="s">
        <v>48</v>
      </c>
      <c r="B1996" s="19" t="s">
        <v>2959</v>
      </c>
      <c r="C1996" s="19">
        <v>122009</v>
      </c>
      <c r="D1996" s="19" t="s">
        <v>2959</v>
      </c>
      <c r="E1996" s="19">
        <v>2015</v>
      </c>
      <c r="F1996" s="19" t="s">
        <v>31</v>
      </c>
      <c r="G1996" s="19" t="s">
        <v>2960</v>
      </c>
      <c r="H1996" s="35">
        <v>46224</v>
      </c>
      <c r="I1996" t="s">
        <v>14</v>
      </c>
      <c r="J1996" t="e">
        <f>VLOOKUP(E1996,'Room Count'!A$2:B$2616,2,FALSE)</f>
        <v>#N/A</v>
      </c>
    </row>
    <row r="1997" spans="1:10" hidden="1">
      <c r="A1997" s="19" t="s">
        <v>48</v>
      </c>
      <c r="B1997" s="19" t="s">
        <v>2961</v>
      </c>
      <c r="C1997" s="19">
        <v>213283</v>
      </c>
      <c r="D1997" s="19" t="s">
        <v>2961</v>
      </c>
      <c r="E1997" s="19">
        <v>2133</v>
      </c>
      <c r="F1997" s="19" t="s">
        <v>30</v>
      </c>
      <c r="G1997" s="19" t="s">
        <v>2962</v>
      </c>
      <c r="H1997" s="35">
        <v>46224</v>
      </c>
      <c r="I1997" t="s">
        <v>14</v>
      </c>
      <c r="J1997" t="e">
        <f>VLOOKUP(E1997,'Room Count'!A$2:B$2616,2,FALSE)</f>
        <v>#N/A</v>
      </c>
    </row>
    <row r="1998" spans="1:10" hidden="1">
      <c r="A1998" s="19" t="s">
        <v>48</v>
      </c>
      <c r="B1998" s="19" t="s">
        <v>2963</v>
      </c>
      <c r="C1998" s="19">
        <v>122083</v>
      </c>
      <c r="D1998" s="19" t="s">
        <v>2963</v>
      </c>
      <c r="E1998" s="19">
        <v>2052</v>
      </c>
      <c r="F1998" s="19" t="s">
        <v>31</v>
      </c>
      <c r="G1998" s="19" t="s">
        <v>2964</v>
      </c>
      <c r="H1998" s="35">
        <v>46224</v>
      </c>
      <c r="I1998" t="s">
        <v>14</v>
      </c>
      <c r="J1998" t="e">
        <f>VLOOKUP(E1998,'Room Count'!A$2:B$2616,2,FALSE)</f>
        <v>#N/A</v>
      </c>
    </row>
    <row r="1999" spans="1:10" hidden="1">
      <c r="A1999" s="19" t="s">
        <v>48</v>
      </c>
      <c r="B1999" s="19" t="s">
        <v>2965</v>
      </c>
      <c r="C1999" s="19">
        <v>213249</v>
      </c>
      <c r="D1999" s="19" t="s">
        <v>2965</v>
      </c>
      <c r="E1999" s="19">
        <v>2114</v>
      </c>
      <c r="F1999" s="19" t="s">
        <v>30</v>
      </c>
      <c r="G1999" s="19" t="s">
        <v>2966</v>
      </c>
      <c r="H1999" s="35">
        <v>46224</v>
      </c>
      <c r="I1999" t="s">
        <v>14</v>
      </c>
      <c r="J1999" t="e">
        <f>VLOOKUP(E1999,'Room Count'!A$2:B$2616,2,FALSE)</f>
        <v>#N/A</v>
      </c>
    </row>
    <row r="2000" spans="1:10" hidden="1">
      <c r="A2000" s="19" t="s">
        <v>48</v>
      </c>
      <c r="B2000" s="19" t="s">
        <v>2967</v>
      </c>
      <c r="C2000" s="19">
        <v>213319</v>
      </c>
      <c r="D2000" s="19" t="s">
        <v>2967</v>
      </c>
      <c r="E2000" s="19">
        <v>2155</v>
      </c>
      <c r="F2000" s="19" t="s">
        <v>30</v>
      </c>
      <c r="G2000" s="19" t="s">
        <v>2968</v>
      </c>
      <c r="H2000" s="35">
        <v>46224</v>
      </c>
      <c r="I2000" t="s">
        <v>14</v>
      </c>
      <c r="J2000" t="e">
        <f>VLOOKUP(E2000,'Room Count'!A$2:B$2616,2,FALSE)</f>
        <v>#N/A</v>
      </c>
    </row>
    <row r="2001" spans="1:10" hidden="1">
      <c r="A2001" s="19" t="s">
        <v>48</v>
      </c>
      <c r="B2001" s="19" t="s">
        <v>2969</v>
      </c>
      <c r="C2001" s="19">
        <v>213265</v>
      </c>
      <c r="D2001" s="19" t="s">
        <v>2969</v>
      </c>
      <c r="E2001" s="19">
        <v>2124</v>
      </c>
      <c r="F2001" s="19" t="s">
        <v>30</v>
      </c>
      <c r="G2001" s="19" t="s">
        <v>2970</v>
      </c>
      <c r="H2001" s="35">
        <v>46224</v>
      </c>
      <c r="I2001" t="s">
        <v>14</v>
      </c>
      <c r="J2001" t="e">
        <f>VLOOKUP(E2001,'Room Count'!A$2:B$2616,2,FALSE)</f>
        <v>#N/A</v>
      </c>
    </row>
    <row r="2002" spans="1:10" hidden="1">
      <c r="A2002" s="19" t="s">
        <v>48</v>
      </c>
      <c r="B2002" s="19" t="s">
        <v>2971</v>
      </c>
      <c r="C2002" s="19">
        <v>122013</v>
      </c>
      <c r="D2002" s="19" t="s">
        <v>2971</v>
      </c>
      <c r="E2002" s="19">
        <v>2017</v>
      </c>
      <c r="F2002" s="19" t="s">
        <v>31</v>
      </c>
      <c r="G2002" s="19" t="s">
        <v>2972</v>
      </c>
      <c r="H2002" s="35">
        <v>46224</v>
      </c>
      <c r="I2002" t="s">
        <v>14</v>
      </c>
      <c r="J2002" t="e">
        <f>VLOOKUP(E2002,'Room Count'!A$2:B$2616,2,FALSE)</f>
        <v>#N/A</v>
      </c>
    </row>
    <row r="2003" spans="1:10" hidden="1">
      <c r="A2003" s="19" t="s">
        <v>48</v>
      </c>
      <c r="B2003" s="19" t="s">
        <v>2973</v>
      </c>
      <c r="C2003" s="19">
        <v>122207</v>
      </c>
      <c r="D2003" s="19" t="s">
        <v>2973</v>
      </c>
      <c r="E2003" s="19">
        <v>2120</v>
      </c>
      <c r="F2003" s="19" t="s">
        <v>31</v>
      </c>
      <c r="G2003" s="19" t="s">
        <v>2974</v>
      </c>
      <c r="H2003" s="35">
        <v>46224</v>
      </c>
      <c r="I2003" t="s">
        <v>14</v>
      </c>
      <c r="J2003" t="e">
        <f>VLOOKUP(E2003,'Room Count'!A$2:B$2616,2,FALSE)</f>
        <v>#N/A</v>
      </c>
    </row>
    <row r="2004" spans="1:10" hidden="1">
      <c r="A2004" s="19" t="s">
        <v>48</v>
      </c>
      <c r="B2004" s="19" t="s">
        <v>2975</v>
      </c>
      <c r="C2004" s="19">
        <v>213303</v>
      </c>
      <c r="D2004" s="19" t="s">
        <v>2975</v>
      </c>
      <c r="E2004" s="19">
        <v>2146</v>
      </c>
      <c r="F2004" s="19" t="s">
        <v>30</v>
      </c>
      <c r="G2004" s="19" t="s">
        <v>2976</v>
      </c>
      <c r="H2004" s="35">
        <v>46224</v>
      </c>
      <c r="I2004" t="s">
        <v>14</v>
      </c>
      <c r="J2004" t="e">
        <f>VLOOKUP(E2004,'Room Count'!A$2:B$2616,2,FALSE)</f>
        <v>#N/A</v>
      </c>
    </row>
    <row r="2005" spans="1:10" hidden="1">
      <c r="A2005" s="19" t="s">
        <v>48</v>
      </c>
      <c r="B2005" s="19" t="s">
        <v>2977</v>
      </c>
      <c r="C2005" s="19">
        <v>122139</v>
      </c>
      <c r="D2005" s="19" t="s">
        <v>2977</v>
      </c>
      <c r="E2005" s="19">
        <v>2080</v>
      </c>
      <c r="F2005" s="19" t="s">
        <v>31</v>
      </c>
      <c r="G2005" s="19" t="s">
        <v>2978</v>
      </c>
      <c r="H2005" s="35">
        <v>46224</v>
      </c>
      <c r="I2005" t="s">
        <v>14</v>
      </c>
      <c r="J2005" t="e">
        <f>VLOOKUP(E2005,'Room Count'!A$2:B$2616,2,FALSE)</f>
        <v>#N/A</v>
      </c>
    </row>
    <row r="2006" spans="1:10" hidden="1">
      <c r="A2006" s="19" t="s">
        <v>48</v>
      </c>
      <c r="B2006" s="19" t="s">
        <v>2979</v>
      </c>
      <c r="C2006" s="19">
        <v>122191</v>
      </c>
      <c r="D2006" s="19" t="s">
        <v>2979</v>
      </c>
      <c r="E2006" s="19">
        <v>2106</v>
      </c>
      <c r="F2006" s="19" t="s">
        <v>31</v>
      </c>
      <c r="G2006" s="19" t="s">
        <v>2980</v>
      </c>
      <c r="H2006" s="35">
        <v>46224</v>
      </c>
      <c r="I2006" t="s">
        <v>14</v>
      </c>
      <c r="J2006" t="e">
        <f>VLOOKUP(E2006,'Room Count'!A$2:B$2616,2,FALSE)</f>
        <v>#N/A</v>
      </c>
    </row>
    <row r="2007" spans="1:10" hidden="1">
      <c r="A2007" s="19" t="s">
        <v>48</v>
      </c>
      <c r="B2007" s="19" t="s">
        <v>2981</v>
      </c>
      <c r="C2007" s="19">
        <v>122033</v>
      </c>
      <c r="D2007" s="19" t="s">
        <v>2981</v>
      </c>
      <c r="E2007" s="19">
        <v>2027</v>
      </c>
      <c r="F2007" s="19" t="s">
        <v>31</v>
      </c>
      <c r="G2007" s="19" t="s">
        <v>2982</v>
      </c>
      <c r="H2007" s="35">
        <v>46224</v>
      </c>
      <c r="I2007" t="s">
        <v>14</v>
      </c>
      <c r="J2007" t="e">
        <f>VLOOKUP(E2007,'Room Count'!A$2:B$2616,2,FALSE)</f>
        <v>#N/A</v>
      </c>
    </row>
    <row r="2008" spans="1:10" hidden="1">
      <c r="A2008" s="19" t="s">
        <v>48</v>
      </c>
      <c r="B2008" s="19" t="s">
        <v>2983</v>
      </c>
      <c r="C2008" s="19">
        <v>122205</v>
      </c>
      <c r="D2008" s="19" t="s">
        <v>2983</v>
      </c>
      <c r="E2008" s="19">
        <v>2118</v>
      </c>
      <c r="F2008" s="19" t="s">
        <v>31</v>
      </c>
      <c r="G2008" s="19" t="s">
        <v>2984</v>
      </c>
      <c r="H2008" s="35">
        <v>46224</v>
      </c>
      <c r="I2008" t="s">
        <v>14</v>
      </c>
      <c r="J2008" t="e">
        <f>VLOOKUP(E2008,'Room Count'!A$2:B$2616,2,FALSE)</f>
        <v>#N/A</v>
      </c>
    </row>
    <row r="2009" spans="1:10" hidden="1">
      <c r="A2009" s="19" t="s">
        <v>48</v>
      </c>
      <c r="B2009" s="19" t="s">
        <v>2985</v>
      </c>
      <c r="C2009" s="19">
        <v>122211</v>
      </c>
      <c r="D2009" s="19" t="s">
        <v>2985</v>
      </c>
      <c r="E2009" s="19">
        <v>2140</v>
      </c>
      <c r="F2009" s="19" t="s">
        <v>31</v>
      </c>
      <c r="G2009" s="19" t="s">
        <v>2986</v>
      </c>
      <c r="H2009" s="35">
        <v>46224</v>
      </c>
      <c r="I2009" t="s">
        <v>14</v>
      </c>
      <c r="J2009" t="e">
        <f>VLOOKUP(E2009,'Room Count'!A$2:B$2616,2,FALSE)</f>
        <v>#N/A</v>
      </c>
    </row>
    <row r="2010" spans="1:10" hidden="1">
      <c r="A2010" s="19" t="s">
        <v>48</v>
      </c>
      <c r="B2010" s="19" t="s">
        <v>2987</v>
      </c>
      <c r="C2010" s="19">
        <v>122201</v>
      </c>
      <c r="D2010" s="19" t="s">
        <v>2987</v>
      </c>
      <c r="E2010" s="19">
        <v>2111</v>
      </c>
      <c r="F2010" s="19" t="s">
        <v>31</v>
      </c>
      <c r="G2010" s="19" t="s">
        <v>2988</v>
      </c>
      <c r="H2010" s="35">
        <v>46224</v>
      </c>
      <c r="I2010" t="s">
        <v>14</v>
      </c>
      <c r="J2010" t="e">
        <f>VLOOKUP(E2010,'Room Count'!A$2:B$2616,2,FALSE)</f>
        <v>#N/A</v>
      </c>
    </row>
    <row r="2011" spans="1:10" hidden="1">
      <c r="A2011" s="19" t="s">
        <v>48</v>
      </c>
      <c r="B2011" s="19" t="s">
        <v>2989</v>
      </c>
      <c r="C2011" s="19">
        <v>122213</v>
      </c>
      <c r="D2011" s="19" t="s">
        <v>2989</v>
      </c>
      <c r="E2011" s="19">
        <v>2141</v>
      </c>
      <c r="F2011" s="19" t="s">
        <v>31</v>
      </c>
      <c r="G2011" s="19" t="s">
        <v>2990</v>
      </c>
      <c r="H2011" s="35">
        <v>46224</v>
      </c>
      <c r="I2011" t="s">
        <v>14</v>
      </c>
      <c r="J2011" t="e">
        <f>VLOOKUP(E2011,'Room Count'!A$2:B$2616,2,FALSE)</f>
        <v>#N/A</v>
      </c>
    </row>
    <row r="2012" spans="1:10" hidden="1">
      <c r="A2012" s="19" t="s">
        <v>48</v>
      </c>
      <c r="B2012" s="19" t="s">
        <v>2991</v>
      </c>
      <c r="C2012" s="19">
        <v>122011</v>
      </c>
      <c r="D2012" s="19" t="s">
        <v>2991</v>
      </c>
      <c r="E2012" s="19">
        <v>2016</v>
      </c>
      <c r="F2012" s="19" t="s">
        <v>31</v>
      </c>
      <c r="G2012" s="19" t="s">
        <v>2992</v>
      </c>
      <c r="H2012" s="35">
        <v>46224</v>
      </c>
      <c r="I2012" t="s">
        <v>14</v>
      </c>
      <c r="J2012" t="e">
        <f>VLOOKUP(E2012,'Room Count'!A$2:B$2616,2,FALSE)</f>
        <v>#N/A</v>
      </c>
    </row>
    <row r="2013" spans="1:10" hidden="1">
      <c r="A2013" s="19" t="s">
        <v>48</v>
      </c>
      <c r="B2013" s="19" t="s">
        <v>2993</v>
      </c>
      <c r="C2013" s="19">
        <v>122029</v>
      </c>
      <c r="D2013" s="19" t="s">
        <v>2993</v>
      </c>
      <c r="E2013" s="19">
        <v>2025</v>
      </c>
      <c r="F2013" s="19" t="s">
        <v>31</v>
      </c>
      <c r="G2013" s="19" t="s">
        <v>2994</v>
      </c>
      <c r="H2013" s="35">
        <v>46224</v>
      </c>
      <c r="I2013" t="s">
        <v>14</v>
      </c>
      <c r="J2013" t="e">
        <f>VLOOKUP(E2013,'Room Count'!A$2:B$2616,2,FALSE)</f>
        <v>#N/A</v>
      </c>
    </row>
    <row r="2014" spans="1:10" hidden="1">
      <c r="A2014" s="19" t="s">
        <v>48</v>
      </c>
      <c r="B2014" s="19" t="s">
        <v>2995</v>
      </c>
      <c r="C2014" s="19">
        <v>122149</v>
      </c>
      <c r="D2014" s="19" t="s">
        <v>2995</v>
      </c>
      <c r="E2014" s="19">
        <v>2085</v>
      </c>
      <c r="F2014" s="19" t="s">
        <v>31</v>
      </c>
      <c r="G2014" s="19" t="s">
        <v>2996</v>
      </c>
      <c r="H2014" s="35">
        <v>46224</v>
      </c>
      <c r="I2014" t="s">
        <v>14</v>
      </c>
      <c r="J2014" t="e">
        <f>VLOOKUP(E2014,'Room Count'!A$2:B$2616,2,FALSE)</f>
        <v>#N/A</v>
      </c>
    </row>
    <row r="2015" spans="1:10" hidden="1">
      <c r="A2015" s="19" t="s">
        <v>48</v>
      </c>
      <c r="B2015" s="19" t="s">
        <v>2997</v>
      </c>
      <c r="C2015" s="19">
        <v>122157</v>
      </c>
      <c r="D2015" s="19" t="s">
        <v>2997</v>
      </c>
      <c r="E2015" s="19">
        <v>2089</v>
      </c>
      <c r="F2015" s="19" t="s">
        <v>31</v>
      </c>
      <c r="G2015" s="19" t="s">
        <v>2998</v>
      </c>
      <c r="H2015" s="35">
        <v>46224</v>
      </c>
      <c r="I2015" t="s">
        <v>14</v>
      </c>
      <c r="J2015" t="e">
        <f>VLOOKUP(E2015,'Room Count'!A$2:B$2616,2,FALSE)</f>
        <v>#N/A</v>
      </c>
    </row>
    <row r="2016" spans="1:10" hidden="1">
      <c r="A2016" s="19" t="s">
        <v>48</v>
      </c>
      <c r="B2016" s="19" t="s">
        <v>2999</v>
      </c>
      <c r="C2016" s="19">
        <v>213361</v>
      </c>
      <c r="D2016" s="19" t="s">
        <v>2999</v>
      </c>
      <c r="E2016" s="19">
        <v>2177</v>
      </c>
      <c r="F2016" s="19" t="s">
        <v>30</v>
      </c>
      <c r="G2016" s="19" t="s">
        <v>3000</v>
      </c>
      <c r="H2016" s="35">
        <v>46224</v>
      </c>
      <c r="I2016" t="s">
        <v>14</v>
      </c>
      <c r="J2016" t="e">
        <f>VLOOKUP(E2016,'Room Count'!A$2:B$2616,2,FALSE)</f>
        <v>#N/A</v>
      </c>
    </row>
    <row r="2017" spans="1:10" hidden="1">
      <c r="A2017" s="19" t="s">
        <v>48</v>
      </c>
      <c r="B2017" s="19" t="s">
        <v>3001</v>
      </c>
      <c r="C2017" s="19">
        <v>213325</v>
      </c>
      <c r="D2017" s="19" t="s">
        <v>3001</v>
      </c>
      <c r="E2017" s="19">
        <v>2159</v>
      </c>
      <c r="F2017" s="19" t="s">
        <v>30</v>
      </c>
      <c r="G2017" s="19" t="s">
        <v>3002</v>
      </c>
      <c r="H2017" s="35">
        <v>46224</v>
      </c>
      <c r="I2017" t="s">
        <v>14</v>
      </c>
      <c r="J2017" t="e">
        <f>VLOOKUP(E2017,'Room Count'!A$2:B$2616,2,FALSE)</f>
        <v>#N/A</v>
      </c>
    </row>
    <row r="2018" spans="1:10" hidden="1">
      <c r="A2018" s="19" t="s">
        <v>48</v>
      </c>
      <c r="B2018" s="19" t="s">
        <v>3003</v>
      </c>
      <c r="C2018" s="19">
        <v>213353</v>
      </c>
      <c r="D2018" s="19" t="s">
        <v>3003</v>
      </c>
      <c r="E2018" s="19">
        <v>2173</v>
      </c>
      <c r="F2018" s="19" t="s">
        <v>30</v>
      </c>
      <c r="G2018" s="19" t="s">
        <v>3004</v>
      </c>
      <c r="H2018" s="35">
        <v>46224</v>
      </c>
      <c r="I2018" t="s">
        <v>14</v>
      </c>
      <c r="J2018" t="e">
        <f>VLOOKUP(E2018,'Room Count'!A$2:B$2616,2,FALSE)</f>
        <v>#N/A</v>
      </c>
    </row>
    <row r="2019" spans="1:10" hidden="1">
      <c r="A2019" s="19" t="s">
        <v>48</v>
      </c>
      <c r="B2019" s="19" t="s">
        <v>3005</v>
      </c>
      <c r="C2019" s="19">
        <v>213301</v>
      </c>
      <c r="D2019" s="19" t="s">
        <v>3005</v>
      </c>
      <c r="E2019" s="19">
        <v>2145</v>
      </c>
      <c r="F2019" s="19" t="s">
        <v>30</v>
      </c>
      <c r="G2019" s="19" t="s">
        <v>3006</v>
      </c>
      <c r="H2019" s="35">
        <v>46224</v>
      </c>
      <c r="I2019" t="s">
        <v>14</v>
      </c>
      <c r="J2019" t="e">
        <f>VLOOKUP(E2019,'Room Count'!A$2:B$2616,2,FALSE)</f>
        <v>#N/A</v>
      </c>
    </row>
    <row r="2020" spans="1:10" hidden="1">
      <c r="A2020" s="19" t="s">
        <v>48</v>
      </c>
      <c r="B2020" s="19" t="s">
        <v>3007</v>
      </c>
      <c r="C2020" s="19">
        <v>122045</v>
      </c>
      <c r="D2020" s="19" t="s">
        <v>3007</v>
      </c>
      <c r="E2020" s="19">
        <v>2033</v>
      </c>
      <c r="F2020" s="19" t="s">
        <v>31</v>
      </c>
      <c r="G2020" s="19" t="s">
        <v>3008</v>
      </c>
      <c r="H2020" s="35">
        <v>46224</v>
      </c>
      <c r="I2020" t="s">
        <v>14</v>
      </c>
      <c r="J2020" t="e">
        <f>VLOOKUP(E2020,'Room Count'!A$2:B$2616,2,FALSE)</f>
        <v>#N/A</v>
      </c>
    </row>
    <row r="2021" spans="1:10" hidden="1">
      <c r="A2021" s="19" t="s">
        <v>48</v>
      </c>
      <c r="B2021" s="19" t="s">
        <v>3009</v>
      </c>
      <c r="C2021" s="19">
        <v>122099</v>
      </c>
      <c r="D2021" s="19" t="s">
        <v>3009</v>
      </c>
      <c r="E2021" s="19">
        <v>2060</v>
      </c>
      <c r="F2021" s="19" t="s">
        <v>31</v>
      </c>
      <c r="G2021" s="19" t="s">
        <v>3010</v>
      </c>
      <c r="H2021" s="35">
        <v>46224</v>
      </c>
      <c r="I2021" t="s">
        <v>14</v>
      </c>
      <c r="J2021" t="e">
        <f>VLOOKUP(E2021,'Room Count'!A$2:B$2616,2,FALSE)</f>
        <v>#N/A</v>
      </c>
    </row>
    <row r="2022" spans="1:10" hidden="1">
      <c r="A2022" s="19" t="s">
        <v>48</v>
      </c>
      <c r="B2022" s="19" t="s">
        <v>3011</v>
      </c>
      <c r="C2022" s="19">
        <v>122059</v>
      </c>
      <c r="D2022" s="19" t="s">
        <v>3011</v>
      </c>
      <c r="E2022" s="19">
        <v>2040</v>
      </c>
      <c r="F2022" s="19" t="s">
        <v>31</v>
      </c>
      <c r="G2022" s="19" t="s">
        <v>3012</v>
      </c>
      <c r="H2022" s="35">
        <v>46224</v>
      </c>
      <c r="I2022" t="s">
        <v>14</v>
      </c>
      <c r="J2022" t="e">
        <f>VLOOKUP(E2022,'Room Count'!A$2:B$2616,2,FALSE)</f>
        <v>#N/A</v>
      </c>
    </row>
    <row r="2023" spans="1:10" hidden="1">
      <c r="A2023" s="19" t="s">
        <v>48</v>
      </c>
      <c r="B2023" s="19" t="s">
        <v>3013</v>
      </c>
      <c r="C2023" s="19">
        <v>122091</v>
      </c>
      <c r="D2023" s="19" t="s">
        <v>3013</v>
      </c>
      <c r="E2023" s="19">
        <v>2056</v>
      </c>
      <c r="F2023" s="19" t="s">
        <v>31</v>
      </c>
      <c r="G2023" s="19" t="s">
        <v>3014</v>
      </c>
      <c r="H2023" s="35">
        <v>46224</v>
      </c>
      <c r="I2023" t="s">
        <v>14</v>
      </c>
      <c r="J2023" t="e">
        <f>VLOOKUP(E2023,'Room Count'!A$2:B$2616,2,FALSE)</f>
        <v>#N/A</v>
      </c>
    </row>
    <row r="2024" spans="1:10" hidden="1">
      <c r="A2024" s="19" t="s">
        <v>48</v>
      </c>
      <c r="B2024" s="19" t="s">
        <v>3015</v>
      </c>
      <c r="C2024" s="19">
        <v>122193</v>
      </c>
      <c r="D2024" s="19" t="s">
        <v>3015</v>
      </c>
      <c r="E2024" s="19">
        <v>2107</v>
      </c>
      <c r="F2024" s="19" t="s">
        <v>31</v>
      </c>
      <c r="G2024" s="19" t="s">
        <v>3016</v>
      </c>
      <c r="H2024" s="35">
        <v>46224</v>
      </c>
      <c r="I2024" t="s">
        <v>14</v>
      </c>
      <c r="J2024" t="e">
        <f>VLOOKUP(E2024,'Room Count'!A$2:B$2616,2,FALSE)</f>
        <v>#N/A</v>
      </c>
    </row>
    <row r="2025" spans="1:10" hidden="1">
      <c r="A2025" s="19" t="s">
        <v>48</v>
      </c>
      <c r="B2025" s="19" t="s">
        <v>3017</v>
      </c>
      <c r="C2025" s="19">
        <v>122151</v>
      </c>
      <c r="D2025" s="19" t="s">
        <v>3017</v>
      </c>
      <c r="E2025" s="19">
        <v>2086</v>
      </c>
      <c r="F2025" s="19" t="s">
        <v>31</v>
      </c>
      <c r="G2025" s="19" t="s">
        <v>3018</v>
      </c>
      <c r="H2025" s="35">
        <v>46224</v>
      </c>
      <c r="I2025" t="s">
        <v>14</v>
      </c>
      <c r="J2025" t="e">
        <f>VLOOKUP(E2025,'Room Count'!A$2:B$2616,2,FALSE)</f>
        <v>#N/A</v>
      </c>
    </row>
    <row r="2026" spans="1:10" hidden="1">
      <c r="A2026" s="19" t="s">
        <v>48</v>
      </c>
      <c r="B2026" s="19" t="s">
        <v>3019</v>
      </c>
      <c r="C2026" s="19">
        <v>122073</v>
      </c>
      <c r="D2026" s="19" t="s">
        <v>3019</v>
      </c>
      <c r="E2026" s="19">
        <v>2047</v>
      </c>
      <c r="F2026" s="19" t="s">
        <v>31</v>
      </c>
      <c r="G2026" s="19" t="s">
        <v>3020</v>
      </c>
      <c r="H2026" s="35">
        <v>46224</v>
      </c>
      <c r="I2026" t="s">
        <v>14</v>
      </c>
      <c r="J2026" t="e">
        <f>VLOOKUP(E2026,'Room Count'!A$2:B$2616,2,FALSE)</f>
        <v>#N/A</v>
      </c>
    </row>
    <row r="2027" spans="1:10" hidden="1">
      <c r="A2027" s="19" t="s">
        <v>48</v>
      </c>
      <c r="B2027" s="19" t="s">
        <v>3021</v>
      </c>
      <c r="C2027" s="19">
        <v>122023</v>
      </c>
      <c r="D2027" s="19" t="s">
        <v>3021</v>
      </c>
      <c r="E2027" s="19">
        <v>2022</v>
      </c>
      <c r="F2027" s="19" t="s">
        <v>31</v>
      </c>
      <c r="G2027" s="19" t="s">
        <v>3022</v>
      </c>
      <c r="H2027" s="35">
        <v>46224</v>
      </c>
      <c r="I2027" t="s">
        <v>14</v>
      </c>
      <c r="J2027" t="e">
        <f>VLOOKUP(E2027,'Room Count'!A$2:B$2616,2,FALSE)</f>
        <v>#N/A</v>
      </c>
    </row>
    <row r="2028" spans="1:10" hidden="1">
      <c r="A2028" s="19" t="s">
        <v>48</v>
      </c>
      <c r="B2028" s="19" t="s">
        <v>3023</v>
      </c>
      <c r="C2028" s="19">
        <v>122135</v>
      </c>
      <c r="D2028" s="19" t="s">
        <v>3023</v>
      </c>
      <c r="E2028" s="19">
        <v>2078</v>
      </c>
      <c r="F2028" s="19" t="s">
        <v>31</v>
      </c>
      <c r="G2028" s="19" t="s">
        <v>3024</v>
      </c>
      <c r="H2028" s="35">
        <v>46224</v>
      </c>
      <c r="I2028" t="s">
        <v>14</v>
      </c>
      <c r="J2028" t="e">
        <f>VLOOKUP(E2028,'Room Count'!A$2:B$2616,2,FALSE)</f>
        <v>#N/A</v>
      </c>
    </row>
    <row r="2029" spans="1:10" hidden="1">
      <c r="A2029" s="19" t="s">
        <v>48</v>
      </c>
      <c r="B2029" s="19" t="s">
        <v>3025</v>
      </c>
      <c r="C2029" s="19">
        <v>122043</v>
      </c>
      <c r="D2029" s="19" t="s">
        <v>3025</v>
      </c>
      <c r="E2029" s="19">
        <v>2032</v>
      </c>
      <c r="F2029" s="19" t="s">
        <v>31</v>
      </c>
      <c r="G2029" s="19" t="s">
        <v>3026</v>
      </c>
      <c r="H2029" s="35">
        <v>46224</v>
      </c>
      <c r="I2029" t="s">
        <v>14</v>
      </c>
      <c r="J2029" t="e">
        <f>VLOOKUP(E2029,'Room Count'!A$2:B$2616,2,FALSE)</f>
        <v>#N/A</v>
      </c>
    </row>
    <row r="2030" spans="1:10" hidden="1">
      <c r="A2030" s="19" t="s">
        <v>48</v>
      </c>
      <c r="B2030" s="19" t="s">
        <v>3027</v>
      </c>
      <c r="C2030" s="19">
        <v>122017</v>
      </c>
      <c r="D2030" s="19" t="s">
        <v>3027</v>
      </c>
      <c r="E2030" s="19">
        <v>2019</v>
      </c>
      <c r="F2030" s="19" t="s">
        <v>31</v>
      </c>
      <c r="G2030" s="19" t="s">
        <v>3028</v>
      </c>
      <c r="H2030" s="35">
        <v>46224</v>
      </c>
      <c r="I2030" t="s">
        <v>14</v>
      </c>
      <c r="J2030" t="e">
        <f>VLOOKUP(E2030,'Room Count'!A$2:B$2616,2,FALSE)</f>
        <v>#N/A</v>
      </c>
    </row>
    <row r="2031" spans="1:10" hidden="1">
      <c r="A2031" s="19" t="s">
        <v>48</v>
      </c>
      <c r="B2031" s="19" t="s">
        <v>3029</v>
      </c>
      <c r="C2031" s="19">
        <v>122203</v>
      </c>
      <c r="D2031" s="19" t="s">
        <v>3029</v>
      </c>
      <c r="E2031" s="19">
        <v>2112</v>
      </c>
      <c r="F2031" s="19" t="s">
        <v>31</v>
      </c>
      <c r="G2031" s="19" t="s">
        <v>3030</v>
      </c>
      <c r="H2031" s="35">
        <v>46224</v>
      </c>
      <c r="I2031" t="s">
        <v>14</v>
      </c>
      <c r="J2031" t="e">
        <f>VLOOKUP(E2031,'Room Count'!A$2:B$2616,2,FALSE)</f>
        <v>#N/A</v>
      </c>
    </row>
    <row r="2032" spans="1:10" hidden="1">
      <c r="A2032" s="19" t="s">
        <v>48</v>
      </c>
      <c r="B2032" s="19" t="s">
        <v>3031</v>
      </c>
      <c r="C2032" s="19">
        <v>122161</v>
      </c>
      <c r="D2032" s="19" t="s">
        <v>3031</v>
      </c>
      <c r="E2032" s="19">
        <v>2091</v>
      </c>
      <c r="F2032" s="19" t="s">
        <v>31</v>
      </c>
      <c r="G2032" s="19" t="s">
        <v>3032</v>
      </c>
      <c r="H2032" s="35">
        <v>46224</v>
      </c>
      <c r="I2032" t="s">
        <v>14</v>
      </c>
      <c r="J2032" t="e">
        <f>VLOOKUP(E2032,'Room Count'!A$2:B$2616,2,FALSE)</f>
        <v>#N/A</v>
      </c>
    </row>
    <row r="2033" spans="1:10" hidden="1">
      <c r="A2033" s="19" t="s">
        <v>48</v>
      </c>
      <c r="B2033" s="19" t="s">
        <v>3033</v>
      </c>
      <c r="C2033" s="19">
        <v>122103</v>
      </c>
      <c r="D2033" s="19" t="s">
        <v>3033</v>
      </c>
      <c r="E2033" s="19">
        <v>2062</v>
      </c>
      <c r="F2033" s="19" t="s">
        <v>31</v>
      </c>
      <c r="G2033" s="19" t="s">
        <v>3034</v>
      </c>
      <c r="H2033" s="35">
        <v>46224</v>
      </c>
      <c r="I2033" t="s">
        <v>14</v>
      </c>
      <c r="J2033" t="e">
        <f>VLOOKUP(E2033,'Room Count'!A$2:B$2616,2,FALSE)</f>
        <v>#N/A</v>
      </c>
    </row>
    <row r="2034" spans="1:10" hidden="1">
      <c r="A2034" s="19" t="s">
        <v>48</v>
      </c>
      <c r="B2034" s="19" t="s">
        <v>3035</v>
      </c>
      <c r="C2034" s="19">
        <v>122127</v>
      </c>
      <c r="D2034" s="19" t="s">
        <v>3035</v>
      </c>
      <c r="E2034" s="19">
        <v>2074</v>
      </c>
      <c r="F2034" s="19" t="s">
        <v>31</v>
      </c>
      <c r="G2034" s="19" t="s">
        <v>3036</v>
      </c>
      <c r="H2034" s="35">
        <v>46224</v>
      </c>
      <c r="I2034" t="s">
        <v>14</v>
      </c>
      <c r="J2034" t="e">
        <f>VLOOKUP(E2034,'Room Count'!A$2:B$2616,2,FALSE)</f>
        <v>#N/A</v>
      </c>
    </row>
    <row r="2035" spans="1:10" hidden="1">
      <c r="A2035" s="19" t="s">
        <v>48</v>
      </c>
      <c r="B2035" s="19" t="s">
        <v>3037</v>
      </c>
      <c r="C2035" s="19">
        <v>122217</v>
      </c>
      <c r="D2035" s="19" t="s">
        <v>3037</v>
      </c>
      <c r="E2035" s="19">
        <v>2156</v>
      </c>
      <c r="F2035" s="19" t="s">
        <v>31</v>
      </c>
      <c r="G2035" s="19" t="s">
        <v>3038</v>
      </c>
      <c r="H2035" s="35">
        <v>46224</v>
      </c>
      <c r="I2035" t="s">
        <v>14</v>
      </c>
      <c r="J2035" t="e">
        <f>VLOOKUP(E2035,'Room Count'!A$2:B$2616,2,FALSE)</f>
        <v>#N/A</v>
      </c>
    </row>
    <row r="2036" spans="1:10" hidden="1">
      <c r="A2036" s="19" t="s">
        <v>48</v>
      </c>
      <c r="B2036" s="19" t="s">
        <v>3039</v>
      </c>
      <c r="C2036" s="19">
        <v>122001</v>
      </c>
      <c r="D2036" s="19" t="s">
        <v>3039</v>
      </c>
      <c r="E2036" s="19">
        <v>2011</v>
      </c>
      <c r="F2036" s="19" t="s">
        <v>31</v>
      </c>
      <c r="G2036" s="19" t="s">
        <v>3040</v>
      </c>
      <c r="H2036" s="35">
        <v>46224</v>
      </c>
      <c r="I2036" t="s">
        <v>14</v>
      </c>
      <c r="J2036" t="e">
        <f>VLOOKUP(E2036,'Room Count'!A$2:B$2616,2,FALSE)</f>
        <v>#N/A</v>
      </c>
    </row>
    <row r="2037" spans="1:10" hidden="1">
      <c r="A2037" s="19" t="s">
        <v>48</v>
      </c>
      <c r="B2037" s="19" t="s">
        <v>3041</v>
      </c>
      <c r="C2037" s="19">
        <v>122197</v>
      </c>
      <c r="D2037" s="19" t="s">
        <v>3041</v>
      </c>
      <c r="E2037" s="19">
        <v>2109</v>
      </c>
      <c r="F2037" s="19" t="s">
        <v>31</v>
      </c>
      <c r="G2037" s="19" t="s">
        <v>3042</v>
      </c>
      <c r="H2037" s="35">
        <v>46224</v>
      </c>
      <c r="I2037" t="s">
        <v>14</v>
      </c>
      <c r="J2037" t="e">
        <f>VLOOKUP(E2037,'Room Count'!A$2:B$2616,2,FALSE)</f>
        <v>#N/A</v>
      </c>
    </row>
    <row r="2038" spans="1:10" hidden="1">
      <c r="A2038" s="19" t="s">
        <v>48</v>
      </c>
      <c r="B2038" s="19" t="s">
        <v>3043</v>
      </c>
      <c r="C2038" s="19">
        <v>122131</v>
      </c>
      <c r="D2038" s="19" t="s">
        <v>3043</v>
      </c>
      <c r="E2038" s="19">
        <v>2076</v>
      </c>
      <c r="F2038" s="19" t="s">
        <v>31</v>
      </c>
      <c r="G2038" s="19" t="s">
        <v>3044</v>
      </c>
      <c r="H2038" s="35">
        <v>46224</v>
      </c>
      <c r="I2038" t="s">
        <v>14</v>
      </c>
      <c r="J2038" t="e">
        <f>VLOOKUP(E2038,'Room Count'!A$2:B$2616,2,FALSE)</f>
        <v>#N/A</v>
      </c>
    </row>
    <row r="2039" spans="1:10" hidden="1">
      <c r="A2039" s="19" t="s">
        <v>48</v>
      </c>
      <c r="B2039" s="19" t="s">
        <v>3045</v>
      </c>
      <c r="C2039" s="19">
        <v>122087</v>
      </c>
      <c r="D2039" s="19" t="s">
        <v>3045</v>
      </c>
      <c r="E2039" s="19">
        <v>2054</v>
      </c>
      <c r="F2039" s="19" t="s">
        <v>31</v>
      </c>
      <c r="G2039" s="19" t="s">
        <v>3046</v>
      </c>
      <c r="H2039" s="35">
        <v>46224</v>
      </c>
      <c r="I2039" t="s">
        <v>14</v>
      </c>
      <c r="J2039" t="e">
        <f>VLOOKUP(E2039,'Room Count'!A$2:B$2616,2,FALSE)</f>
        <v>#N/A</v>
      </c>
    </row>
    <row r="2040" spans="1:10" hidden="1">
      <c r="A2040" s="19" t="s">
        <v>48</v>
      </c>
      <c r="B2040" s="19" t="s">
        <v>3047</v>
      </c>
      <c r="C2040" s="19">
        <v>122081</v>
      </c>
      <c r="D2040" s="19" t="s">
        <v>3047</v>
      </c>
      <c r="E2040" s="19">
        <v>2051</v>
      </c>
      <c r="F2040" s="19" t="s">
        <v>31</v>
      </c>
      <c r="G2040" s="19" t="s">
        <v>3048</v>
      </c>
      <c r="H2040" s="35">
        <v>46224</v>
      </c>
      <c r="I2040" t="s">
        <v>14</v>
      </c>
      <c r="J2040" t="e">
        <f>VLOOKUP(E2040,'Room Count'!A$2:B$2616,2,FALSE)</f>
        <v>#N/A</v>
      </c>
    </row>
    <row r="2041" spans="1:10" hidden="1">
      <c r="A2041" s="19" t="s">
        <v>48</v>
      </c>
      <c r="B2041" s="19" t="s">
        <v>3049</v>
      </c>
      <c r="C2041" s="19">
        <v>213257</v>
      </c>
      <c r="D2041" s="19" t="s">
        <v>3049</v>
      </c>
      <c r="E2041" s="19">
        <v>2119</v>
      </c>
      <c r="F2041" s="19" t="s">
        <v>30</v>
      </c>
      <c r="G2041" s="19" t="s">
        <v>3050</v>
      </c>
      <c r="H2041" s="35">
        <v>46224</v>
      </c>
      <c r="I2041" t="s">
        <v>14</v>
      </c>
      <c r="J2041" t="e">
        <f>VLOOKUP(E2041,'Room Count'!A$2:B$2616,2,FALSE)</f>
        <v>#N/A</v>
      </c>
    </row>
    <row r="2042" spans="1:10" hidden="1">
      <c r="A2042" s="19" t="s">
        <v>48</v>
      </c>
      <c r="B2042" s="19" t="s">
        <v>3051</v>
      </c>
      <c r="C2042" s="19">
        <v>213311</v>
      </c>
      <c r="D2042" s="19" t="s">
        <v>3051</v>
      </c>
      <c r="E2042" s="19">
        <v>2150</v>
      </c>
      <c r="F2042" s="19" t="s">
        <v>30</v>
      </c>
      <c r="G2042" s="19" t="s">
        <v>3052</v>
      </c>
      <c r="H2042" s="35">
        <v>46224</v>
      </c>
      <c r="I2042" t="s">
        <v>14</v>
      </c>
      <c r="J2042" t="e">
        <f>VLOOKUP(E2042,'Room Count'!A$2:B$2616,2,FALSE)</f>
        <v>#N/A</v>
      </c>
    </row>
    <row r="2043" spans="1:10" hidden="1">
      <c r="A2043" s="19" t="s">
        <v>48</v>
      </c>
      <c r="B2043" s="19" t="s">
        <v>3053</v>
      </c>
      <c r="C2043" s="19">
        <v>122051</v>
      </c>
      <c r="D2043" s="19" t="s">
        <v>3053</v>
      </c>
      <c r="E2043" s="19">
        <v>2036</v>
      </c>
      <c r="F2043" s="19" t="s">
        <v>31</v>
      </c>
      <c r="G2043" s="19" t="s">
        <v>3054</v>
      </c>
      <c r="H2043" s="35">
        <v>46224</v>
      </c>
      <c r="I2043" t="s">
        <v>14</v>
      </c>
      <c r="J2043" t="e">
        <f>VLOOKUP(E2043,'Room Count'!A$2:B$2616,2,FALSE)</f>
        <v>#N/A</v>
      </c>
    </row>
    <row r="2044" spans="1:10" hidden="1">
      <c r="A2044" s="19" t="s">
        <v>48</v>
      </c>
      <c r="B2044" s="19" t="s">
        <v>3055</v>
      </c>
      <c r="C2044" s="19">
        <v>122027</v>
      </c>
      <c r="D2044" s="19" t="s">
        <v>3055</v>
      </c>
      <c r="E2044" s="19">
        <v>2024</v>
      </c>
      <c r="F2044" s="19" t="s">
        <v>31</v>
      </c>
      <c r="G2044" s="19" t="s">
        <v>3056</v>
      </c>
      <c r="H2044" s="35">
        <v>46224</v>
      </c>
      <c r="I2044" t="s">
        <v>14</v>
      </c>
      <c r="J2044" t="e">
        <f>VLOOKUP(E2044,'Room Count'!A$2:B$2616,2,FALSE)</f>
        <v>#N/A</v>
      </c>
    </row>
    <row r="2045" spans="1:10" hidden="1">
      <c r="A2045" s="19" t="s">
        <v>48</v>
      </c>
      <c r="B2045" s="19" t="s">
        <v>3057</v>
      </c>
      <c r="C2045" s="19">
        <v>213359</v>
      </c>
      <c r="D2045" s="19" t="s">
        <v>3057</v>
      </c>
      <c r="E2045" s="19">
        <v>2176</v>
      </c>
      <c r="F2045" s="19" t="s">
        <v>30</v>
      </c>
      <c r="G2045" s="19" t="s">
        <v>3058</v>
      </c>
      <c r="H2045" s="35">
        <v>46224</v>
      </c>
      <c r="I2045" t="s">
        <v>14</v>
      </c>
      <c r="J2045" t="e">
        <f>VLOOKUP(E2045,'Room Count'!A$2:B$2616,2,FALSE)</f>
        <v>#N/A</v>
      </c>
    </row>
    <row r="2046" spans="1:10" hidden="1">
      <c r="A2046" s="19" t="s">
        <v>48</v>
      </c>
      <c r="B2046" s="19" t="s">
        <v>3059</v>
      </c>
      <c r="C2046" s="19">
        <v>213349</v>
      </c>
      <c r="D2046" s="19" t="s">
        <v>3059</v>
      </c>
      <c r="E2046" s="19">
        <v>2171</v>
      </c>
      <c r="F2046" s="19" t="s">
        <v>30</v>
      </c>
      <c r="G2046" s="19" t="s">
        <v>3060</v>
      </c>
      <c r="H2046" s="35">
        <v>46224</v>
      </c>
      <c r="I2046" t="s">
        <v>14</v>
      </c>
      <c r="J2046" t="e">
        <f>VLOOKUP(E2046,'Room Count'!A$2:B$2616,2,FALSE)</f>
        <v>#N/A</v>
      </c>
    </row>
    <row r="2047" spans="1:10" hidden="1">
      <c r="A2047" s="19" t="s">
        <v>48</v>
      </c>
      <c r="B2047" s="19" t="s">
        <v>3061</v>
      </c>
      <c r="C2047" s="19">
        <v>213367</v>
      </c>
      <c r="D2047" s="19" t="s">
        <v>3061</v>
      </c>
      <c r="E2047" s="19">
        <v>2180</v>
      </c>
      <c r="F2047" s="19" t="s">
        <v>30</v>
      </c>
      <c r="G2047" s="19" t="s">
        <v>3062</v>
      </c>
      <c r="H2047" s="35">
        <v>46224</v>
      </c>
      <c r="I2047" t="s">
        <v>14</v>
      </c>
      <c r="J2047" t="e">
        <f>VLOOKUP(E2047,'Room Count'!A$2:B$2616,2,FALSE)</f>
        <v>#N/A</v>
      </c>
    </row>
    <row r="2048" spans="1:10" hidden="1">
      <c r="A2048" s="19" t="s">
        <v>48</v>
      </c>
      <c r="B2048" s="19" t="s">
        <v>3063</v>
      </c>
      <c r="C2048" s="19">
        <v>213321</v>
      </c>
      <c r="D2048" s="19" t="s">
        <v>3063</v>
      </c>
      <c r="E2048" s="19">
        <v>2157</v>
      </c>
      <c r="F2048" s="19" t="s">
        <v>30</v>
      </c>
      <c r="G2048" s="19" t="s">
        <v>3064</v>
      </c>
      <c r="H2048" s="35">
        <v>46224</v>
      </c>
      <c r="I2048" t="s">
        <v>14</v>
      </c>
      <c r="J2048" t="e">
        <f>VLOOKUP(E2048,'Room Count'!A$2:B$2616,2,FALSE)</f>
        <v>#N/A</v>
      </c>
    </row>
    <row r="2049" spans="1:10" hidden="1">
      <c r="A2049" s="19" t="s">
        <v>48</v>
      </c>
      <c r="B2049" s="19" t="s">
        <v>3065</v>
      </c>
      <c r="C2049" s="19">
        <v>213329</v>
      </c>
      <c r="D2049" s="19" t="s">
        <v>3065</v>
      </c>
      <c r="E2049" s="19">
        <v>2161</v>
      </c>
      <c r="F2049" s="19" t="s">
        <v>30</v>
      </c>
      <c r="G2049" s="19" t="s">
        <v>3066</v>
      </c>
      <c r="H2049" s="35">
        <v>46224</v>
      </c>
      <c r="I2049" t="s">
        <v>14</v>
      </c>
      <c r="J2049" t="e">
        <f>VLOOKUP(E2049,'Room Count'!A$2:B$2616,2,FALSE)</f>
        <v>#N/A</v>
      </c>
    </row>
    <row r="2050" spans="1:10" hidden="1">
      <c r="A2050" s="19" t="s">
        <v>48</v>
      </c>
      <c r="B2050" s="19" t="s">
        <v>3067</v>
      </c>
      <c r="C2050" s="19">
        <v>122095</v>
      </c>
      <c r="D2050" s="19" t="s">
        <v>3067</v>
      </c>
      <c r="E2050" s="19">
        <v>2058</v>
      </c>
      <c r="F2050" s="19" t="s">
        <v>31</v>
      </c>
      <c r="G2050" s="19" t="s">
        <v>3068</v>
      </c>
      <c r="H2050" s="35">
        <v>46224</v>
      </c>
      <c r="I2050" t="s">
        <v>14</v>
      </c>
      <c r="J2050" t="e">
        <f>VLOOKUP(E2050,'Room Count'!A$2:B$2616,2,FALSE)</f>
        <v>#N/A</v>
      </c>
    </row>
    <row r="2051" spans="1:10" hidden="1">
      <c r="A2051" s="19" t="s">
        <v>48</v>
      </c>
      <c r="B2051" s="19" t="s">
        <v>3069</v>
      </c>
      <c r="C2051" s="19">
        <v>213259</v>
      </c>
      <c r="D2051" s="19" t="s">
        <v>3069</v>
      </c>
      <c r="E2051" s="19">
        <v>2121</v>
      </c>
      <c r="F2051" s="19" t="s">
        <v>30</v>
      </c>
      <c r="G2051" s="19" t="s">
        <v>3070</v>
      </c>
      <c r="H2051" s="35">
        <v>46224</v>
      </c>
      <c r="I2051" t="s">
        <v>14</v>
      </c>
      <c r="J2051" t="e">
        <f>VLOOKUP(E2051,'Room Count'!A$2:B$2616,2,FALSE)</f>
        <v>#N/A</v>
      </c>
    </row>
    <row r="2052" spans="1:10" hidden="1">
      <c r="A2052" s="19" t="s">
        <v>48</v>
      </c>
      <c r="B2052" s="19" t="s">
        <v>3071</v>
      </c>
      <c r="C2052" s="19">
        <v>122111</v>
      </c>
      <c r="D2052" s="19" t="s">
        <v>3071</v>
      </c>
      <c r="E2052" s="19">
        <v>2066</v>
      </c>
      <c r="F2052" s="19" t="s">
        <v>31</v>
      </c>
      <c r="G2052" s="19" t="s">
        <v>3072</v>
      </c>
      <c r="H2052" s="35">
        <v>46224</v>
      </c>
      <c r="I2052" t="s">
        <v>14</v>
      </c>
      <c r="J2052" t="e">
        <f>VLOOKUP(E2052,'Room Count'!A$2:B$2616,2,FALSE)</f>
        <v>#N/A</v>
      </c>
    </row>
    <row r="2053" spans="1:10" hidden="1">
      <c r="A2053" s="19" t="s">
        <v>48</v>
      </c>
      <c r="B2053" s="19" t="s">
        <v>3073</v>
      </c>
      <c r="C2053" s="19">
        <v>213313</v>
      </c>
      <c r="D2053" s="19" t="s">
        <v>3073</v>
      </c>
      <c r="E2053" s="19">
        <v>2151</v>
      </c>
      <c r="F2053" s="19" t="s">
        <v>30</v>
      </c>
      <c r="G2053" s="19" t="s">
        <v>3074</v>
      </c>
      <c r="H2053" s="35">
        <v>46224</v>
      </c>
      <c r="I2053" t="s">
        <v>14</v>
      </c>
      <c r="J2053" t="e">
        <f>VLOOKUP(E2053,'Room Count'!A$2:B$2616,2,FALSE)</f>
        <v>#N/A</v>
      </c>
    </row>
    <row r="2054" spans="1:10" hidden="1">
      <c r="A2054" s="19" t="s">
        <v>48</v>
      </c>
      <c r="B2054" s="19" t="s">
        <v>3075</v>
      </c>
      <c r="C2054" s="19">
        <v>122075</v>
      </c>
      <c r="D2054" s="19" t="s">
        <v>3075</v>
      </c>
      <c r="E2054" s="19">
        <v>2048</v>
      </c>
      <c r="F2054" s="19" t="s">
        <v>31</v>
      </c>
      <c r="G2054" s="19" t="s">
        <v>3076</v>
      </c>
      <c r="H2054" s="35">
        <v>46224</v>
      </c>
      <c r="I2054" t="s">
        <v>14</v>
      </c>
      <c r="J2054" t="e">
        <f>VLOOKUP(E2054,'Room Count'!A$2:B$2616,2,FALSE)</f>
        <v>#N/A</v>
      </c>
    </row>
    <row r="2055" spans="1:10" hidden="1">
      <c r="A2055" s="19" t="s">
        <v>48</v>
      </c>
      <c r="B2055" s="19" t="s">
        <v>3077</v>
      </c>
      <c r="C2055" s="19">
        <v>122137</v>
      </c>
      <c r="D2055" s="19" t="s">
        <v>3077</v>
      </c>
      <c r="E2055" s="19">
        <v>2079</v>
      </c>
      <c r="F2055" s="19" t="s">
        <v>31</v>
      </c>
      <c r="G2055" s="19" t="s">
        <v>3078</v>
      </c>
      <c r="H2055" s="35">
        <v>46224</v>
      </c>
      <c r="I2055" t="s">
        <v>14</v>
      </c>
      <c r="J2055" t="e">
        <f>VLOOKUP(E2055,'Room Count'!A$2:B$2616,2,FALSE)</f>
        <v>#N/A</v>
      </c>
    </row>
    <row r="2056" spans="1:10" hidden="1">
      <c r="A2056" s="19" t="s">
        <v>48</v>
      </c>
      <c r="B2056" s="19" t="s">
        <v>3079</v>
      </c>
      <c r="C2056" s="19">
        <v>122015</v>
      </c>
      <c r="D2056" s="19" t="s">
        <v>3079</v>
      </c>
      <c r="E2056" s="19">
        <v>2018</v>
      </c>
      <c r="F2056" s="19" t="s">
        <v>31</v>
      </c>
      <c r="G2056" s="19" t="s">
        <v>3080</v>
      </c>
      <c r="H2056" s="35">
        <v>46224</v>
      </c>
      <c r="I2056" t="s">
        <v>14</v>
      </c>
      <c r="J2056" t="e">
        <f>VLOOKUP(E2056,'Room Count'!A$2:B$2616,2,FALSE)</f>
        <v>#N/A</v>
      </c>
    </row>
  </sheetData>
  <autoFilter ref="A1:Q2056" xr:uid="{C66D2EC7-57F5-48FF-A555-F7341CCC9E6D}">
    <filterColumn colId="0">
      <filters>
        <filter val="1 - BETA 1 (1)"/>
        <filter val="10 - Wave 8 (245)"/>
        <filter val="2 - BETA 2 (4)"/>
        <filter val="3 - PILOT (20)"/>
        <filter val="4 - WAVE 1 (50)"/>
        <filter val="5 - Wave 4 (75)"/>
        <filter val="6 - Wave 40 (99)"/>
        <filter val="7 - Wave 5 (99)"/>
        <filter val="8 - Wave 6 (231)"/>
        <filter val="9 - Wave 7 (248)"/>
        <filter val="New Opening"/>
      </filters>
    </filterColumn>
  </autoFilter>
  <conditionalFormatting sqref="C1100:D1353 C1:D1 C2:C350 C361:C1101 C2057:D1048576">
    <cfRule type="duplicateValues" dxfId="4" priority="4"/>
  </conditionalFormatting>
  <conditionalFormatting sqref="E1084:E1099">
    <cfRule type="duplicateValues" dxfId="3" priority="1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4382-F07C-465F-AAC1-4E916B597B69}">
  <dimension ref="A1:K250"/>
  <sheetViews>
    <sheetView workbookViewId="0">
      <selection activeCell="J1" sqref="J1:K232"/>
    </sheetView>
  </sheetViews>
  <sheetFormatPr defaultColWidth="8.875" defaultRowHeight="15.95"/>
  <cols>
    <col min="11" max="11" width="63" bestFit="1" customWidth="1"/>
  </cols>
  <sheetData>
    <row r="1" spans="1:11">
      <c r="A1" s="13" t="s">
        <v>421</v>
      </c>
      <c r="D1" s="7" t="s">
        <v>421</v>
      </c>
      <c r="F1" s="13" t="s">
        <v>650</v>
      </c>
      <c r="G1" s="7" t="s">
        <v>650</v>
      </c>
      <c r="J1">
        <v>769</v>
      </c>
      <c r="K1" t="s">
        <v>3081</v>
      </c>
    </row>
    <row r="2" spans="1:11">
      <c r="A2" s="13" t="s">
        <v>422</v>
      </c>
      <c r="D2" s="7" t="s">
        <v>422</v>
      </c>
      <c r="F2" s="13" t="s">
        <v>651</v>
      </c>
      <c r="G2" s="7" t="s">
        <v>651</v>
      </c>
      <c r="J2">
        <v>873</v>
      </c>
      <c r="K2" t="s">
        <v>3082</v>
      </c>
    </row>
    <row r="3" spans="1:11">
      <c r="A3" s="13" t="s">
        <v>424</v>
      </c>
      <c r="D3" s="7" t="s">
        <v>424</v>
      </c>
      <c r="F3" s="13" t="s">
        <v>652</v>
      </c>
      <c r="G3" s="7" t="s">
        <v>652</v>
      </c>
      <c r="J3">
        <v>762</v>
      </c>
      <c r="K3" t="s">
        <v>3083</v>
      </c>
    </row>
    <row r="4" spans="1:11">
      <c r="A4" s="13" t="s">
        <v>425</v>
      </c>
      <c r="D4" s="7" t="s">
        <v>425</v>
      </c>
      <c r="F4" s="13" t="s">
        <v>653</v>
      </c>
      <c r="G4" s="7" t="s">
        <v>653</v>
      </c>
      <c r="J4">
        <v>716</v>
      </c>
      <c r="K4" t="s">
        <v>3084</v>
      </c>
    </row>
    <row r="5" spans="1:11">
      <c r="A5" s="13" t="s">
        <v>426</v>
      </c>
      <c r="D5" s="7" t="s">
        <v>426</v>
      </c>
      <c r="F5" s="13" t="s">
        <v>654</v>
      </c>
      <c r="G5" s="7" t="s">
        <v>654</v>
      </c>
      <c r="J5">
        <v>706</v>
      </c>
      <c r="K5" t="s">
        <v>3085</v>
      </c>
    </row>
    <row r="6" spans="1:11">
      <c r="A6" s="13" t="s">
        <v>427</v>
      </c>
      <c r="D6" s="7" t="s">
        <v>427</v>
      </c>
      <c r="F6" s="13" t="s">
        <v>54</v>
      </c>
      <c r="G6" s="7" t="s">
        <v>54</v>
      </c>
      <c r="J6">
        <v>864</v>
      </c>
      <c r="K6" t="s">
        <v>3086</v>
      </c>
    </row>
    <row r="7" spans="1:11">
      <c r="A7" s="13" t="s">
        <v>428</v>
      </c>
      <c r="D7" s="7" t="s">
        <v>428</v>
      </c>
      <c r="F7" s="13" t="s">
        <v>656</v>
      </c>
      <c r="G7" s="7" t="s">
        <v>656</v>
      </c>
      <c r="J7">
        <v>910</v>
      </c>
      <c r="K7" t="s">
        <v>3087</v>
      </c>
    </row>
    <row r="8" spans="1:11">
      <c r="A8" s="13" t="s">
        <v>429</v>
      </c>
      <c r="D8" s="7" t="s">
        <v>429</v>
      </c>
      <c r="F8" s="13" t="s">
        <v>657</v>
      </c>
      <c r="G8" s="7" t="s">
        <v>657</v>
      </c>
      <c r="J8">
        <v>785</v>
      </c>
      <c r="K8" t="s">
        <v>3088</v>
      </c>
    </row>
    <row r="9" spans="1:11">
      <c r="A9" s="13" t="s">
        <v>430</v>
      </c>
      <c r="D9" s="7" t="s">
        <v>430</v>
      </c>
      <c r="F9" s="13" t="s">
        <v>658</v>
      </c>
      <c r="G9" s="7" t="s">
        <v>658</v>
      </c>
      <c r="J9">
        <v>862</v>
      </c>
      <c r="K9" t="s">
        <v>3089</v>
      </c>
    </row>
    <row r="10" spans="1:11">
      <c r="A10" s="13" t="s">
        <v>431</v>
      </c>
      <c r="D10" s="7" t="s">
        <v>431</v>
      </c>
      <c r="F10" s="13" t="s">
        <v>659</v>
      </c>
      <c r="G10" s="7" t="s">
        <v>659</v>
      </c>
      <c r="J10">
        <v>783</v>
      </c>
      <c r="K10" t="s">
        <v>3090</v>
      </c>
    </row>
    <row r="11" spans="1:11">
      <c r="A11" s="13" t="s">
        <v>432</v>
      </c>
      <c r="D11" s="7" t="s">
        <v>432</v>
      </c>
      <c r="F11" s="13" t="s">
        <v>660</v>
      </c>
      <c r="G11" s="7" t="s">
        <v>660</v>
      </c>
      <c r="J11">
        <v>689</v>
      </c>
      <c r="K11" t="s">
        <v>3091</v>
      </c>
    </row>
    <row r="12" spans="1:11">
      <c r="A12" s="13" t="s">
        <v>433</v>
      </c>
      <c r="D12" s="7" t="s">
        <v>433</v>
      </c>
      <c r="F12" s="13" t="s">
        <v>661</v>
      </c>
      <c r="G12" s="7" t="s">
        <v>661</v>
      </c>
      <c r="J12">
        <v>787</v>
      </c>
      <c r="K12" t="s">
        <v>3092</v>
      </c>
    </row>
    <row r="13" spans="1:11">
      <c r="A13" s="13" t="s">
        <v>434</v>
      </c>
      <c r="D13" s="7" t="s">
        <v>434</v>
      </c>
      <c r="F13" s="13" t="s">
        <v>662</v>
      </c>
      <c r="G13" s="7" t="s">
        <v>662</v>
      </c>
      <c r="J13">
        <v>882</v>
      </c>
      <c r="K13" t="s">
        <v>3093</v>
      </c>
    </row>
    <row r="14" spans="1:11">
      <c r="A14" s="13" t="s">
        <v>435</v>
      </c>
      <c r="D14" s="7" t="s">
        <v>435</v>
      </c>
      <c r="F14" s="13" t="s">
        <v>663</v>
      </c>
      <c r="G14" s="7" t="s">
        <v>663</v>
      </c>
      <c r="J14">
        <v>900</v>
      </c>
      <c r="K14" t="s">
        <v>3094</v>
      </c>
    </row>
    <row r="15" spans="1:11">
      <c r="A15" s="13" t="s">
        <v>436</v>
      </c>
      <c r="D15" s="7" t="s">
        <v>436</v>
      </c>
      <c r="F15" s="13" t="s">
        <v>664</v>
      </c>
      <c r="G15" s="7" t="s">
        <v>664</v>
      </c>
      <c r="J15">
        <v>794</v>
      </c>
      <c r="K15" t="s">
        <v>3095</v>
      </c>
    </row>
    <row r="16" spans="1:11">
      <c r="A16" s="13" t="s">
        <v>437</v>
      </c>
      <c r="D16" s="7" t="s">
        <v>437</v>
      </c>
      <c r="F16" s="13" t="s">
        <v>665</v>
      </c>
      <c r="G16" s="7" t="s">
        <v>665</v>
      </c>
      <c r="J16">
        <v>751</v>
      </c>
      <c r="K16" t="s">
        <v>3096</v>
      </c>
    </row>
    <row r="17" spans="1:11">
      <c r="A17" s="13" t="s">
        <v>438</v>
      </c>
      <c r="D17" s="7" t="s">
        <v>438</v>
      </c>
      <c r="F17" s="13" t="s">
        <v>666</v>
      </c>
      <c r="G17" s="7" t="s">
        <v>666</v>
      </c>
      <c r="J17">
        <v>753</v>
      </c>
      <c r="K17" t="s">
        <v>3097</v>
      </c>
    </row>
    <row r="18" spans="1:11">
      <c r="A18" s="13" t="s">
        <v>439</v>
      </c>
      <c r="D18" s="7" t="s">
        <v>439</v>
      </c>
      <c r="F18" s="13" t="s">
        <v>667</v>
      </c>
      <c r="G18" s="7" t="s">
        <v>667</v>
      </c>
      <c r="J18">
        <v>830</v>
      </c>
      <c r="K18" t="s">
        <v>3098</v>
      </c>
    </row>
    <row r="19" spans="1:11">
      <c r="A19" s="13" t="s">
        <v>440</v>
      </c>
      <c r="D19" s="7" t="s">
        <v>440</v>
      </c>
      <c r="F19" s="13" t="s">
        <v>668</v>
      </c>
      <c r="G19" s="7" t="s">
        <v>668</v>
      </c>
      <c r="J19">
        <v>754</v>
      </c>
      <c r="K19" t="s">
        <v>3099</v>
      </c>
    </row>
    <row r="20" spans="1:11">
      <c r="A20" s="13" t="s">
        <v>441</v>
      </c>
      <c r="D20" s="7" t="s">
        <v>441</v>
      </c>
      <c r="F20" s="13" t="s">
        <v>669</v>
      </c>
      <c r="G20" s="7" t="s">
        <v>669</v>
      </c>
      <c r="J20">
        <v>707</v>
      </c>
      <c r="K20" t="s">
        <v>3100</v>
      </c>
    </row>
    <row r="21" spans="1:11">
      <c r="A21" s="13" t="s">
        <v>442</v>
      </c>
      <c r="D21" s="7" t="s">
        <v>442</v>
      </c>
      <c r="F21" s="13" t="s">
        <v>670</v>
      </c>
      <c r="G21" s="7" t="s">
        <v>670</v>
      </c>
      <c r="J21">
        <v>719</v>
      </c>
      <c r="K21" t="s">
        <v>3101</v>
      </c>
    </row>
    <row r="22" spans="1:11">
      <c r="A22" s="13" t="s">
        <v>443</v>
      </c>
      <c r="D22" s="7" t="s">
        <v>443</v>
      </c>
      <c r="F22" s="13" t="s">
        <v>671</v>
      </c>
      <c r="G22" s="7" t="s">
        <v>671</v>
      </c>
      <c r="J22">
        <v>686</v>
      </c>
      <c r="K22" t="s">
        <v>3102</v>
      </c>
    </row>
    <row r="23" spans="1:11">
      <c r="A23" s="13" t="s">
        <v>444</v>
      </c>
      <c r="D23" s="7" t="s">
        <v>444</v>
      </c>
      <c r="F23" s="13" t="s">
        <v>672</v>
      </c>
      <c r="G23" s="7" t="s">
        <v>672</v>
      </c>
      <c r="J23">
        <v>701</v>
      </c>
      <c r="K23" t="s">
        <v>3103</v>
      </c>
    </row>
    <row r="24" spans="1:11">
      <c r="A24" s="13" t="s">
        <v>445</v>
      </c>
      <c r="D24" s="7" t="s">
        <v>445</v>
      </c>
      <c r="F24" s="13" t="s">
        <v>673</v>
      </c>
      <c r="G24" s="7" t="s">
        <v>673</v>
      </c>
      <c r="J24">
        <v>702</v>
      </c>
      <c r="K24" t="s">
        <v>3104</v>
      </c>
    </row>
    <row r="25" spans="1:11">
      <c r="A25" s="13" t="s">
        <v>446</v>
      </c>
      <c r="D25" s="7" t="s">
        <v>446</v>
      </c>
      <c r="F25" s="13" t="s">
        <v>675</v>
      </c>
      <c r="G25" s="7" t="s">
        <v>675</v>
      </c>
      <c r="J25">
        <v>703</v>
      </c>
      <c r="K25" t="s">
        <v>3105</v>
      </c>
    </row>
    <row r="26" spans="1:11">
      <c r="A26" s="13" t="s">
        <v>447</v>
      </c>
      <c r="D26" s="7" t="s">
        <v>447</v>
      </c>
      <c r="F26" s="13" t="s">
        <v>676</v>
      </c>
      <c r="G26" s="7" t="s">
        <v>676</v>
      </c>
      <c r="J26">
        <v>733</v>
      </c>
      <c r="K26" t="s">
        <v>3106</v>
      </c>
    </row>
    <row r="27" spans="1:11">
      <c r="A27" s="13" t="s">
        <v>449</v>
      </c>
      <c r="D27" s="7" t="s">
        <v>449</v>
      </c>
      <c r="F27" s="13" t="s">
        <v>677</v>
      </c>
      <c r="G27" s="7" t="s">
        <v>677</v>
      </c>
      <c r="J27">
        <v>737</v>
      </c>
      <c r="K27" t="s">
        <v>3107</v>
      </c>
    </row>
    <row r="28" spans="1:11">
      <c r="A28" s="13" t="s">
        <v>450</v>
      </c>
      <c r="D28" s="7" t="s">
        <v>450</v>
      </c>
      <c r="F28" s="13" t="s">
        <v>678</v>
      </c>
      <c r="G28" s="7" t="s">
        <v>678</v>
      </c>
      <c r="J28">
        <v>739</v>
      </c>
      <c r="K28" t="s">
        <v>3108</v>
      </c>
    </row>
    <row r="29" spans="1:11">
      <c r="A29" s="13" t="s">
        <v>451</v>
      </c>
      <c r="D29" s="7" t="s">
        <v>451</v>
      </c>
      <c r="F29" s="13" t="s">
        <v>679</v>
      </c>
      <c r="G29" s="7" t="s">
        <v>679</v>
      </c>
      <c r="J29">
        <v>740</v>
      </c>
      <c r="K29" t="s">
        <v>3109</v>
      </c>
    </row>
    <row r="30" spans="1:11">
      <c r="A30" s="13" t="s">
        <v>452</v>
      </c>
      <c r="D30" s="7" t="s">
        <v>452</v>
      </c>
      <c r="F30" s="13" t="s">
        <v>680</v>
      </c>
      <c r="G30" s="7" t="s">
        <v>680</v>
      </c>
      <c r="J30">
        <v>741</v>
      </c>
      <c r="K30" t="s">
        <v>3110</v>
      </c>
    </row>
    <row r="31" spans="1:11">
      <c r="A31" s="13" t="s">
        <v>453</v>
      </c>
      <c r="D31" s="7" t="s">
        <v>453</v>
      </c>
      <c r="F31" s="13" t="s">
        <v>681</v>
      </c>
      <c r="G31" s="7" t="s">
        <v>681</v>
      </c>
      <c r="J31">
        <v>744</v>
      </c>
      <c r="K31" t="s">
        <v>3111</v>
      </c>
    </row>
    <row r="32" spans="1:11">
      <c r="A32" s="13" t="s">
        <v>454</v>
      </c>
      <c r="D32" s="7" t="s">
        <v>454</v>
      </c>
      <c r="F32" s="13" t="s">
        <v>682</v>
      </c>
      <c r="G32" s="7" t="s">
        <v>682</v>
      </c>
      <c r="J32">
        <v>748</v>
      </c>
      <c r="K32" t="s">
        <v>3112</v>
      </c>
    </row>
    <row r="33" spans="1:11">
      <c r="A33" s="13" t="s">
        <v>455</v>
      </c>
      <c r="D33" s="7" t="s">
        <v>455</v>
      </c>
      <c r="F33" s="13" t="s">
        <v>683</v>
      </c>
      <c r="G33" s="7" t="s">
        <v>683</v>
      </c>
      <c r="J33">
        <v>860</v>
      </c>
      <c r="K33" t="s">
        <v>3113</v>
      </c>
    </row>
    <row r="34" spans="1:11">
      <c r="A34" s="13" t="s">
        <v>456</v>
      </c>
      <c r="D34" s="7" t="s">
        <v>456</v>
      </c>
      <c r="F34" s="13" t="s">
        <v>684</v>
      </c>
      <c r="G34" s="7" t="s">
        <v>684</v>
      </c>
      <c r="J34">
        <v>896</v>
      </c>
      <c r="K34" t="s">
        <v>3114</v>
      </c>
    </row>
    <row r="35" spans="1:11">
      <c r="A35" s="13" t="s">
        <v>457</v>
      </c>
      <c r="D35" s="7" t="s">
        <v>457</v>
      </c>
      <c r="F35" s="13" t="s">
        <v>685</v>
      </c>
      <c r="G35" s="7" t="s">
        <v>685</v>
      </c>
      <c r="J35">
        <v>803</v>
      </c>
      <c r="K35" t="s">
        <v>3115</v>
      </c>
    </row>
    <row r="36" spans="1:11">
      <c r="A36" s="13" t="s">
        <v>458</v>
      </c>
      <c r="D36" s="7" t="s">
        <v>458</v>
      </c>
      <c r="F36" s="13" t="s">
        <v>686</v>
      </c>
      <c r="G36" s="7" t="s">
        <v>686</v>
      </c>
      <c r="J36">
        <v>887</v>
      </c>
      <c r="K36" t="s">
        <v>3116</v>
      </c>
    </row>
    <row r="37" spans="1:11">
      <c r="A37" s="13" t="s">
        <v>459</v>
      </c>
      <c r="D37" s="7" t="s">
        <v>459</v>
      </c>
      <c r="F37" s="13" t="s">
        <v>687</v>
      </c>
      <c r="G37" s="7" t="s">
        <v>687</v>
      </c>
      <c r="J37">
        <v>695</v>
      </c>
      <c r="K37" t="s">
        <v>3117</v>
      </c>
    </row>
    <row r="38" spans="1:11">
      <c r="A38" s="13" t="s">
        <v>460</v>
      </c>
      <c r="D38" s="7" t="s">
        <v>460</v>
      </c>
      <c r="F38" s="13" t="s">
        <v>688</v>
      </c>
      <c r="G38" s="7" t="s">
        <v>688</v>
      </c>
      <c r="J38">
        <v>694</v>
      </c>
      <c r="K38" t="s">
        <v>3118</v>
      </c>
    </row>
    <row r="39" spans="1:11">
      <c r="A39" s="13" t="s">
        <v>461</v>
      </c>
      <c r="D39" s="7" t="s">
        <v>461</v>
      </c>
      <c r="F39" s="13" t="s">
        <v>689</v>
      </c>
      <c r="G39" s="7" t="s">
        <v>689</v>
      </c>
      <c r="J39">
        <v>866</v>
      </c>
      <c r="K39" t="s">
        <v>3119</v>
      </c>
    </row>
    <row r="40" spans="1:11">
      <c r="A40" s="13" t="s">
        <v>462</v>
      </c>
      <c r="D40" s="7" t="s">
        <v>462</v>
      </c>
      <c r="F40" s="13" t="s">
        <v>690</v>
      </c>
      <c r="G40" s="7" t="s">
        <v>690</v>
      </c>
      <c r="J40">
        <v>687</v>
      </c>
      <c r="K40" t="s">
        <v>3120</v>
      </c>
    </row>
    <row r="41" spans="1:11">
      <c r="A41" s="13" t="s">
        <v>463</v>
      </c>
      <c r="D41" s="7" t="s">
        <v>463</v>
      </c>
      <c r="F41" s="13" t="s">
        <v>691</v>
      </c>
      <c r="G41" s="7" t="s">
        <v>691</v>
      </c>
      <c r="J41">
        <v>717</v>
      </c>
      <c r="K41" t="s">
        <v>3121</v>
      </c>
    </row>
    <row r="42" spans="1:11">
      <c r="A42" s="13" t="s">
        <v>464</v>
      </c>
      <c r="D42" s="7" t="s">
        <v>464</v>
      </c>
      <c r="F42" s="13" t="s">
        <v>692</v>
      </c>
      <c r="G42" s="7" t="s">
        <v>692</v>
      </c>
      <c r="J42">
        <v>718</v>
      </c>
      <c r="K42" t="s">
        <v>3122</v>
      </c>
    </row>
    <row r="43" spans="1:11">
      <c r="A43" s="13" t="s">
        <v>465</v>
      </c>
      <c r="D43" s="7" t="s">
        <v>465</v>
      </c>
      <c r="F43" s="13" t="s">
        <v>693</v>
      </c>
      <c r="G43" s="7" t="s">
        <v>693</v>
      </c>
      <c r="J43">
        <v>704</v>
      </c>
      <c r="K43" t="s">
        <v>3123</v>
      </c>
    </row>
    <row r="44" spans="1:11">
      <c r="A44" s="13" t="s">
        <v>467</v>
      </c>
      <c r="D44" s="7" t="s">
        <v>467</v>
      </c>
      <c r="F44" s="13" t="s">
        <v>694</v>
      </c>
      <c r="G44" s="7" t="s">
        <v>694</v>
      </c>
      <c r="J44">
        <v>710</v>
      </c>
      <c r="K44" t="s">
        <v>3124</v>
      </c>
    </row>
    <row r="45" spans="1:11">
      <c r="A45" s="13" t="s">
        <v>468</v>
      </c>
      <c r="D45" s="7" t="s">
        <v>468</v>
      </c>
      <c r="F45" s="13" t="s">
        <v>695</v>
      </c>
      <c r="G45" s="7" t="s">
        <v>695</v>
      </c>
      <c r="J45">
        <v>713</v>
      </c>
      <c r="K45" t="s">
        <v>3125</v>
      </c>
    </row>
    <row r="46" spans="1:11">
      <c r="A46" s="13" t="s">
        <v>469</v>
      </c>
      <c r="D46" s="7" t="s">
        <v>469</v>
      </c>
      <c r="F46" s="13" t="s">
        <v>696</v>
      </c>
      <c r="G46" s="7" t="s">
        <v>696</v>
      </c>
      <c r="J46">
        <v>714</v>
      </c>
      <c r="K46" t="s">
        <v>3126</v>
      </c>
    </row>
    <row r="47" spans="1:11">
      <c r="A47" s="13" t="s">
        <v>470</v>
      </c>
      <c r="D47" s="7" t="s">
        <v>470</v>
      </c>
      <c r="F47" s="13" t="s">
        <v>697</v>
      </c>
      <c r="G47" s="7" t="s">
        <v>697</v>
      </c>
      <c r="J47">
        <v>715</v>
      </c>
      <c r="K47" t="s">
        <v>3127</v>
      </c>
    </row>
    <row r="48" spans="1:11">
      <c r="A48" s="13" t="s">
        <v>471</v>
      </c>
      <c r="D48" s="7" t="s">
        <v>471</v>
      </c>
      <c r="F48" s="13" t="s">
        <v>698</v>
      </c>
      <c r="G48" s="7" t="s">
        <v>698</v>
      </c>
      <c r="J48">
        <v>691</v>
      </c>
      <c r="K48" t="s">
        <v>3128</v>
      </c>
    </row>
    <row r="49" spans="1:11">
      <c r="A49" s="13" t="s">
        <v>472</v>
      </c>
      <c r="D49" s="7" t="s">
        <v>472</v>
      </c>
      <c r="F49" s="13" t="s">
        <v>699</v>
      </c>
      <c r="G49" s="7" t="s">
        <v>699</v>
      </c>
      <c r="J49">
        <v>722</v>
      </c>
      <c r="K49" t="s">
        <v>3129</v>
      </c>
    </row>
    <row r="50" spans="1:11">
      <c r="A50" s="13" t="s">
        <v>473</v>
      </c>
      <c r="D50" s="7" t="s">
        <v>473</v>
      </c>
      <c r="F50" s="13" t="s">
        <v>700</v>
      </c>
      <c r="G50" s="7" t="s">
        <v>700</v>
      </c>
      <c r="J50">
        <v>728</v>
      </c>
      <c r="K50" t="s">
        <v>3130</v>
      </c>
    </row>
    <row r="51" spans="1:11">
      <c r="A51" s="13" t="s">
        <v>474</v>
      </c>
      <c r="D51" s="7" t="s">
        <v>474</v>
      </c>
      <c r="F51" s="13" t="s">
        <v>701</v>
      </c>
      <c r="G51" s="7" t="s">
        <v>701</v>
      </c>
      <c r="J51">
        <v>736</v>
      </c>
      <c r="K51" t="s">
        <v>3131</v>
      </c>
    </row>
    <row r="52" spans="1:11">
      <c r="A52" s="13" t="s">
        <v>475</v>
      </c>
      <c r="D52" s="7" t="s">
        <v>475</v>
      </c>
      <c r="F52" s="13" t="s">
        <v>702</v>
      </c>
      <c r="G52" s="7" t="s">
        <v>702</v>
      </c>
      <c r="J52">
        <v>851</v>
      </c>
      <c r="K52" t="s">
        <v>3132</v>
      </c>
    </row>
    <row r="53" spans="1:11">
      <c r="A53" s="13" t="s">
        <v>476</v>
      </c>
      <c r="D53" s="7" t="s">
        <v>476</v>
      </c>
      <c r="F53" s="13" t="s">
        <v>703</v>
      </c>
      <c r="G53" s="7" t="s">
        <v>703</v>
      </c>
      <c r="J53">
        <v>800</v>
      </c>
      <c r="K53" t="s">
        <v>3133</v>
      </c>
    </row>
    <row r="54" spans="1:11">
      <c r="A54" s="13" t="s">
        <v>477</v>
      </c>
      <c r="D54" s="7" t="s">
        <v>477</v>
      </c>
      <c r="F54" s="13" t="s">
        <v>704</v>
      </c>
      <c r="G54" s="7" t="s">
        <v>704</v>
      </c>
      <c r="J54">
        <v>700</v>
      </c>
      <c r="K54" t="s">
        <v>3134</v>
      </c>
    </row>
    <row r="55" spans="1:11">
      <c r="A55" s="13" t="s">
        <v>478</v>
      </c>
      <c r="D55" s="7" t="s">
        <v>478</v>
      </c>
      <c r="F55" s="13" t="s">
        <v>705</v>
      </c>
      <c r="G55" s="7" t="s">
        <v>705</v>
      </c>
      <c r="J55">
        <v>747</v>
      </c>
      <c r="K55" t="s">
        <v>3135</v>
      </c>
    </row>
    <row r="56" spans="1:11">
      <c r="A56" s="13" t="s">
        <v>479</v>
      </c>
      <c r="D56" s="7" t="s">
        <v>479</v>
      </c>
      <c r="F56" s="13" t="s">
        <v>706</v>
      </c>
      <c r="G56" s="7" t="s">
        <v>706</v>
      </c>
      <c r="J56">
        <v>743</v>
      </c>
      <c r="K56" t="s">
        <v>3136</v>
      </c>
    </row>
    <row r="57" spans="1:11">
      <c r="A57" s="13" t="s">
        <v>480</v>
      </c>
      <c r="D57" s="7" t="s">
        <v>480</v>
      </c>
      <c r="F57" s="13" t="s">
        <v>707</v>
      </c>
      <c r="G57" s="7" t="s">
        <v>707</v>
      </c>
      <c r="J57">
        <v>749</v>
      </c>
      <c r="K57" t="s">
        <v>3137</v>
      </c>
    </row>
    <row r="58" spans="1:11">
      <c r="A58" s="13" t="s">
        <v>481</v>
      </c>
      <c r="D58" s="7" t="s">
        <v>481</v>
      </c>
      <c r="F58" s="13" t="s">
        <v>708</v>
      </c>
      <c r="G58" s="7" t="s">
        <v>708</v>
      </c>
      <c r="J58">
        <v>752</v>
      </c>
      <c r="K58" t="s">
        <v>3138</v>
      </c>
    </row>
    <row r="59" spans="1:11">
      <c r="A59" s="13" t="s">
        <v>482</v>
      </c>
      <c r="D59" s="7" t="s">
        <v>482</v>
      </c>
      <c r="F59" s="13" t="s">
        <v>709</v>
      </c>
      <c r="G59" s="7" t="s">
        <v>709</v>
      </c>
      <c r="J59">
        <v>756</v>
      </c>
      <c r="K59" t="s">
        <v>3139</v>
      </c>
    </row>
    <row r="60" spans="1:11">
      <c r="A60" s="13" t="s">
        <v>483</v>
      </c>
      <c r="D60" s="7" t="s">
        <v>483</v>
      </c>
      <c r="F60" s="13" t="s">
        <v>710</v>
      </c>
      <c r="G60" s="7" t="s">
        <v>710</v>
      </c>
      <c r="J60">
        <v>814</v>
      </c>
      <c r="K60" t="s">
        <v>3140</v>
      </c>
    </row>
    <row r="61" spans="1:11">
      <c r="A61" s="13" t="s">
        <v>484</v>
      </c>
      <c r="D61" s="7" t="s">
        <v>484</v>
      </c>
      <c r="F61" s="13" t="s">
        <v>711</v>
      </c>
      <c r="G61" s="7" t="s">
        <v>711</v>
      </c>
      <c r="J61">
        <v>759</v>
      </c>
      <c r="K61" t="s">
        <v>3141</v>
      </c>
    </row>
    <row r="62" spans="1:11">
      <c r="A62" s="13" t="s">
        <v>485</v>
      </c>
      <c r="D62" s="7" t="s">
        <v>485</v>
      </c>
      <c r="F62" s="13" t="s">
        <v>712</v>
      </c>
      <c r="G62" s="7" t="s">
        <v>712</v>
      </c>
      <c r="J62">
        <v>761</v>
      </c>
      <c r="K62" t="s">
        <v>3142</v>
      </c>
    </row>
    <row r="63" spans="1:11">
      <c r="A63" s="13" t="s">
        <v>486</v>
      </c>
      <c r="D63" s="7" t="s">
        <v>486</v>
      </c>
      <c r="F63" s="13" t="s">
        <v>713</v>
      </c>
      <c r="G63" s="7" t="s">
        <v>713</v>
      </c>
      <c r="J63">
        <v>763</v>
      </c>
      <c r="K63" t="s">
        <v>3143</v>
      </c>
    </row>
    <row r="64" spans="1:11">
      <c r="A64" s="13" t="s">
        <v>487</v>
      </c>
      <c r="D64" s="7" t="s">
        <v>487</v>
      </c>
      <c r="F64" s="13" t="s">
        <v>714</v>
      </c>
      <c r="G64" s="7" t="s">
        <v>714</v>
      </c>
      <c r="J64">
        <v>764</v>
      </c>
      <c r="K64" t="s">
        <v>3144</v>
      </c>
    </row>
    <row r="65" spans="1:11">
      <c r="A65" s="13" t="s">
        <v>488</v>
      </c>
      <c r="D65" s="7" t="s">
        <v>488</v>
      </c>
      <c r="F65" s="13" t="s">
        <v>715</v>
      </c>
      <c r="G65" s="7" t="s">
        <v>715</v>
      </c>
      <c r="J65">
        <v>726</v>
      </c>
      <c r="K65" t="s">
        <v>3145</v>
      </c>
    </row>
    <row r="66" spans="1:11">
      <c r="A66" s="13" t="s">
        <v>489</v>
      </c>
      <c r="D66" s="7" t="s">
        <v>489</v>
      </c>
      <c r="F66" s="13" t="s">
        <v>716</v>
      </c>
      <c r="G66" s="7" t="s">
        <v>716</v>
      </c>
      <c r="J66">
        <v>767</v>
      </c>
      <c r="K66" t="s">
        <v>3146</v>
      </c>
    </row>
    <row r="67" spans="1:11">
      <c r="A67" s="13" t="s">
        <v>490</v>
      </c>
      <c r="D67" s="7" t="s">
        <v>490</v>
      </c>
      <c r="F67" s="13" t="s">
        <v>717</v>
      </c>
      <c r="G67" s="7" t="s">
        <v>717</v>
      </c>
      <c r="J67">
        <v>768</v>
      </c>
      <c r="K67" t="s">
        <v>3147</v>
      </c>
    </row>
    <row r="68" spans="1:11">
      <c r="A68" s="13" t="s">
        <v>491</v>
      </c>
      <c r="D68" s="7" t="s">
        <v>491</v>
      </c>
      <c r="F68" s="13" t="s">
        <v>718</v>
      </c>
      <c r="G68" s="7" t="s">
        <v>718</v>
      </c>
      <c r="J68">
        <v>770</v>
      </c>
      <c r="K68" t="s">
        <v>3148</v>
      </c>
    </row>
    <row r="69" spans="1:11">
      <c r="A69" s="13" t="s">
        <v>492</v>
      </c>
      <c r="D69" s="7" t="s">
        <v>492</v>
      </c>
      <c r="F69" s="13" t="s">
        <v>719</v>
      </c>
      <c r="G69" s="7" t="s">
        <v>719</v>
      </c>
      <c r="J69">
        <v>772</v>
      </c>
      <c r="K69" t="s">
        <v>3149</v>
      </c>
    </row>
    <row r="70" spans="1:11">
      <c r="A70" s="13" t="s">
        <v>493</v>
      </c>
      <c r="D70" s="7" t="s">
        <v>493</v>
      </c>
      <c r="F70" s="13" t="s">
        <v>720</v>
      </c>
      <c r="G70" s="7" t="s">
        <v>720</v>
      </c>
      <c r="J70">
        <v>773</v>
      </c>
      <c r="K70" t="s">
        <v>3150</v>
      </c>
    </row>
    <row r="71" spans="1:11">
      <c r="A71" s="13" t="s">
        <v>494</v>
      </c>
      <c r="D71" s="7" t="s">
        <v>494</v>
      </c>
      <c r="F71" s="13" t="s">
        <v>721</v>
      </c>
      <c r="G71" s="7" t="s">
        <v>721</v>
      </c>
      <c r="J71">
        <v>867</v>
      </c>
      <c r="K71" t="s">
        <v>3151</v>
      </c>
    </row>
    <row r="72" spans="1:11">
      <c r="A72" s="13" t="s">
        <v>495</v>
      </c>
      <c r="D72" s="7" t="s">
        <v>495</v>
      </c>
      <c r="F72" s="13" t="s">
        <v>722</v>
      </c>
      <c r="G72" s="7" t="s">
        <v>722</v>
      </c>
      <c r="J72">
        <v>823</v>
      </c>
      <c r="K72" t="s">
        <v>3152</v>
      </c>
    </row>
    <row r="73" spans="1:11">
      <c r="A73" s="13" t="s">
        <v>496</v>
      </c>
      <c r="D73" s="7" t="s">
        <v>496</v>
      </c>
      <c r="F73" s="13" t="s">
        <v>723</v>
      </c>
      <c r="G73" s="7" t="s">
        <v>723</v>
      </c>
      <c r="J73">
        <v>886</v>
      </c>
      <c r="K73" t="s">
        <v>3153</v>
      </c>
    </row>
    <row r="74" spans="1:11">
      <c r="A74" s="13" t="s">
        <v>497</v>
      </c>
      <c r="D74" s="7" t="s">
        <v>497</v>
      </c>
      <c r="F74" s="13" t="s">
        <v>724</v>
      </c>
      <c r="G74" s="7" t="s">
        <v>724</v>
      </c>
      <c r="J74">
        <v>778</v>
      </c>
      <c r="K74" t="s">
        <v>3154</v>
      </c>
    </row>
    <row r="75" spans="1:11">
      <c r="A75" s="13" t="s">
        <v>498</v>
      </c>
      <c r="D75" s="7" t="s">
        <v>498</v>
      </c>
      <c r="F75" s="13" t="s">
        <v>725</v>
      </c>
      <c r="G75" s="7" t="s">
        <v>725</v>
      </c>
      <c r="J75">
        <v>779</v>
      </c>
      <c r="K75" t="s">
        <v>3155</v>
      </c>
    </row>
    <row r="76" spans="1:11">
      <c r="A76" s="13" t="s">
        <v>499</v>
      </c>
      <c r="D76" s="7" t="s">
        <v>499</v>
      </c>
      <c r="F76" s="13" t="s">
        <v>726</v>
      </c>
      <c r="G76" s="7" t="s">
        <v>726</v>
      </c>
      <c r="J76">
        <v>784</v>
      </c>
      <c r="K76" t="s">
        <v>3156</v>
      </c>
    </row>
    <row r="77" spans="1:11">
      <c r="A77" s="13" t="s">
        <v>500</v>
      </c>
      <c r="D77" s="7" t="s">
        <v>500</v>
      </c>
      <c r="F77" s="13" t="s">
        <v>727</v>
      </c>
      <c r="G77" s="7" t="s">
        <v>727</v>
      </c>
      <c r="J77">
        <v>786</v>
      </c>
      <c r="K77" t="s">
        <v>3157</v>
      </c>
    </row>
    <row r="78" spans="1:11">
      <c r="A78" s="13" t="s">
        <v>501</v>
      </c>
      <c r="D78" s="7" t="s">
        <v>501</v>
      </c>
      <c r="F78" s="13" t="s">
        <v>728</v>
      </c>
      <c r="G78" s="7" t="s">
        <v>728</v>
      </c>
      <c r="J78">
        <v>788</v>
      </c>
      <c r="K78" t="s">
        <v>3158</v>
      </c>
    </row>
    <row r="79" spans="1:11">
      <c r="A79" s="13" t="s">
        <v>502</v>
      </c>
      <c r="D79" s="7" t="s">
        <v>502</v>
      </c>
      <c r="F79" s="13" t="s">
        <v>729</v>
      </c>
      <c r="G79" s="7" t="s">
        <v>729</v>
      </c>
      <c r="J79">
        <v>789</v>
      </c>
      <c r="K79" t="s">
        <v>3159</v>
      </c>
    </row>
    <row r="80" spans="1:11">
      <c r="A80" s="13" t="s">
        <v>503</v>
      </c>
      <c r="D80" s="7" t="s">
        <v>503</v>
      </c>
      <c r="F80" s="13" t="s">
        <v>730</v>
      </c>
      <c r="G80" s="7" t="s">
        <v>730</v>
      </c>
      <c r="J80">
        <v>790</v>
      </c>
      <c r="K80" t="s">
        <v>3160</v>
      </c>
    </row>
    <row r="81" spans="1:11">
      <c r="A81" s="13" t="s">
        <v>504</v>
      </c>
      <c r="D81" s="7" t="s">
        <v>504</v>
      </c>
      <c r="F81" s="13" t="s">
        <v>731</v>
      </c>
      <c r="G81" s="7" t="s">
        <v>731</v>
      </c>
      <c r="J81">
        <v>791</v>
      </c>
      <c r="K81" t="s">
        <v>3161</v>
      </c>
    </row>
    <row r="82" spans="1:11">
      <c r="A82" s="13" t="s">
        <v>505</v>
      </c>
      <c r="D82" s="7" t="s">
        <v>505</v>
      </c>
      <c r="F82" s="13" t="s">
        <v>732</v>
      </c>
      <c r="G82" s="7" t="s">
        <v>732</v>
      </c>
      <c r="J82">
        <v>792</v>
      </c>
      <c r="K82" t="s">
        <v>3162</v>
      </c>
    </row>
    <row r="83" spans="1:11">
      <c r="A83" s="13" t="s">
        <v>506</v>
      </c>
      <c r="D83" s="7" t="s">
        <v>506</v>
      </c>
      <c r="F83" s="13" t="s">
        <v>733</v>
      </c>
      <c r="G83" s="7" t="s">
        <v>733</v>
      </c>
      <c r="J83">
        <v>793</v>
      </c>
      <c r="K83" t="s">
        <v>3163</v>
      </c>
    </row>
    <row r="84" spans="1:11">
      <c r="A84" s="13" t="s">
        <v>507</v>
      </c>
      <c r="D84" s="7" t="s">
        <v>507</v>
      </c>
      <c r="F84" s="13" t="s">
        <v>734</v>
      </c>
      <c r="G84" s="7" t="s">
        <v>734</v>
      </c>
      <c r="J84">
        <v>796</v>
      </c>
      <c r="K84" t="s">
        <v>3164</v>
      </c>
    </row>
    <row r="85" spans="1:11">
      <c r="A85" s="13" t="s">
        <v>508</v>
      </c>
      <c r="D85" s="7" t="s">
        <v>508</v>
      </c>
      <c r="F85" s="13" t="s">
        <v>735</v>
      </c>
      <c r="G85" s="7" t="s">
        <v>735</v>
      </c>
      <c r="J85">
        <v>797</v>
      </c>
      <c r="K85" t="s">
        <v>3165</v>
      </c>
    </row>
    <row r="86" spans="1:11">
      <c r="A86" s="13" t="s">
        <v>509</v>
      </c>
      <c r="D86" s="7" t="s">
        <v>509</v>
      </c>
      <c r="F86" s="13" t="s">
        <v>736</v>
      </c>
      <c r="G86" s="7" t="s">
        <v>736</v>
      </c>
      <c r="J86">
        <v>799</v>
      </c>
      <c r="K86" t="s">
        <v>3166</v>
      </c>
    </row>
    <row r="87" spans="1:11">
      <c r="A87" s="13" t="s">
        <v>510</v>
      </c>
      <c r="D87" s="7" t="s">
        <v>510</v>
      </c>
      <c r="F87" s="13" t="s">
        <v>737</v>
      </c>
      <c r="G87" s="7" t="s">
        <v>737</v>
      </c>
      <c r="J87">
        <v>802</v>
      </c>
      <c r="K87" t="s">
        <v>3167</v>
      </c>
    </row>
    <row r="88" spans="1:11">
      <c r="A88" s="13" t="s">
        <v>511</v>
      </c>
      <c r="D88" s="7" t="s">
        <v>511</v>
      </c>
      <c r="F88" s="13" t="s">
        <v>738</v>
      </c>
      <c r="G88" s="7" t="s">
        <v>738</v>
      </c>
      <c r="J88">
        <v>804</v>
      </c>
      <c r="K88" t="s">
        <v>3168</v>
      </c>
    </row>
    <row r="89" spans="1:11">
      <c r="A89" s="13" t="s">
        <v>512</v>
      </c>
      <c r="D89" s="7" t="s">
        <v>512</v>
      </c>
      <c r="F89" s="13" t="s">
        <v>739</v>
      </c>
      <c r="G89" s="7" t="s">
        <v>739</v>
      </c>
      <c r="J89">
        <v>807</v>
      </c>
      <c r="K89" t="s">
        <v>3169</v>
      </c>
    </row>
    <row r="90" spans="1:11">
      <c r="A90" s="13" t="s">
        <v>513</v>
      </c>
      <c r="D90" s="7" t="s">
        <v>513</v>
      </c>
      <c r="F90" s="13" t="s">
        <v>740</v>
      </c>
      <c r="G90" s="7" t="s">
        <v>740</v>
      </c>
      <c r="J90">
        <v>811</v>
      </c>
      <c r="K90" t="s">
        <v>3170</v>
      </c>
    </row>
    <row r="91" spans="1:11">
      <c r="A91" s="13" t="s">
        <v>514</v>
      </c>
      <c r="D91" s="7" t="s">
        <v>514</v>
      </c>
      <c r="F91" s="13" t="s">
        <v>741</v>
      </c>
      <c r="G91" s="7" t="s">
        <v>741</v>
      </c>
      <c r="J91">
        <v>812</v>
      </c>
      <c r="K91" t="s">
        <v>3171</v>
      </c>
    </row>
    <row r="92" spans="1:11">
      <c r="A92" s="13" t="s">
        <v>515</v>
      </c>
      <c r="D92" s="7" t="s">
        <v>515</v>
      </c>
      <c r="F92" s="13" t="s">
        <v>742</v>
      </c>
      <c r="G92" s="7" t="s">
        <v>742</v>
      </c>
      <c r="J92">
        <v>818</v>
      </c>
      <c r="K92" t="s">
        <v>3172</v>
      </c>
    </row>
    <row r="93" spans="1:11">
      <c r="A93" s="13" t="s">
        <v>516</v>
      </c>
      <c r="D93" s="7" t="s">
        <v>516</v>
      </c>
      <c r="F93" s="13" t="s">
        <v>743</v>
      </c>
      <c r="G93" s="7" t="s">
        <v>743</v>
      </c>
      <c r="J93">
        <v>819</v>
      </c>
      <c r="K93" t="s">
        <v>3173</v>
      </c>
    </row>
    <row r="94" spans="1:11">
      <c r="A94" s="13" t="s">
        <v>517</v>
      </c>
      <c r="D94" s="7" t="s">
        <v>517</v>
      </c>
      <c r="F94" s="13" t="s">
        <v>744</v>
      </c>
      <c r="G94" s="7" t="s">
        <v>744</v>
      </c>
      <c r="J94">
        <v>820</v>
      </c>
      <c r="K94" t="s">
        <v>3174</v>
      </c>
    </row>
    <row r="95" spans="1:11">
      <c r="A95" s="13" t="s">
        <v>518</v>
      </c>
      <c r="D95" s="7" t="s">
        <v>518</v>
      </c>
      <c r="F95" s="13" t="s">
        <v>745</v>
      </c>
      <c r="G95" s="7" t="s">
        <v>745</v>
      </c>
      <c r="J95">
        <v>821</v>
      </c>
      <c r="K95" t="s">
        <v>3175</v>
      </c>
    </row>
    <row r="96" spans="1:11">
      <c r="A96" s="13" t="s">
        <v>519</v>
      </c>
      <c r="D96" s="7" t="s">
        <v>519</v>
      </c>
      <c r="F96" s="13" t="s">
        <v>746</v>
      </c>
      <c r="G96" s="7" t="s">
        <v>746</v>
      </c>
      <c r="J96">
        <v>822</v>
      </c>
      <c r="K96" t="s">
        <v>3176</v>
      </c>
    </row>
    <row r="97" spans="1:11">
      <c r="A97" s="13" t="s">
        <v>520</v>
      </c>
      <c r="D97" s="7" t="s">
        <v>520</v>
      </c>
      <c r="F97" s="13" t="s">
        <v>747</v>
      </c>
      <c r="G97" s="7" t="s">
        <v>747</v>
      </c>
      <c r="J97">
        <v>824</v>
      </c>
      <c r="K97" t="s">
        <v>3177</v>
      </c>
    </row>
    <row r="98" spans="1:11">
      <c r="A98" s="13" t="s">
        <v>521</v>
      </c>
      <c r="D98" s="7" t="s">
        <v>521</v>
      </c>
      <c r="F98" s="13" t="s">
        <v>748</v>
      </c>
      <c r="G98" s="7" t="s">
        <v>748</v>
      </c>
      <c r="J98">
        <v>825</v>
      </c>
      <c r="K98" t="s">
        <v>3178</v>
      </c>
    </row>
    <row r="99" spans="1:11">
      <c r="A99" s="13" t="s">
        <v>522</v>
      </c>
      <c r="D99" s="7" t="s">
        <v>522</v>
      </c>
      <c r="F99" s="13" t="s">
        <v>749</v>
      </c>
      <c r="G99" s="7" t="s">
        <v>749</v>
      </c>
      <c r="J99">
        <v>870</v>
      </c>
      <c r="K99" t="s">
        <v>3179</v>
      </c>
    </row>
    <row r="100" spans="1:11">
      <c r="A100" s="13" t="s">
        <v>523</v>
      </c>
      <c r="D100" s="7" t="s">
        <v>523</v>
      </c>
      <c r="F100" s="13" t="s">
        <v>750</v>
      </c>
      <c r="G100" s="7" t="s">
        <v>750</v>
      </c>
      <c r="J100">
        <v>874</v>
      </c>
      <c r="K100" t="s">
        <v>3180</v>
      </c>
    </row>
    <row r="101" spans="1:11">
      <c r="A101" s="13" t="s">
        <v>524</v>
      </c>
      <c r="D101" s="7" t="s">
        <v>524</v>
      </c>
      <c r="F101" s="13" t="s">
        <v>751</v>
      </c>
      <c r="G101" s="7" t="s">
        <v>751</v>
      </c>
      <c r="J101">
        <v>877</v>
      </c>
      <c r="K101" t="s">
        <v>3181</v>
      </c>
    </row>
    <row r="102" spans="1:11">
      <c r="A102" s="13" t="s">
        <v>410</v>
      </c>
      <c r="D102" s="7" t="s">
        <v>410</v>
      </c>
      <c r="F102" s="13" t="s">
        <v>752</v>
      </c>
      <c r="G102" s="7" t="s">
        <v>752</v>
      </c>
      <c r="J102">
        <v>881</v>
      </c>
      <c r="K102" t="s">
        <v>3182</v>
      </c>
    </row>
    <row r="103" spans="1:11">
      <c r="A103" s="13" t="s">
        <v>525</v>
      </c>
      <c r="D103" s="7" t="s">
        <v>525</v>
      </c>
      <c r="F103" s="13" t="s">
        <v>753</v>
      </c>
      <c r="G103" s="7" t="s">
        <v>754</v>
      </c>
      <c r="J103">
        <v>885</v>
      </c>
      <c r="K103" t="s">
        <v>3183</v>
      </c>
    </row>
    <row r="104" spans="1:11">
      <c r="A104" s="13" t="s">
        <v>526</v>
      </c>
      <c r="D104" s="7" t="s">
        <v>526</v>
      </c>
      <c r="F104" s="13" t="s">
        <v>754</v>
      </c>
      <c r="G104" s="7" t="s">
        <v>755</v>
      </c>
      <c r="J104">
        <v>888</v>
      </c>
      <c r="K104" t="s">
        <v>3184</v>
      </c>
    </row>
    <row r="105" spans="1:11">
      <c r="A105" s="13" t="s">
        <v>527</v>
      </c>
      <c r="D105" s="7" t="s">
        <v>527</v>
      </c>
      <c r="F105" s="13" t="s">
        <v>755</v>
      </c>
      <c r="G105" s="7" t="s">
        <v>756</v>
      </c>
      <c r="J105">
        <v>842</v>
      </c>
      <c r="K105" t="s">
        <v>3185</v>
      </c>
    </row>
    <row r="106" spans="1:11">
      <c r="A106" s="13" t="s">
        <v>528</v>
      </c>
      <c r="D106" s="7" t="s">
        <v>528</v>
      </c>
      <c r="F106" s="13" t="s">
        <v>756</v>
      </c>
      <c r="G106" s="7" t="s">
        <v>757</v>
      </c>
      <c r="J106">
        <v>889</v>
      </c>
      <c r="K106" t="s">
        <v>3186</v>
      </c>
    </row>
    <row r="107" spans="1:11">
      <c r="A107" s="13" t="s">
        <v>529</v>
      </c>
      <c r="D107" s="7" t="s">
        <v>529</v>
      </c>
      <c r="F107" s="13" t="s">
        <v>757</v>
      </c>
      <c r="G107" s="7" t="s">
        <v>758</v>
      </c>
      <c r="J107">
        <v>891</v>
      </c>
      <c r="K107" t="s">
        <v>3187</v>
      </c>
    </row>
    <row r="108" spans="1:11">
      <c r="A108" s="13" t="s">
        <v>530</v>
      </c>
      <c r="D108" s="7" t="s">
        <v>530</v>
      </c>
      <c r="F108" s="13" t="s">
        <v>758</v>
      </c>
      <c r="G108" s="7" t="s">
        <v>759</v>
      </c>
      <c r="J108">
        <v>893</v>
      </c>
      <c r="K108" t="s">
        <v>3188</v>
      </c>
    </row>
    <row r="109" spans="1:11">
      <c r="A109" s="13" t="s">
        <v>531</v>
      </c>
      <c r="D109" s="7" t="s">
        <v>531</v>
      </c>
      <c r="F109" s="13" t="s">
        <v>759</v>
      </c>
      <c r="G109" s="7" t="s">
        <v>760</v>
      </c>
      <c r="J109">
        <v>894</v>
      </c>
      <c r="K109" t="s">
        <v>3189</v>
      </c>
    </row>
    <row r="110" spans="1:11">
      <c r="A110" s="13" t="s">
        <v>532</v>
      </c>
      <c r="D110" s="7" t="s">
        <v>532</v>
      </c>
      <c r="F110" s="13" t="s">
        <v>760</v>
      </c>
      <c r="G110" s="7" t="s">
        <v>761</v>
      </c>
      <c r="J110">
        <v>907</v>
      </c>
      <c r="K110" t="s">
        <v>3190</v>
      </c>
    </row>
    <row r="111" spans="1:11">
      <c r="A111" s="13" t="s">
        <v>533</v>
      </c>
      <c r="D111" s="7" t="s">
        <v>533</v>
      </c>
      <c r="F111" s="13" t="s">
        <v>761</v>
      </c>
      <c r="G111" s="7" t="s">
        <v>762</v>
      </c>
      <c r="J111">
        <v>897</v>
      </c>
      <c r="K111" t="s">
        <v>3191</v>
      </c>
    </row>
    <row r="112" spans="1:11">
      <c r="A112" s="13" t="s">
        <v>534</v>
      </c>
      <c r="D112" s="7" t="s">
        <v>534</v>
      </c>
      <c r="F112" s="13" t="s">
        <v>762</v>
      </c>
      <c r="G112" s="7" t="s">
        <v>763</v>
      </c>
      <c r="J112">
        <v>898</v>
      </c>
      <c r="K112" t="s">
        <v>3192</v>
      </c>
    </row>
    <row r="113" spans="1:11">
      <c r="A113" s="13" t="s">
        <v>535</v>
      </c>
      <c r="D113" s="7" t="s">
        <v>535</v>
      </c>
      <c r="F113" s="13" t="s">
        <v>763</v>
      </c>
      <c r="G113" s="7" t="s">
        <v>764</v>
      </c>
      <c r="J113">
        <v>905</v>
      </c>
      <c r="K113" t="s">
        <v>3193</v>
      </c>
    </row>
    <row r="114" spans="1:11">
      <c r="A114" s="13" t="s">
        <v>536</v>
      </c>
      <c r="D114" s="7" t="s">
        <v>536</v>
      </c>
      <c r="F114" s="13" t="s">
        <v>764</v>
      </c>
      <c r="G114" s="7" t="s">
        <v>765</v>
      </c>
      <c r="J114">
        <v>912</v>
      </c>
      <c r="K114" t="s">
        <v>3194</v>
      </c>
    </row>
    <row r="115" spans="1:11">
      <c r="A115" s="13" t="s">
        <v>537</v>
      </c>
      <c r="D115" s="7" t="s">
        <v>537</v>
      </c>
      <c r="F115" s="13" t="s">
        <v>765</v>
      </c>
      <c r="G115" s="7" t="s">
        <v>766</v>
      </c>
      <c r="J115">
        <v>913</v>
      </c>
      <c r="K115" t="s">
        <v>3195</v>
      </c>
    </row>
    <row r="116" spans="1:11">
      <c r="A116" s="13" t="s">
        <v>538</v>
      </c>
      <c r="D116" s="7" t="s">
        <v>538</v>
      </c>
      <c r="F116" s="13" t="s">
        <v>766</v>
      </c>
      <c r="G116" s="7" t="s">
        <v>767</v>
      </c>
      <c r="J116">
        <v>917</v>
      </c>
      <c r="K116" t="s">
        <v>3196</v>
      </c>
    </row>
    <row r="117" spans="1:11">
      <c r="A117" s="13" t="s">
        <v>539</v>
      </c>
      <c r="D117" s="7" t="s">
        <v>539</v>
      </c>
      <c r="F117" s="13" t="s">
        <v>767</v>
      </c>
      <c r="G117" s="7" t="s">
        <v>768</v>
      </c>
      <c r="J117">
        <v>827</v>
      </c>
      <c r="K117" t="s">
        <v>3197</v>
      </c>
    </row>
    <row r="118" spans="1:11">
      <c r="A118" s="13" t="s">
        <v>540</v>
      </c>
      <c r="D118" s="7" t="s">
        <v>540</v>
      </c>
      <c r="F118" s="13" t="s">
        <v>768</v>
      </c>
      <c r="G118" s="7" t="s">
        <v>769</v>
      </c>
      <c r="J118">
        <v>828</v>
      </c>
      <c r="K118" t="s">
        <v>3198</v>
      </c>
    </row>
    <row r="119" spans="1:11">
      <c r="A119" s="13" t="s">
        <v>541</v>
      </c>
      <c r="D119" s="7" t="s">
        <v>541</v>
      </c>
      <c r="F119" s="13" t="s">
        <v>769</v>
      </c>
      <c r="G119" s="7" t="s">
        <v>770</v>
      </c>
      <c r="J119">
        <v>833</v>
      </c>
      <c r="K119" t="s">
        <v>3199</v>
      </c>
    </row>
    <row r="120" spans="1:11">
      <c r="A120" s="13" t="s">
        <v>542</v>
      </c>
      <c r="D120" s="7" t="s">
        <v>542</v>
      </c>
      <c r="F120" s="13" t="s">
        <v>770</v>
      </c>
      <c r="G120" s="7" t="s">
        <v>771</v>
      </c>
      <c r="J120">
        <v>834</v>
      </c>
      <c r="K120" t="s">
        <v>3200</v>
      </c>
    </row>
    <row r="121" spans="1:11">
      <c r="A121" s="13" t="s">
        <v>543</v>
      </c>
      <c r="D121" s="7" t="s">
        <v>543</v>
      </c>
      <c r="F121" s="13" t="s">
        <v>771</v>
      </c>
      <c r="G121" s="7" t="s">
        <v>417</v>
      </c>
      <c r="J121">
        <v>875</v>
      </c>
      <c r="K121" t="s">
        <v>3201</v>
      </c>
    </row>
    <row r="122" spans="1:11">
      <c r="A122" s="13" t="s">
        <v>544</v>
      </c>
      <c r="D122" s="7" t="s">
        <v>544</v>
      </c>
      <c r="F122" s="13" t="s">
        <v>417</v>
      </c>
      <c r="G122" s="7" t="s">
        <v>772</v>
      </c>
      <c r="J122">
        <v>815</v>
      </c>
      <c r="K122" t="s">
        <v>3202</v>
      </c>
    </row>
    <row r="123" spans="1:11">
      <c r="A123" s="13" t="s">
        <v>545</v>
      </c>
      <c r="D123" s="7" t="s">
        <v>546</v>
      </c>
      <c r="F123" s="13" t="s">
        <v>772</v>
      </c>
      <c r="G123" s="7" t="s">
        <v>773</v>
      </c>
      <c r="J123">
        <v>840</v>
      </c>
      <c r="K123" t="s">
        <v>3203</v>
      </c>
    </row>
    <row r="124" spans="1:11">
      <c r="A124" s="13" t="s">
        <v>546</v>
      </c>
      <c r="D124" s="7" t="s">
        <v>547</v>
      </c>
      <c r="F124" s="13" t="s">
        <v>773</v>
      </c>
      <c r="G124" s="7" t="s">
        <v>774</v>
      </c>
      <c r="J124">
        <v>843</v>
      </c>
      <c r="K124" t="s">
        <v>3204</v>
      </c>
    </row>
    <row r="125" spans="1:11">
      <c r="A125" s="13" t="s">
        <v>547</v>
      </c>
      <c r="D125" s="7" t="s">
        <v>548</v>
      </c>
      <c r="F125" s="13" t="s">
        <v>774</v>
      </c>
      <c r="G125" s="7" t="s">
        <v>775</v>
      </c>
      <c r="J125">
        <v>844</v>
      </c>
      <c r="K125" t="s">
        <v>3205</v>
      </c>
    </row>
    <row r="126" spans="1:11">
      <c r="A126" s="13" t="s">
        <v>548</v>
      </c>
      <c r="D126" s="7" t="s">
        <v>549</v>
      </c>
      <c r="F126" s="13" t="s">
        <v>775</v>
      </c>
      <c r="G126" s="7" t="s">
        <v>776</v>
      </c>
      <c r="J126">
        <v>845</v>
      </c>
      <c r="K126" t="s">
        <v>3206</v>
      </c>
    </row>
    <row r="127" spans="1:11">
      <c r="A127" s="13" t="s">
        <v>549</v>
      </c>
      <c r="D127" s="7" t="s">
        <v>550</v>
      </c>
      <c r="F127" s="13" t="s">
        <v>776</v>
      </c>
      <c r="G127" s="7" t="s">
        <v>777</v>
      </c>
      <c r="J127">
        <v>849</v>
      </c>
      <c r="K127" t="s">
        <v>3207</v>
      </c>
    </row>
    <row r="128" spans="1:11">
      <c r="A128" s="13" t="s">
        <v>550</v>
      </c>
      <c r="D128" s="7" t="s">
        <v>551</v>
      </c>
      <c r="F128" s="13" t="s">
        <v>777</v>
      </c>
      <c r="G128" s="7" t="s">
        <v>778</v>
      </c>
      <c r="J128">
        <v>850</v>
      </c>
      <c r="K128" t="s">
        <v>3208</v>
      </c>
    </row>
    <row r="129" spans="1:11">
      <c r="A129" s="13" t="s">
        <v>551</v>
      </c>
      <c r="D129" s="7" t="s">
        <v>552</v>
      </c>
      <c r="F129" s="13" t="s">
        <v>778</v>
      </c>
      <c r="G129" s="7" t="s">
        <v>779</v>
      </c>
      <c r="J129">
        <v>853</v>
      </c>
      <c r="K129" t="s">
        <v>3209</v>
      </c>
    </row>
    <row r="130" spans="1:11">
      <c r="A130" s="13" t="s">
        <v>552</v>
      </c>
      <c r="D130" s="7" t="s">
        <v>553</v>
      </c>
      <c r="F130" s="13" t="s">
        <v>779</v>
      </c>
      <c r="G130" s="7" t="s">
        <v>780</v>
      </c>
      <c r="J130">
        <v>854</v>
      </c>
      <c r="K130" t="s">
        <v>3210</v>
      </c>
    </row>
    <row r="131" spans="1:11">
      <c r="A131" s="13" t="s">
        <v>553</v>
      </c>
      <c r="D131" s="7" t="s">
        <v>554</v>
      </c>
      <c r="F131" s="13" t="s">
        <v>780</v>
      </c>
      <c r="G131" s="7" t="s">
        <v>781</v>
      </c>
      <c r="J131">
        <v>855</v>
      </c>
      <c r="K131" t="s">
        <v>3211</v>
      </c>
    </row>
    <row r="132" spans="1:11">
      <c r="A132" s="13" t="s">
        <v>554</v>
      </c>
      <c r="D132" s="7" t="s">
        <v>555</v>
      </c>
      <c r="F132" s="13" t="s">
        <v>781</v>
      </c>
      <c r="G132" s="7" t="s">
        <v>782</v>
      </c>
      <c r="J132">
        <v>857</v>
      </c>
      <c r="K132" t="s">
        <v>3212</v>
      </c>
    </row>
    <row r="133" spans="1:11">
      <c r="A133" s="13" t="s">
        <v>555</v>
      </c>
      <c r="D133" s="7" t="s">
        <v>556</v>
      </c>
      <c r="F133" s="13" t="s">
        <v>782</v>
      </c>
      <c r="G133" s="7" t="s">
        <v>783</v>
      </c>
      <c r="J133">
        <v>871</v>
      </c>
      <c r="K133" t="s">
        <v>3213</v>
      </c>
    </row>
    <row r="134" spans="1:11">
      <c r="A134" s="13" t="s">
        <v>556</v>
      </c>
      <c r="D134" s="7" t="s">
        <v>557</v>
      </c>
      <c r="F134" s="13" t="s">
        <v>783</v>
      </c>
      <c r="G134" s="7" t="s">
        <v>784</v>
      </c>
      <c r="J134">
        <v>863</v>
      </c>
      <c r="K134" t="s">
        <v>3214</v>
      </c>
    </row>
    <row r="135" spans="1:11">
      <c r="A135" s="13" t="s">
        <v>557</v>
      </c>
      <c r="D135" s="7" t="s">
        <v>558</v>
      </c>
      <c r="F135" s="13" t="s">
        <v>784</v>
      </c>
      <c r="G135" s="7" t="s">
        <v>785</v>
      </c>
      <c r="J135">
        <v>758</v>
      </c>
      <c r="K135" t="s">
        <v>3215</v>
      </c>
    </row>
    <row r="136" spans="1:11">
      <c r="A136" s="13" t="s">
        <v>558</v>
      </c>
      <c r="D136" s="7" t="s">
        <v>559</v>
      </c>
      <c r="F136" s="13" t="s">
        <v>785</v>
      </c>
      <c r="G136" s="7" t="s">
        <v>786</v>
      </c>
      <c r="J136">
        <v>872</v>
      </c>
      <c r="K136" t="s">
        <v>3216</v>
      </c>
    </row>
    <row r="137" spans="1:11">
      <c r="A137" s="13" t="s">
        <v>559</v>
      </c>
      <c r="D137" s="7" t="s">
        <v>560</v>
      </c>
      <c r="F137" s="13" t="s">
        <v>786</v>
      </c>
      <c r="G137" s="7" t="s">
        <v>787</v>
      </c>
      <c r="J137">
        <v>876</v>
      </c>
      <c r="K137" t="s">
        <v>3217</v>
      </c>
    </row>
    <row r="138" spans="1:11">
      <c r="A138" s="13" t="s">
        <v>560</v>
      </c>
      <c r="D138" s="7" t="s">
        <v>561</v>
      </c>
      <c r="F138" s="13" t="s">
        <v>787</v>
      </c>
      <c r="G138" s="7" t="s">
        <v>788</v>
      </c>
      <c r="J138">
        <v>878</v>
      </c>
      <c r="K138" t="s">
        <v>3218</v>
      </c>
    </row>
    <row r="139" spans="1:11">
      <c r="A139" s="13" t="s">
        <v>561</v>
      </c>
      <c r="D139" s="7" t="s">
        <v>562</v>
      </c>
      <c r="F139" s="13" t="s">
        <v>788</v>
      </c>
      <c r="G139" s="7" t="s">
        <v>789</v>
      </c>
      <c r="J139">
        <v>884</v>
      </c>
      <c r="K139" t="s">
        <v>3219</v>
      </c>
    </row>
    <row r="140" spans="1:11">
      <c r="A140" s="13" t="s">
        <v>562</v>
      </c>
      <c r="D140" s="7" t="s">
        <v>563</v>
      </c>
      <c r="F140" s="13" t="s">
        <v>789</v>
      </c>
      <c r="G140" s="7" t="s">
        <v>790</v>
      </c>
      <c r="J140">
        <v>892</v>
      </c>
      <c r="K140" t="s">
        <v>3220</v>
      </c>
    </row>
    <row r="141" spans="1:11">
      <c r="A141" s="13" t="s">
        <v>563</v>
      </c>
      <c r="D141" s="7" t="s">
        <v>564</v>
      </c>
      <c r="F141" s="13" t="s">
        <v>790</v>
      </c>
      <c r="G141" s="7" t="s">
        <v>791</v>
      </c>
      <c r="J141">
        <v>901</v>
      </c>
      <c r="K141" t="s">
        <v>3221</v>
      </c>
    </row>
    <row r="142" spans="1:11">
      <c r="A142" s="13" t="s">
        <v>564</v>
      </c>
      <c r="D142" s="7" t="s">
        <v>411</v>
      </c>
      <c r="F142" s="13" t="s">
        <v>791</v>
      </c>
      <c r="G142" s="7" t="s">
        <v>792</v>
      </c>
      <c r="J142">
        <v>903</v>
      </c>
      <c r="K142" t="s">
        <v>3222</v>
      </c>
    </row>
    <row r="143" spans="1:11">
      <c r="A143" s="13" t="s">
        <v>411</v>
      </c>
      <c r="D143" s="7" t="s">
        <v>565</v>
      </c>
      <c r="F143" s="13" t="s">
        <v>792</v>
      </c>
      <c r="G143" s="7" t="s">
        <v>793</v>
      </c>
      <c r="J143">
        <v>906</v>
      </c>
      <c r="K143" t="s">
        <v>3223</v>
      </c>
    </row>
    <row r="144" spans="1:11">
      <c r="A144" s="13" t="s">
        <v>565</v>
      </c>
      <c r="D144" s="7" t="s">
        <v>566</v>
      </c>
      <c r="F144" s="13" t="s">
        <v>793</v>
      </c>
      <c r="G144" s="7" t="s">
        <v>794</v>
      </c>
      <c r="J144">
        <v>837</v>
      </c>
      <c r="K144" t="s">
        <v>3224</v>
      </c>
    </row>
    <row r="145" spans="1:11">
      <c r="A145" s="13" t="s">
        <v>566</v>
      </c>
      <c r="D145" s="7" t="s">
        <v>567</v>
      </c>
      <c r="F145" s="13" t="s">
        <v>794</v>
      </c>
      <c r="G145" s="7" t="s">
        <v>795</v>
      </c>
      <c r="J145">
        <v>852</v>
      </c>
      <c r="K145" t="s">
        <v>3225</v>
      </c>
    </row>
    <row r="146" spans="1:11">
      <c r="A146" s="13" t="s">
        <v>567</v>
      </c>
      <c r="D146" s="7" t="s">
        <v>568</v>
      </c>
      <c r="F146" s="13" t="s">
        <v>795</v>
      </c>
      <c r="G146" s="7" t="s">
        <v>796</v>
      </c>
      <c r="J146">
        <v>883</v>
      </c>
      <c r="K146" t="s">
        <v>3226</v>
      </c>
    </row>
    <row r="147" spans="1:11">
      <c r="A147" s="13" t="s">
        <v>568</v>
      </c>
      <c r="D147" s="7" t="s">
        <v>413</v>
      </c>
      <c r="F147" s="13" t="s">
        <v>796</v>
      </c>
      <c r="G147" s="7" t="s">
        <v>797</v>
      </c>
      <c r="J147">
        <v>899</v>
      </c>
      <c r="K147" t="s">
        <v>3227</v>
      </c>
    </row>
    <row r="148" spans="1:11">
      <c r="A148" s="13" t="s">
        <v>413</v>
      </c>
      <c r="D148" s="7" t="s">
        <v>569</v>
      </c>
      <c r="F148" s="13" t="s">
        <v>797</v>
      </c>
      <c r="G148" s="7" t="s">
        <v>798</v>
      </c>
      <c r="J148">
        <v>711</v>
      </c>
      <c r="K148" t="s">
        <v>3228</v>
      </c>
    </row>
    <row r="149" spans="1:11">
      <c r="A149" s="13" t="s">
        <v>569</v>
      </c>
      <c r="D149" s="7" t="s">
        <v>570</v>
      </c>
      <c r="F149" s="13" t="s">
        <v>798</v>
      </c>
      <c r="G149" s="7" t="s">
        <v>799</v>
      </c>
      <c r="J149">
        <v>841</v>
      </c>
      <c r="K149" t="s">
        <v>3229</v>
      </c>
    </row>
    <row r="150" spans="1:11">
      <c r="A150" s="13" t="s">
        <v>570</v>
      </c>
      <c r="D150" s="7" t="s">
        <v>571</v>
      </c>
      <c r="F150" s="13" t="s">
        <v>799</v>
      </c>
      <c r="G150" s="7" t="s">
        <v>800</v>
      </c>
      <c r="J150">
        <v>916</v>
      </c>
      <c r="K150" t="s">
        <v>3230</v>
      </c>
    </row>
    <row r="151" spans="1:11">
      <c r="A151" s="13" t="s">
        <v>571</v>
      </c>
      <c r="D151" s="7" t="s">
        <v>572</v>
      </c>
      <c r="F151" s="13" t="s">
        <v>800</v>
      </c>
      <c r="G151" s="7" t="s">
        <v>801</v>
      </c>
      <c r="J151">
        <v>895</v>
      </c>
      <c r="K151" t="s">
        <v>3231</v>
      </c>
    </row>
    <row r="152" spans="1:11">
      <c r="A152" s="13" t="s">
        <v>572</v>
      </c>
      <c r="D152" s="7" t="s">
        <v>573</v>
      </c>
      <c r="F152" s="13" t="s">
        <v>801</v>
      </c>
      <c r="G152" s="7" t="s">
        <v>802</v>
      </c>
      <c r="J152">
        <v>725</v>
      </c>
      <c r="K152" t="s">
        <v>3232</v>
      </c>
    </row>
    <row r="153" spans="1:11">
      <c r="A153" s="13" t="s">
        <v>573</v>
      </c>
      <c r="D153" s="7" t="s">
        <v>414</v>
      </c>
      <c r="F153" s="13" t="s">
        <v>802</v>
      </c>
      <c r="G153" s="7" t="s">
        <v>803</v>
      </c>
      <c r="J153">
        <v>738</v>
      </c>
      <c r="K153" t="s">
        <v>3233</v>
      </c>
    </row>
    <row r="154" spans="1:11">
      <c r="A154" s="13" t="s">
        <v>414</v>
      </c>
      <c r="D154" s="7" t="s">
        <v>574</v>
      </c>
      <c r="F154" s="13" t="s">
        <v>803</v>
      </c>
      <c r="G154" s="7" t="s">
        <v>804</v>
      </c>
      <c r="J154">
        <v>847</v>
      </c>
      <c r="K154" t="s">
        <v>3234</v>
      </c>
    </row>
    <row r="155" spans="1:11">
      <c r="A155" s="13" t="s">
        <v>574</v>
      </c>
      <c r="D155" s="7" t="s">
        <v>575</v>
      </c>
      <c r="F155" s="13" t="s">
        <v>804</v>
      </c>
      <c r="G155" s="7" t="s">
        <v>805</v>
      </c>
      <c r="J155">
        <v>914</v>
      </c>
      <c r="K155" t="s">
        <v>3235</v>
      </c>
    </row>
    <row r="156" spans="1:11">
      <c r="A156" s="13" t="s">
        <v>575</v>
      </c>
      <c r="D156" s="7" t="s">
        <v>576</v>
      </c>
      <c r="F156" s="13" t="s">
        <v>805</v>
      </c>
      <c r="G156" s="7" t="s">
        <v>806</v>
      </c>
      <c r="J156">
        <v>808</v>
      </c>
      <c r="K156" t="s">
        <v>3236</v>
      </c>
    </row>
    <row r="157" spans="1:11">
      <c r="A157" s="13" t="s">
        <v>576</v>
      </c>
      <c r="D157" s="7" t="s">
        <v>577</v>
      </c>
      <c r="F157" s="13" t="s">
        <v>806</v>
      </c>
      <c r="G157" s="7" t="s">
        <v>807</v>
      </c>
      <c r="J157">
        <v>750</v>
      </c>
      <c r="K157" t="s">
        <v>3237</v>
      </c>
    </row>
    <row r="158" spans="1:11">
      <c r="A158" s="13" t="s">
        <v>577</v>
      </c>
      <c r="D158" s="7" t="s">
        <v>578</v>
      </c>
      <c r="F158" s="13" t="s">
        <v>807</v>
      </c>
      <c r="G158" s="7" t="s">
        <v>808</v>
      </c>
      <c r="J158">
        <v>890</v>
      </c>
      <c r="K158" t="s">
        <v>3238</v>
      </c>
    </row>
    <row r="159" spans="1:11">
      <c r="A159" s="13" t="s">
        <v>578</v>
      </c>
      <c r="D159" s="7" t="s">
        <v>579</v>
      </c>
      <c r="F159" s="13" t="s">
        <v>808</v>
      </c>
      <c r="G159" s="7" t="s">
        <v>809</v>
      </c>
      <c r="J159">
        <v>880</v>
      </c>
      <c r="K159" t="s">
        <v>3239</v>
      </c>
    </row>
    <row r="160" spans="1:11">
      <c r="A160" s="13" t="s">
        <v>579</v>
      </c>
      <c r="D160" s="7" t="s">
        <v>580</v>
      </c>
      <c r="F160" s="13" t="s">
        <v>809</v>
      </c>
      <c r="G160" s="7" t="s">
        <v>810</v>
      </c>
      <c r="J160">
        <v>698</v>
      </c>
      <c r="K160" t="s">
        <v>3240</v>
      </c>
    </row>
    <row r="161" spans="1:11">
      <c r="A161" s="13" t="s">
        <v>580</v>
      </c>
      <c r="D161" s="7" t="s">
        <v>581</v>
      </c>
      <c r="F161" s="13" t="s">
        <v>810</v>
      </c>
      <c r="G161" s="7" t="s">
        <v>811</v>
      </c>
      <c r="J161">
        <v>765</v>
      </c>
      <c r="K161" t="s">
        <v>3241</v>
      </c>
    </row>
    <row r="162" spans="1:11">
      <c r="A162" s="13" t="s">
        <v>581</v>
      </c>
      <c r="D162" s="7" t="s">
        <v>582</v>
      </c>
      <c r="F162" s="13" t="s">
        <v>811</v>
      </c>
      <c r="G162" s="7" t="s">
        <v>813</v>
      </c>
      <c r="J162">
        <v>911</v>
      </c>
      <c r="K162" t="s">
        <v>3242</v>
      </c>
    </row>
    <row r="163" spans="1:11">
      <c r="A163" s="13" t="s">
        <v>582</v>
      </c>
      <c r="D163" s="7" t="s">
        <v>583</v>
      </c>
      <c r="F163" s="13" t="s">
        <v>813</v>
      </c>
      <c r="G163" s="7" t="s">
        <v>814</v>
      </c>
      <c r="J163">
        <v>766</v>
      </c>
      <c r="K163" t="s">
        <v>3243</v>
      </c>
    </row>
    <row r="164" spans="1:11">
      <c r="A164" s="13" t="s">
        <v>583</v>
      </c>
      <c r="D164" s="7" t="s">
        <v>584</v>
      </c>
      <c r="F164" s="13" t="s">
        <v>814</v>
      </c>
      <c r="G164" s="7" t="s">
        <v>815</v>
      </c>
      <c r="J164">
        <v>909</v>
      </c>
      <c r="K164" t="s">
        <v>3244</v>
      </c>
    </row>
    <row r="165" spans="1:11">
      <c r="A165" s="13" t="s">
        <v>584</v>
      </c>
      <c r="D165" s="7" t="s">
        <v>585</v>
      </c>
      <c r="F165" s="13" t="s">
        <v>815</v>
      </c>
      <c r="G165" s="7" t="s">
        <v>816</v>
      </c>
      <c r="J165">
        <v>692</v>
      </c>
      <c r="K165" t="s">
        <v>3245</v>
      </c>
    </row>
    <row r="166" spans="1:11">
      <c r="A166" s="13" t="s">
        <v>585</v>
      </c>
      <c r="D166" s="7" t="s">
        <v>586</v>
      </c>
      <c r="F166" s="13" t="s">
        <v>816</v>
      </c>
      <c r="G166" s="7" t="s">
        <v>817</v>
      </c>
      <c r="J166">
        <v>732</v>
      </c>
      <c r="K166" t="s">
        <v>3246</v>
      </c>
    </row>
    <row r="167" spans="1:11">
      <c r="A167" s="13" t="s">
        <v>586</v>
      </c>
      <c r="D167" s="7" t="s">
        <v>587</v>
      </c>
      <c r="F167" s="13" t="s">
        <v>817</v>
      </c>
      <c r="G167" s="7" t="s">
        <v>818</v>
      </c>
      <c r="J167">
        <v>846</v>
      </c>
      <c r="K167" t="s">
        <v>3247</v>
      </c>
    </row>
    <row r="168" spans="1:11">
      <c r="A168" s="13" t="s">
        <v>587</v>
      </c>
      <c r="D168" s="7" t="s">
        <v>588</v>
      </c>
      <c r="F168" s="13" t="s">
        <v>818</v>
      </c>
      <c r="G168" s="7" t="s">
        <v>819</v>
      </c>
      <c r="J168">
        <v>755</v>
      </c>
      <c r="K168" t="s">
        <v>3248</v>
      </c>
    </row>
    <row r="169" spans="1:11">
      <c r="A169" s="13" t="s">
        <v>588</v>
      </c>
      <c r="D169" s="7" t="s">
        <v>589</v>
      </c>
      <c r="F169" s="13" t="s">
        <v>819</v>
      </c>
      <c r="G169" s="7" t="s">
        <v>820</v>
      </c>
      <c r="J169">
        <v>839</v>
      </c>
      <c r="K169" t="s">
        <v>3249</v>
      </c>
    </row>
    <row r="170" spans="1:11">
      <c r="A170" s="13" t="s">
        <v>589</v>
      </c>
      <c r="D170" s="7" t="s">
        <v>590</v>
      </c>
      <c r="F170" s="13" t="s">
        <v>820</v>
      </c>
      <c r="G170" s="7" t="s">
        <v>821</v>
      </c>
      <c r="J170">
        <v>865</v>
      </c>
      <c r="K170" t="s">
        <v>3250</v>
      </c>
    </row>
    <row r="171" spans="1:11">
      <c r="A171" s="13" t="s">
        <v>590</v>
      </c>
      <c r="D171" s="7" t="s">
        <v>591</v>
      </c>
      <c r="F171" s="13" t="s">
        <v>821</v>
      </c>
      <c r="G171" s="7" t="s">
        <v>822</v>
      </c>
      <c r="J171">
        <v>826</v>
      </c>
      <c r="K171" t="s">
        <v>3251</v>
      </c>
    </row>
    <row r="172" spans="1:11">
      <c r="A172" s="13" t="s">
        <v>591</v>
      </c>
      <c r="D172" s="7" t="s">
        <v>592</v>
      </c>
      <c r="F172" s="13" t="s">
        <v>822</v>
      </c>
      <c r="G172" s="7" t="s">
        <v>823</v>
      </c>
      <c r="J172">
        <v>908</v>
      </c>
      <c r="K172" t="s">
        <v>3252</v>
      </c>
    </row>
    <row r="173" spans="1:11">
      <c r="A173" s="13" t="s">
        <v>592</v>
      </c>
      <c r="D173" s="7" t="s">
        <v>593</v>
      </c>
      <c r="F173" s="13" t="s">
        <v>823</v>
      </c>
      <c r="G173" s="7" t="s">
        <v>824</v>
      </c>
      <c r="J173">
        <v>915</v>
      </c>
      <c r="K173" t="s">
        <v>3253</v>
      </c>
    </row>
    <row r="174" spans="1:11">
      <c r="A174" s="13" t="s">
        <v>593</v>
      </c>
      <c r="D174" s="7" t="s">
        <v>594</v>
      </c>
      <c r="F174" s="13" t="s">
        <v>824</v>
      </c>
      <c r="G174" s="7" t="s">
        <v>418</v>
      </c>
      <c r="J174">
        <v>805</v>
      </c>
      <c r="K174" t="s">
        <v>3254</v>
      </c>
    </row>
    <row r="175" spans="1:11">
      <c r="A175" s="13" t="s">
        <v>594</v>
      </c>
      <c r="D175" s="7" t="s">
        <v>595</v>
      </c>
      <c r="F175" s="13" t="s">
        <v>418</v>
      </c>
      <c r="G175" s="7" t="s">
        <v>825</v>
      </c>
      <c r="J175">
        <v>838</v>
      </c>
      <c r="K175" t="s">
        <v>3255</v>
      </c>
    </row>
    <row r="176" spans="1:11">
      <c r="A176" s="13" t="s">
        <v>595</v>
      </c>
      <c r="D176" s="7" t="s">
        <v>596</v>
      </c>
      <c r="F176" s="13" t="s">
        <v>825</v>
      </c>
      <c r="G176" s="7" t="s">
        <v>826</v>
      </c>
      <c r="J176">
        <v>902</v>
      </c>
      <c r="K176" t="s">
        <v>3256</v>
      </c>
    </row>
    <row r="177" spans="1:11">
      <c r="A177" s="13" t="s">
        <v>596</v>
      </c>
      <c r="D177" s="7" t="s">
        <v>597</v>
      </c>
      <c r="F177" s="13" t="s">
        <v>826</v>
      </c>
      <c r="G177" s="7" t="s">
        <v>827</v>
      </c>
      <c r="J177">
        <v>816</v>
      </c>
      <c r="K177" t="s">
        <v>3257</v>
      </c>
    </row>
    <row r="178" spans="1:11">
      <c r="A178" s="13" t="s">
        <v>597</v>
      </c>
      <c r="D178" s="7" t="s">
        <v>598</v>
      </c>
      <c r="F178" s="13" t="s">
        <v>827</v>
      </c>
      <c r="G178" s="7" t="s">
        <v>828</v>
      </c>
      <c r="J178">
        <v>869</v>
      </c>
      <c r="K178" t="s">
        <v>3258</v>
      </c>
    </row>
    <row r="179" spans="1:11">
      <c r="A179" s="13" t="s">
        <v>598</v>
      </c>
      <c r="D179" s="7" t="s">
        <v>599</v>
      </c>
      <c r="F179" s="13" t="s">
        <v>828</v>
      </c>
      <c r="G179" s="7" t="s">
        <v>829</v>
      </c>
      <c r="J179">
        <v>879</v>
      </c>
      <c r="K179" t="s">
        <v>3259</v>
      </c>
    </row>
    <row r="180" spans="1:11">
      <c r="A180" s="13" t="s">
        <v>599</v>
      </c>
      <c r="D180" s="7" t="s">
        <v>600</v>
      </c>
      <c r="F180" s="13" t="s">
        <v>829</v>
      </c>
      <c r="G180" s="7" t="s">
        <v>830</v>
      </c>
      <c r="J180">
        <v>723</v>
      </c>
      <c r="K180" t="s">
        <v>3260</v>
      </c>
    </row>
    <row r="181" spans="1:11">
      <c r="A181" s="13" t="s">
        <v>600</v>
      </c>
      <c r="D181" s="7" t="s">
        <v>601</v>
      </c>
      <c r="F181" s="13" t="s">
        <v>830</v>
      </c>
      <c r="G181" s="7" t="s">
        <v>831</v>
      </c>
      <c r="J181">
        <v>904</v>
      </c>
      <c r="K181" t="s">
        <v>3261</v>
      </c>
    </row>
    <row r="182" spans="1:11">
      <c r="A182" s="13" t="s">
        <v>601</v>
      </c>
      <c r="D182" s="7" t="s">
        <v>602</v>
      </c>
      <c r="F182" s="13" t="s">
        <v>831</v>
      </c>
      <c r="G182" s="7" t="s">
        <v>832</v>
      </c>
      <c r="J182">
        <v>774</v>
      </c>
      <c r="K182" t="s">
        <v>3262</v>
      </c>
    </row>
    <row r="183" spans="1:11">
      <c r="A183" s="13" t="s">
        <v>602</v>
      </c>
      <c r="D183" s="7" t="s">
        <v>603</v>
      </c>
      <c r="F183" s="13" t="s">
        <v>832</v>
      </c>
      <c r="G183" s="7" t="s">
        <v>833</v>
      </c>
      <c r="J183">
        <v>746</v>
      </c>
      <c r="K183" t="s">
        <v>3263</v>
      </c>
    </row>
    <row r="184" spans="1:11">
      <c r="A184" s="13" t="s">
        <v>603</v>
      </c>
      <c r="D184" s="7" t="s">
        <v>604</v>
      </c>
      <c r="F184" s="13" t="s">
        <v>833</v>
      </c>
      <c r="G184" s="7" t="s">
        <v>834</v>
      </c>
      <c r="J184">
        <v>861</v>
      </c>
      <c r="K184" t="s">
        <v>3264</v>
      </c>
    </row>
    <row r="185" spans="1:11">
      <c r="A185" s="13" t="s">
        <v>604</v>
      </c>
      <c r="D185" s="7" t="s">
        <v>605</v>
      </c>
      <c r="F185" s="13" t="s">
        <v>834</v>
      </c>
      <c r="G185" s="7" t="s">
        <v>835</v>
      </c>
      <c r="J185">
        <v>868</v>
      </c>
      <c r="K185" t="s">
        <v>3265</v>
      </c>
    </row>
    <row r="186" spans="1:11">
      <c r="A186" s="13" t="s">
        <v>605</v>
      </c>
      <c r="D186" s="7" t="s">
        <v>606</v>
      </c>
      <c r="F186" s="13" t="s">
        <v>835</v>
      </c>
      <c r="G186" s="7" t="s">
        <v>836</v>
      </c>
      <c r="J186">
        <v>712</v>
      </c>
      <c r="K186" t="s">
        <v>3266</v>
      </c>
    </row>
    <row r="187" spans="1:11">
      <c r="A187" s="13" t="s">
        <v>606</v>
      </c>
      <c r="D187" s="7" t="s">
        <v>607</v>
      </c>
      <c r="F187" s="13" t="s">
        <v>836</v>
      </c>
      <c r="G187" s="7" t="s">
        <v>837</v>
      </c>
      <c r="J187">
        <v>699</v>
      </c>
      <c r="K187" t="s">
        <v>3267</v>
      </c>
    </row>
    <row r="188" spans="1:11">
      <c r="A188" s="13" t="s">
        <v>607</v>
      </c>
      <c r="D188" s="7" t="s">
        <v>608</v>
      </c>
      <c r="F188" s="13" t="s">
        <v>837</v>
      </c>
      <c r="G188" s="7" t="s">
        <v>838</v>
      </c>
      <c r="J188">
        <v>697</v>
      </c>
      <c r="K188" t="s">
        <v>3268</v>
      </c>
    </row>
    <row r="189" spans="1:11">
      <c r="A189" s="13" t="s">
        <v>608</v>
      </c>
      <c r="D189" s="7" t="s">
        <v>609</v>
      </c>
      <c r="F189" s="13" t="s">
        <v>838</v>
      </c>
      <c r="G189" s="7" t="s">
        <v>839</v>
      </c>
      <c r="J189">
        <v>696</v>
      </c>
      <c r="K189" t="s">
        <v>3269</v>
      </c>
    </row>
    <row r="190" spans="1:11">
      <c r="A190" s="13" t="s">
        <v>609</v>
      </c>
      <c r="D190" s="7" t="s">
        <v>610</v>
      </c>
      <c r="F190" s="13" t="s">
        <v>839</v>
      </c>
      <c r="G190" s="7" t="s">
        <v>840</v>
      </c>
      <c r="J190">
        <v>757</v>
      </c>
      <c r="K190" t="s">
        <v>3270</v>
      </c>
    </row>
    <row r="191" spans="1:11">
      <c r="A191" s="13" t="s">
        <v>610</v>
      </c>
      <c r="D191" s="7" t="s">
        <v>611</v>
      </c>
      <c r="F191" s="13" t="s">
        <v>840</v>
      </c>
      <c r="G191" s="7" t="s">
        <v>841</v>
      </c>
      <c r="J191">
        <v>780</v>
      </c>
      <c r="K191" t="s">
        <v>3271</v>
      </c>
    </row>
    <row r="192" spans="1:11">
      <c r="A192" s="13" t="s">
        <v>611</v>
      </c>
      <c r="D192" s="7" t="s">
        <v>612</v>
      </c>
      <c r="F192" s="13" t="s">
        <v>841</v>
      </c>
      <c r="G192" s="7" t="s">
        <v>842</v>
      </c>
      <c r="J192">
        <v>829</v>
      </c>
      <c r="K192" t="s">
        <v>3272</v>
      </c>
    </row>
    <row r="193" spans="1:11">
      <c r="A193" s="13" t="s">
        <v>612</v>
      </c>
      <c r="D193" s="7" t="s">
        <v>613</v>
      </c>
      <c r="F193" s="13" t="s">
        <v>842</v>
      </c>
      <c r="G193" s="7" t="s">
        <v>843</v>
      </c>
      <c r="J193">
        <v>705</v>
      </c>
      <c r="K193" t="s">
        <v>3273</v>
      </c>
    </row>
    <row r="194" spans="1:11">
      <c r="A194" s="13" t="s">
        <v>613</v>
      </c>
      <c r="D194" s="7" t="s">
        <v>614</v>
      </c>
      <c r="F194" s="13" t="s">
        <v>843</v>
      </c>
      <c r="G194" s="7" t="s">
        <v>844</v>
      </c>
      <c r="J194">
        <v>859</v>
      </c>
      <c r="K194" t="s">
        <v>3274</v>
      </c>
    </row>
    <row r="195" spans="1:11">
      <c r="A195" s="13" t="s">
        <v>614</v>
      </c>
      <c r="D195" s="7" t="s">
        <v>415</v>
      </c>
      <c r="F195" s="13" t="s">
        <v>844</v>
      </c>
      <c r="G195" s="7" t="s">
        <v>845</v>
      </c>
      <c r="J195">
        <v>727</v>
      </c>
      <c r="K195" t="s">
        <v>3275</v>
      </c>
    </row>
    <row r="196" spans="1:11">
      <c r="A196" s="13" t="s">
        <v>415</v>
      </c>
      <c r="D196" s="7" t="s">
        <v>615</v>
      </c>
      <c r="F196" s="13" t="s">
        <v>845</v>
      </c>
      <c r="G196" s="7" t="s">
        <v>846</v>
      </c>
      <c r="J196">
        <v>730</v>
      </c>
      <c r="K196" t="s">
        <v>3276</v>
      </c>
    </row>
    <row r="197" spans="1:11">
      <c r="A197" s="13" t="s">
        <v>615</v>
      </c>
      <c r="D197" s="7" t="s">
        <v>616</v>
      </c>
      <c r="F197" s="13" t="s">
        <v>846</v>
      </c>
      <c r="G197" s="7" t="s">
        <v>847</v>
      </c>
      <c r="J197">
        <v>782</v>
      </c>
      <c r="K197" t="s">
        <v>3277</v>
      </c>
    </row>
    <row r="198" spans="1:11">
      <c r="A198" s="13" t="s">
        <v>616</v>
      </c>
      <c r="D198" s="7" t="s">
        <v>617</v>
      </c>
      <c r="F198" s="13" t="s">
        <v>847</v>
      </c>
      <c r="G198" s="7" t="s">
        <v>848</v>
      </c>
      <c r="J198">
        <v>1174</v>
      </c>
      <c r="K198" t="s">
        <v>3278</v>
      </c>
    </row>
    <row r="199" spans="1:11">
      <c r="A199" s="13" t="s">
        <v>617</v>
      </c>
      <c r="D199" s="7" t="s">
        <v>618</v>
      </c>
      <c r="F199" s="13" t="s">
        <v>848</v>
      </c>
      <c r="G199" s="7" t="s">
        <v>849</v>
      </c>
      <c r="J199">
        <v>835</v>
      </c>
      <c r="K199" t="s">
        <v>3279</v>
      </c>
    </row>
    <row r="200" spans="1:11">
      <c r="A200" s="13" t="s">
        <v>618</v>
      </c>
      <c r="D200" s="7" t="s">
        <v>619</v>
      </c>
      <c r="F200" s="13" t="s">
        <v>849</v>
      </c>
      <c r="G200" s="7" t="s">
        <v>850</v>
      </c>
      <c r="J200">
        <v>708</v>
      </c>
      <c r="K200" t="s">
        <v>3280</v>
      </c>
    </row>
    <row r="201" spans="1:11">
      <c r="A201" s="13" t="s">
        <v>619</v>
      </c>
      <c r="D201" s="7" t="s">
        <v>620</v>
      </c>
      <c r="F201" s="13" t="s">
        <v>850</v>
      </c>
      <c r="G201" s="7" t="s">
        <v>851</v>
      </c>
      <c r="J201">
        <v>724</v>
      </c>
      <c r="K201" t="s">
        <v>3281</v>
      </c>
    </row>
    <row r="202" spans="1:11">
      <c r="A202" s="13" t="s">
        <v>620</v>
      </c>
      <c r="D202" s="7" t="s">
        <v>621</v>
      </c>
      <c r="F202" s="13" t="s">
        <v>851</v>
      </c>
      <c r="G202" s="7" t="s">
        <v>852</v>
      </c>
      <c r="J202">
        <v>742</v>
      </c>
      <c r="K202" t="s">
        <v>3282</v>
      </c>
    </row>
    <row r="203" spans="1:11">
      <c r="A203" s="13" t="s">
        <v>621</v>
      </c>
      <c r="D203" s="7" t="s">
        <v>622</v>
      </c>
      <c r="F203" s="13" t="s">
        <v>852</v>
      </c>
      <c r="G203" s="7" t="s">
        <v>853</v>
      </c>
      <c r="J203">
        <v>734</v>
      </c>
      <c r="K203" t="s">
        <v>3283</v>
      </c>
    </row>
    <row r="204" spans="1:11">
      <c r="A204" s="13" t="s">
        <v>622</v>
      </c>
      <c r="D204" s="7" t="s">
        <v>416</v>
      </c>
      <c r="F204" s="13" t="s">
        <v>853</v>
      </c>
      <c r="G204" s="7" t="s">
        <v>854</v>
      </c>
      <c r="J204">
        <v>775</v>
      </c>
      <c r="K204" t="s">
        <v>3284</v>
      </c>
    </row>
    <row r="205" spans="1:11">
      <c r="A205" s="13" t="s">
        <v>416</v>
      </c>
      <c r="D205" s="7" t="s">
        <v>623</v>
      </c>
      <c r="F205" s="13" t="s">
        <v>854</v>
      </c>
      <c r="G205" s="7" t="s">
        <v>855</v>
      </c>
      <c r="J205">
        <v>776</v>
      </c>
      <c r="K205" t="s">
        <v>3285</v>
      </c>
    </row>
    <row r="206" spans="1:11">
      <c r="A206" s="13" t="s">
        <v>623</v>
      </c>
      <c r="D206" s="7" t="s">
        <v>624</v>
      </c>
      <c r="F206" s="13" t="s">
        <v>855</v>
      </c>
      <c r="G206" s="7" t="s">
        <v>856</v>
      </c>
      <c r="J206">
        <v>806</v>
      </c>
      <c r="K206" t="s">
        <v>3286</v>
      </c>
    </row>
    <row r="207" spans="1:11">
      <c r="A207" s="13" t="s">
        <v>624</v>
      </c>
      <c r="D207" s="7" t="s">
        <v>625</v>
      </c>
      <c r="F207" s="13" t="s">
        <v>856</v>
      </c>
      <c r="G207" s="7" t="s">
        <v>857</v>
      </c>
      <c r="J207">
        <v>831</v>
      </c>
      <c r="K207" t="s">
        <v>3287</v>
      </c>
    </row>
    <row r="208" spans="1:11">
      <c r="A208" s="13" t="s">
        <v>625</v>
      </c>
      <c r="D208" s="7" t="s">
        <v>626</v>
      </c>
      <c r="F208" s="13" t="s">
        <v>857</v>
      </c>
      <c r="G208" s="7" t="s">
        <v>858</v>
      </c>
      <c r="J208">
        <v>685</v>
      </c>
      <c r="K208" t="s">
        <v>3288</v>
      </c>
    </row>
    <row r="209" spans="1:11">
      <c r="A209" s="13" t="s">
        <v>626</v>
      </c>
      <c r="D209" s="7" t="s">
        <v>627</v>
      </c>
      <c r="F209" s="13" t="s">
        <v>858</v>
      </c>
      <c r="G209" s="7" t="s">
        <v>859</v>
      </c>
      <c r="J209">
        <v>735</v>
      </c>
      <c r="K209" t="s">
        <v>3289</v>
      </c>
    </row>
    <row r="210" spans="1:11">
      <c r="A210" s="13" t="s">
        <v>627</v>
      </c>
      <c r="D210" s="7" t="s">
        <v>628</v>
      </c>
      <c r="F210" s="13" t="s">
        <v>859</v>
      </c>
      <c r="G210" s="7" t="s">
        <v>860</v>
      </c>
      <c r="J210">
        <v>729</v>
      </c>
      <c r="K210" t="s">
        <v>3290</v>
      </c>
    </row>
    <row r="211" spans="1:11">
      <c r="A211" s="13" t="s">
        <v>628</v>
      </c>
      <c r="D211" s="7" t="s">
        <v>629</v>
      </c>
      <c r="F211" s="13" t="s">
        <v>860</v>
      </c>
      <c r="G211" s="7" t="s">
        <v>861</v>
      </c>
      <c r="J211">
        <v>777</v>
      </c>
      <c r="K211" t="s">
        <v>3291</v>
      </c>
    </row>
    <row r="212" spans="1:11">
      <c r="A212" s="13" t="s">
        <v>629</v>
      </c>
      <c r="D212" s="7" t="s">
        <v>630</v>
      </c>
      <c r="F212" s="13" t="s">
        <v>861</v>
      </c>
      <c r="G212" s="7" t="s">
        <v>862</v>
      </c>
      <c r="J212">
        <v>781</v>
      </c>
      <c r="K212" t="s">
        <v>3292</v>
      </c>
    </row>
    <row r="213" spans="1:11">
      <c r="A213" s="13" t="s">
        <v>630</v>
      </c>
      <c r="D213" s="7" t="s">
        <v>631</v>
      </c>
      <c r="F213" s="13" t="s">
        <v>862</v>
      </c>
      <c r="G213" s="7" t="s">
        <v>863</v>
      </c>
      <c r="J213">
        <v>810</v>
      </c>
      <c r="K213" t="s">
        <v>3293</v>
      </c>
    </row>
    <row r="214" spans="1:11">
      <c r="A214" s="13" t="s">
        <v>631</v>
      </c>
      <c r="D214" s="7" t="s">
        <v>632</v>
      </c>
      <c r="F214" s="13" t="s">
        <v>863</v>
      </c>
      <c r="G214" s="7" t="s">
        <v>864</v>
      </c>
      <c r="J214">
        <v>771</v>
      </c>
      <c r="K214" t="s">
        <v>3294</v>
      </c>
    </row>
    <row r="215" spans="1:11">
      <c r="A215" s="13" t="s">
        <v>632</v>
      </c>
      <c r="D215" s="7" t="s">
        <v>633</v>
      </c>
      <c r="F215" s="13" t="s">
        <v>864</v>
      </c>
      <c r="G215" s="7" t="s">
        <v>865</v>
      </c>
      <c r="J215">
        <v>795</v>
      </c>
      <c r="K215" t="s">
        <v>3295</v>
      </c>
    </row>
    <row r="216" spans="1:11">
      <c r="A216" s="13" t="s">
        <v>633</v>
      </c>
      <c r="D216" s="7" t="s">
        <v>634</v>
      </c>
      <c r="F216" s="13" t="s">
        <v>865</v>
      </c>
      <c r="G216" s="7" t="s">
        <v>866</v>
      </c>
      <c r="J216">
        <v>690</v>
      </c>
      <c r="K216" t="s">
        <v>3296</v>
      </c>
    </row>
    <row r="217" spans="1:11">
      <c r="A217" s="13" t="s">
        <v>634</v>
      </c>
      <c r="D217" s="7" t="s">
        <v>635</v>
      </c>
      <c r="F217" s="13" t="s">
        <v>866</v>
      </c>
      <c r="G217" s="7" t="s">
        <v>867</v>
      </c>
      <c r="J217">
        <v>720</v>
      </c>
      <c r="K217" t="s">
        <v>3297</v>
      </c>
    </row>
    <row r="218" spans="1:11">
      <c r="A218" s="13" t="s">
        <v>635</v>
      </c>
      <c r="D218" s="7" t="s">
        <v>636</v>
      </c>
      <c r="F218" s="13" t="s">
        <v>867</v>
      </c>
      <c r="G218" s="7" t="s">
        <v>868</v>
      </c>
      <c r="J218">
        <v>693</v>
      </c>
      <c r="K218" t="s">
        <v>3298</v>
      </c>
    </row>
    <row r="219" spans="1:11">
      <c r="A219" s="13" t="s">
        <v>636</v>
      </c>
      <c r="D219" s="7" t="s">
        <v>637</v>
      </c>
      <c r="F219" s="13" t="s">
        <v>868</v>
      </c>
      <c r="G219" s="7" t="s">
        <v>869</v>
      </c>
      <c r="J219">
        <v>745</v>
      </c>
      <c r="K219" t="s">
        <v>3299</v>
      </c>
    </row>
    <row r="220" spans="1:11">
      <c r="A220" s="13" t="s">
        <v>637</v>
      </c>
      <c r="D220" s="7" t="s">
        <v>638</v>
      </c>
      <c r="F220" s="13" t="s">
        <v>869</v>
      </c>
      <c r="G220" s="7" t="s">
        <v>870</v>
      </c>
      <c r="J220">
        <v>731</v>
      </c>
      <c r="K220" t="s">
        <v>3300</v>
      </c>
    </row>
    <row r="221" spans="1:11">
      <c r="A221" s="13" t="s">
        <v>638</v>
      </c>
      <c r="D221" s="7" t="s">
        <v>639</v>
      </c>
      <c r="F221" s="13" t="s">
        <v>870</v>
      </c>
      <c r="G221" s="7" t="s">
        <v>872</v>
      </c>
      <c r="J221">
        <v>798</v>
      </c>
      <c r="K221" t="s">
        <v>3301</v>
      </c>
    </row>
    <row r="222" spans="1:11">
      <c r="A222" s="13" t="s">
        <v>639</v>
      </c>
      <c r="D222" s="7" t="s">
        <v>640</v>
      </c>
      <c r="F222" s="13" t="s">
        <v>872</v>
      </c>
      <c r="G222" s="7" t="s">
        <v>873</v>
      </c>
      <c r="J222">
        <v>817</v>
      </c>
      <c r="K222" t="s">
        <v>3302</v>
      </c>
    </row>
    <row r="223" spans="1:11">
      <c r="A223" s="13" t="s">
        <v>640</v>
      </c>
      <c r="D223" s="7" t="s">
        <v>641</v>
      </c>
      <c r="F223" s="13" t="s">
        <v>873</v>
      </c>
      <c r="G223" s="7" t="s">
        <v>874</v>
      </c>
      <c r="J223">
        <v>836</v>
      </c>
      <c r="K223" t="s">
        <v>3303</v>
      </c>
    </row>
    <row r="224" spans="1:11">
      <c r="A224" s="13" t="s">
        <v>641</v>
      </c>
      <c r="D224" s="7" t="s">
        <v>642</v>
      </c>
      <c r="F224" s="13" t="s">
        <v>874</v>
      </c>
      <c r="G224" s="7" t="s">
        <v>875</v>
      </c>
      <c r="J224">
        <v>709</v>
      </c>
      <c r="K224" t="s">
        <v>3304</v>
      </c>
    </row>
    <row r="225" spans="1:11">
      <c r="A225" s="13" t="s">
        <v>642</v>
      </c>
      <c r="D225" s="7" t="s">
        <v>643</v>
      </c>
      <c r="F225" s="13" t="s">
        <v>875</v>
      </c>
      <c r="G225" s="7" t="s">
        <v>876</v>
      </c>
      <c r="J225">
        <v>813</v>
      </c>
      <c r="K225" t="s">
        <v>3305</v>
      </c>
    </row>
    <row r="226" spans="1:11">
      <c r="A226" s="13" t="s">
        <v>643</v>
      </c>
      <c r="D226" s="7" t="s">
        <v>644</v>
      </c>
      <c r="F226" s="13" t="s">
        <v>876</v>
      </c>
      <c r="G226" s="7" t="s">
        <v>877</v>
      </c>
      <c r="J226">
        <v>856</v>
      </c>
      <c r="K226" t="s">
        <v>3306</v>
      </c>
    </row>
    <row r="227" spans="1:11">
      <c r="A227" s="13" t="s">
        <v>644</v>
      </c>
      <c r="D227" s="7" t="s">
        <v>645</v>
      </c>
      <c r="F227" s="13" t="s">
        <v>877</v>
      </c>
      <c r="G227" s="7" t="s">
        <v>878</v>
      </c>
      <c r="J227">
        <v>858</v>
      </c>
      <c r="K227" t="s">
        <v>3307</v>
      </c>
    </row>
    <row r="228" spans="1:11">
      <c r="A228" s="13" t="s">
        <v>645</v>
      </c>
      <c r="D228" s="7" t="s">
        <v>646</v>
      </c>
      <c r="F228" s="13" t="s">
        <v>878</v>
      </c>
      <c r="G228" s="7" t="s">
        <v>879</v>
      </c>
      <c r="J228">
        <v>721</v>
      </c>
      <c r="K228" t="s">
        <v>3308</v>
      </c>
    </row>
    <row r="229" spans="1:11">
      <c r="A229" s="13" t="s">
        <v>646</v>
      </c>
      <c r="D229" s="7" t="s">
        <v>647</v>
      </c>
      <c r="F229" s="13" t="s">
        <v>879</v>
      </c>
      <c r="G229" s="7" t="s">
        <v>880</v>
      </c>
      <c r="J229">
        <v>809</v>
      </c>
      <c r="K229" t="s">
        <v>3309</v>
      </c>
    </row>
    <row r="230" spans="1:11">
      <c r="A230" s="13" t="s">
        <v>647</v>
      </c>
      <c r="D230" s="7" t="s">
        <v>648</v>
      </c>
      <c r="F230" s="13" t="s">
        <v>880</v>
      </c>
      <c r="G230" s="7" t="s">
        <v>881</v>
      </c>
      <c r="J230">
        <v>801</v>
      </c>
      <c r="K230" t="s">
        <v>3310</v>
      </c>
    </row>
    <row r="231" spans="1:11">
      <c r="A231" s="13" t="s">
        <v>648</v>
      </c>
      <c r="D231" s="7" t="s">
        <v>649</v>
      </c>
      <c r="F231" s="13" t="s">
        <v>881</v>
      </c>
      <c r="G231" s="7" t="s">
        <v>883</v>
      </c>
      <c r="J231">
        <v>688</v>
      </c>
      <c r="K231" t="s">
        <v>3311</v>
      </c>
    </row>
    <row r="232" spans="1:11">
      <c r="A232" s="13" t="s">
        <v>649</v>
      </c>
      <c r="F232" s="13" t="s">
        <v>883</v>
      </c>
      <c r="G232" s="7" t="s">
        <v>884</v>
      </c>
      <c r="J232">
        <v>848</v>
      </c>
      <c r="K232" t="s">
        <v>3312</v>
      </c>
    </row>
    <row r="233" spans="1:11">
      <c r="F233" s="13" t="s">
        <v>884</v>
      </c>
      <c r="G233" s="7" t="s">
        <v>885</v>
      </c>
    </row>
    <row r="234" spans="1:11">
      <c r="F234" s="13" t="s">
        <v>885</v>
      </c>
      <c r="G234" s="7" t="s">
        <v>886</v>
      </c>
    </row>
    <row r="235" spans="1:11">
      <c r="F235" s="13" t="s">
        <v>886</v>
      </c>
      <c r="G235" s="7" t="s">
        <v>887</v>
      </c>
    </row>
    <row r="236" spans="1:11">
      <c r="F236" s="13" t="s">
        <v>887</v>
      </c>
      <c r="G236" s="7" t="s">
        <v>888</v>
      </c>
    </row>
    <row r="237" spans="1:11">
      <c r="F237" s="13" t="s">
        <v>888</v>
      </c>
      <c r="G237" s="7" t="s">
        <v>889</v>
      </c>
    </row>
    <row r="238" spans="1:11">
      <c r="F238" s="13" t="s">
        <v>889</v>
      </c>
      <c r="G238" s="7" t="s">
        <v>890</v>
      </c>
    </row>
    <row r="239" spans="1:11">
      <c r="F239" s="13" t="s">
        <v>890</v>
      </c>
      <c r="G239" s="7" t="s">
        <v>891</v>
      </c>
    </row>
    <row r="240" spans="1:11">
      <c r="F240" s="13" t="s">
        <v>891</v>
      </c>
      <c r="G240" s="7" t="s">
        <v>892</v>
      </c>
    </row>
    <row r="241" spans="6:7">
      <c r="F241" s="13" t="s">
        <v>892</v>
      </c>
      <c r="G241" s="7" t="s">
        <v>893</v>
      </c>
    </row>
    <row r="242" spans="6:7">
      <c r="F242" s="13" t="s">
        <v>893</v>
      </c>
      <c r="G242" s="7" t="s">
        <v>894</v>
      </c>
    </row>
    <row r="243" spans="6:7">
      <c r="F243" s="13" t="s">
        <v>894</v>
      </c>
      <c r="G243" s="7" t="s">
        <v>895</v>
      </c>
    </row>
    <row r="244" spans="6:7">
      <c r="F244" s="13" t="s">
        <v>895</v>
      </c>
      <c r="G244" s="7" t="s">
        <v>896</v>
      </c>
    </row>
    <row r="245" spans="6:7">
      <c r="F245" s="13" t="s">
        <v>896</v>
      </c>
      <c r="G245" s="7" t="s">
        <v>897</v>
      </c>
    </row>
    <row r="246" spans="6:7">
      <c r="F246" s="13" t="s">
        <v>897</v>
      </c>
      <c r="G246" s="7" t="s">
        <v>898</v>
      </c>
    </row>
    <row r="247" spans="6:7">
      <c r="F247" s="13" t="s">
        <v>898</v>
      </c>
      <c r="G247" s="7" t="s">
        <v>899</v>
      </c>
    </row>
    <row r="248" spans="6:7">
      <c r="F248" s="13" t="s">
        <v>899</v>
      </c>
      <c r="G248" s="7" t="s">
        <v>900</v>
      </c>
    </row>
    <row r="249" spans="6:7">
      <c r="F249" s="13" t="s">
        <v>900</v>
      </c>
      <c r="G249" s="7" t="s">
        <v>901</v>
      </c>
    </row>
    <row r="250" spans="6:7">
      <c r="F250" s="13" t="s">
        <v>901</v>
      </c>
    </row>
  </sheetData>
  <conditionalFormatting sqref="D1:D231">
    <cfRule type="duplicateValues" dxfId="2" priority="2"/>
  </conditionalFormatting>
  <conditionalFormatting sqref="G1:G249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7680-67CD-493C-8EC8-AEC9746914F1}">
  <sheetPr codeName="Sheet2"/>
  <dimension ref="A1:H232"/>
  <sheetViews>
    <sheetView workbookViewId="0">
      <selection activeCell="H1" sqref="H1:H1048576"/>
    </sheetView>
  </sheetViews>
  <sheetFormatPr defaultColWidth="8.875" defaultRowHeight="15.95"/>
  <cols>
    <col min="8" max="8" width="46.875" bestFit="1" customWidth="1"/>
  </cols>
  <sheetData>
    <row r="1" spans="1:8">
      <c r="A1" s="7">
        <v>100425</v>
      </c>
    </row>
    <row r="2" spans="1:8">
      <c r="A2" s="7">
        <v>200113</v>
      </c>
      <c r="D2" t="s">
        <v>1162</v>
      </c>
      <c r="E2" t="s">
        <v>1162</v>
      </c>
      <c r="F2">
        <v>200899</v>
      </c>
      <c r="G2">
        <v>1623</v>
      </c>
      <c r="H2" t="s">
        <v>3313</v>
      </c>
    </row>
    <row r="3" spans="1:8">
      <c r="A3" s="7">
        <v>200111</v>
      </c>
      <c r="D3" t="s">
        <v>1156</v>
      </c>
      <c r="E3" t="s">
        <v>1156</v>
      </c>
      <c r="F3">
        <v>200903</v>
      </c>
      <c r="G3">
        <v>1654</v>
      </c>
      <c r="H3" t="s">
        <v>3314</v>
      </c>
    </row>
    <row r="4" spans="1:8">
      <c r="A4" s="7">
        <v>100413</v>
      </c>
      <c r="D4" t="s">
        <v>1160</v>
      </c>
      <c r="E4" t="s">
        <v>1160</v>
      </c>
      <c r="F4">
        <v>200897</v>
      </c>
      <c r="G4">
        <v>1621</v>
      </c>
      <c r="H4" t="s">
        <v>3315</v>
      </c>
    </row>
    <row r="5" spans="1:8">
      <c r="A5" s="7">
        <v>200109</v>
      </c>
      <c r="D5" t="s">
        <v>1165</v>
      </c>
      <c r="E5" t="s">
        <v>1165</v>
      </c>
      <c r="F5">
        <v>200905</v>
      </c>
      <c r="G5">
        <v>1655</v>
      </c>
      <c r="H5" t="s">
        <v>3316</v>
      </c>
    </row>
    <row r="6" spans="1:8">
      <c r="A6" s="7">
        <v>100399</v>
      </c>
      <c r="D6" t="s">
        <v>1154</v>
      </c>
      <c r="E6" t="s">
        <v>1154</v>
      </c>
      <c r="F6">
        <v>200901</v>
      </c>
      <c r="G6">
        <v>1653</v>
      </c>
      <c r="H6" t="s">
        <v>3317</v>
      </c>
    </row>
    <row r="7" spans="1:8">
      <c r="A7" s="7">
        <v>100393</v>
      </c>
      <c r="D7" t="s">
        <v>1155</v>
      </c>
      <c r="E7" t="s">
        <v>1155</v>
      </c>
      <c r="F7">
        <v>100973</v>
      </c>
      <c r="G7">
        <v>1831</v>
      </c>
      <c r="H7" t="s">
        <v>3318</v>
      </c>
    </row>
    <row r="8" spans="1:8">
      <c r="A8" s="7">
        <v>200099</v>
      </c>
      <c r="D8" t="s">
        <v>1164</v>
      </c>
      <c r="E8" t="s">
        <v>1164</v>
      </c>
      <c r="F8">
        <v>100961</v>
      </c>
      <c r="G8">
        <v>1649</v>
      </c>
      <c r="H8" t="s">
        <v>3319</v>
      </c>
    </row>
    <row r="9" spans="1:8">
      <c r="A9" s="7">
        <v>200095</v>
      </c>
      <c r="D9" t="s">
        <v>1157</v>
      </c>
      <c r="E9" t="s">
        <v>1157</v>
      </c>
      <c r="F9">
        <v>100963</v>
      </c>
      <c r="G9">
        <v>1650</v>
      </c>
      <c r="H9" t="s">
        <v>3320</v>
      </c>
    </row>
    <row r="10" spans="1:8">
      <c r="A10" s="7">
        <v>100375</v>
      </c>
      <c r="D10" t="s">
        <v>1159</v>
      </c>
      <c r="E10" t="s">
        <v>1159</v>
      </c>
      <c r="F10">
        <v>100955</v>
      </c>
      <c r="G10">
        <v>1624</v>
      </c>
      <c r="H10" t="s">
        <v>3321</v>
      </c>
    </row>
    <row r="11" spans="1:8">
      <c r="A11" s="7">
        <v>100441</v>
      </c>
      <c r="D11" t="s">
        <v>1161</v>
      </c>
      <c r="E11" t="s">
        <v>1161</v>
      </c>
      <c r="F11">
        <v>100957</v>
      </c>
      <c r="G11">
        <v>1625</v>
      </c>
      <c r="H11" t="s">
        <v>3322</v>
      </c>
    </row>
    <row r="12" spans="1:8">
      <c r="A12" s="7">
        <v>100479</v>
      </c>
      <c r="D12" t="s">
        <v>1163</v>
      </c>
      <c r="E12" t="s">
        <v>1163</v>
      </c>
      <c r="F12">
        <v>100975</v>
      </c>
      <c r="G12">
        <v>1835</v>
      </c>
      <c r="H12" t="s">
        <v>3323</v>
      </c>
    </row>
    <row r="13" spans="1:8">
      <c r="A13" s="7">
        <v>100485</v>
      </c>
      <c r="D13" t="s">
        <v>1152</v>
      </c>
      <c r="E13" t="s">
        <v>1152</v>
      </c>
      <c r="F13">
        <v>100959</v>
      </c>
      <c r="G13">
        <v>1648</v>
      </c>
      <c r="H13" t="s">
        <v>3324</v>
      </c>
    </row>
    <row r="14" spans="1:8">
      <c r="A14" s="7">
        <v>100487</v>
      </c>
      <c r="D14" t="s">
        <v>1158</v>
      </c>
      <c r="E14" t="s">
        <v>1158</v>
      </c>
      <c r="F14">
        <v>100969</v>
      </c>
      <c r="G14">
        <v>1656</v>
      </c>
      <c r="H14" t="s">
        <v>3325</v>
      </c>
    </row>
    <row r="15" spans="1:8">
      <c r="A15" s="7">
        <v>100509</v>
      </c>
      <c r="D15" t="s">
        <v>1167</v>
      </c>
      <c r="E15" t="s">
        <v>1167</v>
      </c>
      <c r="F15">
        <v>100965</v>
      </c>
      <c r="G15">
        <v>1651</v>
      </c>
      <c r="H15" t="s">
        <v>3326</v>
      </c>
    </row>
    <row r="16" spans="1:8">
      <c r="A16" s="7">
        <v>100521</v>
      </c>
    </row>
    <row r="17" spans="1:1">
      <c r="A17" s="7">
        <v>100533</v>
      </c>
    </row>
    <row r="18" spans="1:1">
      <c r="A18" s="7">
        <v>100541</v>
      </c>
    </row>
    <row r="19" spans="1:1">
      <c r="A19" s="7">
        <v>100545</v>
      </c>
    </row>
    <row r="20" spans="1:1">
      <c r="A20" s="7">
        <v>100555</v>
      </c>
    </row>
    <row r="21" spans="1:1">
      <c r="A21" s="7">
        <v>100557</v>
      </c>
    </row>
    <row r="22" spans="1:1">
      <c r="A22" s="7">
        <v>100577</v>
      </c>
    </row>
    <row r="23" spans="1:1">
      <c r="A23" s="7">
        <v>100585</v>
      </c>
    </row>
    <row r="24" spans="1:1">
      <c r="A24" s="7">
        <v>100591</v>
      </c>
    </row>
    <row r="25" spans="1:1">
      <c r="A25" s="7">
        <v>100625</v>
      </c>
    </row>
    <row r="26" spans="1:1">
      <c r="A26" s="7">
        <v>100645</v>
      </c>
    </row>
    <row r="27" spans="1:1">
      <c r="A27" s="7">
        <v>100647</v>
      </c>
    </row>
    <row r="28" spans="1:1">
      <c r="A28" s="7">
        <v>200119</v>
      </c>
    </row>
    <row r="29" spans="1:1">
      <c r="A29" s="7">
        <v>100653</v>
      </c>
    </row>
    <row r="30" spans="1:1">
      <c r="A30" s="7">
        <v>100657</v>
      </c>
    </row>
    <row r="31" spans="1:1">
      <c r="A31" s="7">
        <v>200123</v>
      </c>
    </row>
    <row r="32" spans="1:1">
      <c r="A32" s="7">
        <v>200125</v>
      </c>
    </row>
    <row r="33" spans="1:1">
      <c r="A33" s="7">
        <v>100665</v>
      </c>
    </row>
    <row r="34" spans="1:1">
      <c r="A34" s="7">
        <v>200127</v>
      </c>
    </row>
    <row r="35" spans="1:1">
      <c r="A35" s="7">
        <v>200131</v>
      </c>
    </row>
    <row r="36" spans="1:1">
      <c r="A36" s="7">
        <v>200135</v>
      </c>
    </row>
    <row r="37" spans="1:1">
      <c r="A37" s="7">
        <v>100677</v>
      </c>
    </row>
    <row r="38" spans="1:1">
      <c r="A38" s="7">
        <v>100681</v>
      </c>
    </row>
    <row r="39" spans="1:1">
      <c r="A39" s="7">
        <v>100683</v>
      </c>
    </row>
    <row r="40" spans="1:1">
      <c r="A40" s="7">
        <v>100685</v>
      </c>
    </row>
    <row r="41" spans="1:1">
      <c r="A41" s="7">
        <v>200137</v>
      </c>
    </row>
    <row r="42" spans="1:1">
      <c r="A42" s="7">
        <v>200141</v>
      </c>
    </row>
    <row r="43" spans="1:1">
      <c r="A43" s="7">
        <v>100689</v>
      </c>
    </row>
    <row r="44" spans="1:1">
      <c r="A44" s="7">
        <v>100691</v>
      </c>
    </row>
    <row r="45" spans="1:1">
      <c r="A45" s="7">
        <v>200161</v>
      </c>
    </row>
    <row r="46" spans="1:1">
      <c r="A46" s="7">
        <v>200167</v>
      </c>
    </row>
    <row r="47" spans="1:1">
      <c r="A47" s="7">
        <v>100939</v>
      </c>
    </row>
    <row r="48" spans="1:1">
      <c r="A48" s="7">
        <v>100937</v>
      </c>
    </row>
    <row r="49" spans="1:1">
      <c r="A49" s="7">
        <v>100935</v>
      </c>
    </row>
    <row r="50" spans="1:1">
      <c r="A50" s="7">
        <v>100933</v>
      </c>
    </row>
    <row r="51" spans="1:1">
      <c r="A51" s="7">
        <v>100931</v>
      </c>
    </row>
    <row r="52" spans="1:1">
      <c r="A52" s="7">
        <v>100929</v>
      </c>
    </row>
    <row r="53" spans="1:1">
      <c r="A53" s="7">
        <v>100927</v>
      </c>
    </row>
    <row r="54" spans="1:1">
      <c r="A54" s="7">
        <v>100925</v>
      </c>
    </row>
    <row r="55" spans="1:1">
      <c r="A55" s="7">
        <v>100923</v>
      </c>
    </row>
    <row r="56" spans="1:1">
      <c r="A56" s="7">
        <v>100921</v>
      </c>
    </row>
    <row r="57" spans="1:1">
      <c r="A57" s="7">
        <v>100919</v>
      </c>
    </row>
    <row r="58" spans="1:1">
      <c r="A58" s="7">
        <v>100917</v>
      </c>
    </row>
    <row r="59" spans="1:1">
      <c r="A59" s="7">
        <v>100915</v>
      </c>
    </row>
    <row r="60" spans="1:1">
      <c r="A60" s="7">
        <v>100913</v>
      </c>
    </row>
    <row r="61" spans="1:1">
      <c r="A61" s="7">
        <v>100911</v>
      </c>
    </row>
    <row r="62" spans="1:1">
      <c r="A62" s="7">
        <v>100909</v>
      </c>
    </row>
    <row r="63" spans="1:1">
      <c r="A63" s="7">
        <v>100907</v>
      </c>
    </row>
    <row r="64" spans="1:1">
      <c r="A64" s="7">
        <v>100905</v>
      </c>
    </row>
    <row r="65" spans="1:1">
      <c r="A65" s="7">
        <v>100903</v>
      </c>
    </row>
    <row r="66" spans="1:1">
      <c r="A66" s="7">
        <v>100901</v>
      </c>
    </row>
    <row r="67" spans="1:1">
      <c r="A67" s="7">
        <v>100899</v>
      </c>
    </row>
    <row r="68" spans="1:1">
      <c r="A68" s="7">
        <v>100897</v>
      </c>
    </row>
    <row r="69" spans="1:1">
      <c r="A69" s="7">
        <v>100895</v>
      </c>
    </row>
    <row r="70" spans="1:1">
      <c r="A70" s="7">
        <v>100893</v>
      </c>
    </row>
    <row r="71" spans="1:1">
      <c r="A71" s="7">
        <v>100891</v>
      </c>
    </row>
    <row r="72" spans="1:1">
      <c r="A72" s="7">
        <v>100889</v>
      </c>
    </row>
    <row r="73" spans="1:1">
      <c r="A73" s="7">
        <v>100887</v>
      </c>
    </row>
    <row r="74" spans="1:1">
      <c r="A74" s="7">
        <v>100885</v>
      </c>
    </row>
    <row r="75" spans="1:1">
      <c r="A75" s="7">
        <v>100883</v>
      </c>
    </row>
    <row r="76" spans="1:1">
      <c r="A76" s="7">
        <v>100881</v>
      </c>
    </row>
    <row r="77" spans="1:1">
      <c r="A77" s="7">
        <v>100879</v>
      </c>
    </row>
    <row r="78" spans="1:1">
      <c r="A78" s="7">
        <v>100877</v>
      </c>
    </row>
    <row r="79" spans="1:1">
      <c r="A79" s="7">
        <v>100875</v>
      </c>
    </row>
    <row r="80" spans="1:1">
      <c r="A80" s="7">
        <v>100873</v>
      </c>
    </row>
    <row r="81" spans="1:1">
      <c r="A81" s="7">
        <v>100871</v>
      </c>
    </row>
    <row r="82" spans="1:1">
      <c r="A82" s="7">
        <v>100869</v>
      </c>
    </row>
    <row r="83" spans="1:1">
      <c r="A83" s="7">
        <v>100867</v>
      </c>
    </row>
    <row r="84" spans="1:1">
      <c r="A84" s="7">
        <v>100865</v>
      </c>
    </row>
    <row r="85" spans="1:1">
      <c r="A85" s="7">
        <v>100863</v>
      </c>
    </row>
    <row r="86" spans="1:1">
      <c r="A86" s="7">
        <v>100861</v>
      </c>
    </row>
    <row r="87" spans="1:1">
      <c r="A87" s="7">
        <v>100859</v>
      </c>
    </row>
    <row r="88" spans="1:1">
      <c r="A88" s="7">
        <v>100857</v>
      </c>
    </row>
    <row r="89" spans="1:1">
      <c r="A89" s="7">
        <v>100855</v>
      </c>
    </row>
    <row r="90" spans="1:1">
      <c r="A90" s="7">
        <v>100853</v>
      </c>
    </row>
    <row r="91" spans="1:1">
      <c r="A91" s="7">
        <v>100851</v>
      </c>
    </row>
    <row r="92" spans="1:1">
      <c r="A92" s="7">
        <v>100849</v>
      </c>
    </row>
    <row r="93" spans="1:1">
      <c r="A93" s="7">
        <v>100847</v>
      </c>
    </row>
    <row r="94" spans="1:1">
      <c r="A94" s="7">
        <v>100845</v>
      </c>
    </row>
    <row r="95" spans="1:1">
      <c r="A95" s="7">
        <v>100843</v>
      </c>
    </row>
    <row r="96" spans="1:1">
      <c r="A96" s="7">
        <v>100841</v>
      </c>
    </row>
    <row r="97" spans="1:1">
      <c r="A97" s="7">
        <v>100839</v>
      </c>
    </row>
    <row r="98" spans="1:1">
      <c r="A98" s="7">
        <v>100837</v>
      </c>
    </row>
    <row r="99" spans="1:1">
      <c r="A99" s="7">
        <v>100835</v>
      </c>
    </row>
    <row r="100" spans="1:1">
      <c r="A100" s="7">
        <v>100833</v>
      </c>
    </row>
    <row r="101" spans="1:1">
      <c r="A101" s="7">
        <v>100831</v>
      </c>
    </row>
    <row r="102" spans="1:1">
      <c r="A102" s="7">
        <v>100737</v>
      </c>
    </row>
    <row r="103" spans="1:1">
      <c r="A103" s="7">
        <v>100827</v>
      </c>
    </row>
    <row r="104" spans="1:1">
      <c r="A104" s="7">
        <v>100825</v>
      </c>
    </row>
    <row r="105" spans="1:1">
      <c r="A105" s="7">
        <v>100823</v>
      </c>
    </row>
    <row r="106" spans="1:1">
      <c r="A106" s="7">
        <v>100821</v>
      </c>
    </row>
    <row r="107" spans="1:1">
      <c r="A107" s="7">
        <v>100819</v>
      </c>
    </row>
    <row r="108" spans="1:1">
      <c r="A108" s="7">
        <v>100817</v>
      </c>
    </row>
    <row r="109" spans="1:1">
      <c r="A109" s="7">
        <v>100815</v>
      </c>
    </row>
    <row r="110" spans="1:1">
      <c r="A110" s="7">
        <v>100813</v>
      </c>
    </row>
    <row r="111" spans="1:1">
      <c r="A111" s="7">
        <v>100811</v>
      </c>
    </row>
    <row r="112" spans="1:1">
      <c r="A112" s="7">
        <v>100809</v>
      </c>
    </row>
    <row r="113" spans="1:1">
      <c r="A113" s="7">
        <v>100807</v>
      </c>
    </row>
    <row r="114" spans="1:1">
      <c r="A114" s="7">
        <v>100805</v>
      </c>
    </row>
    <row r="115" spans="1:1">
      <c r="A115" s="7">
        <v>100803</v>
      </c>
    </row>
    <row r="116" spans="1:1">
      <c r="A116" s="7">
        <v>100801</v>
      </c>
    </row>
    <row r="117" spans="1:1">
      <c r="A117" s="7">
        <v>100799</v>
      </c>
    </row>
    <row r="118" spans="1:1">
      <c r="A118" s="7">
        <v>100797</v>
      </c>
    </row>
    <row r="119" spans="1:1">
      <c r="A119" s="7">
        <v>100795</v>
      </c>
    </row>
    <row r="120" spans="1:1">
      <c r="A120" s="7">
        <v>100793</v>
      </c>
    </row>
    <row r="121" spans="1:1">
      <c r="A121" s="7">
        <v>100791</v>
      </c>
    </row>
    <row r="122" spans="1:1">
      <c r="A122" s="7">
        <v>100789</v>
      </c>
    </row>
    <row r="123" spans="1:1">
      <c r="A123" s="7">
        <v>100787</v>
      </c>
    </row>
    <row r="124" spans="1:1">
      <c r="A124" s="7">
        <v>100785</v>
      </c>
    </row>
    <row r="125" spans="1:1">
      <c r="A125" s="7">
        <v>100783</v>
      </c>
    </row>
    <row r="126" spans="1:1">
      <c r="A126" s="7">
        <v>100781</v>
      </c>
    </row>
    <row r="127" spans="1:1">
      <c r="A127" s="7">
        <v>100779</v>
      </c>
    </row>
    <row r="128" spans="1:1">
      <c r="A128" s="7">
        <v>100777</v>
      </c>
    </row>
    <row r="129" spans="1:1">
      <c r="A129" s="7">
        <v>100775</v>
      </c>
    </row>
    <row r="130" spans="1:1">
      <c r="A130" s="7">
        <v>100773</v>
      </c>
    </row>
    <row r="131" spans="1:1">
      <c r="A131" s="7">
        <v>100771</v>
      </c>
    </row>
    <row r="132" spans="1:1">
      <c r="A132" s="7">
        <v>100769</v>
      </c>
    </row>
    <row r="133" spans="1:1">
      <c r="A133" s="7">
        <v>100767</v>
      </c>
    </row>
    <row r="134" spans="1:1">
      <c r="A134" s="7">
        <v>100765</v>
      </c>
    </row>
    <row r="135" spans="1:1">
      <c r="A135" s="7">
        <v>100763</v>
      </c>
    </row>
    <row r="136" spans="1:1">
      <c r="A136" s="7">
        <v>100761</v>
      </c>
    </row>
    <row r="137" spans="1:1">
      <c r="A137" s="7">
        <v>100759</v>
      </c>
    </row>
    <row r="138" spans="1:1">
      <c r="A138" s="7">
        <v>100757</v>
      </c>
    </row>
    <row r="139" spans="1:1">
      <c r="A139" s="7">
        <v>100755</v>
      </c>
    </row>
    <row r="140" spans="1:1">
      <c r="A140" s="7">
        <v>100753</v>
      </c>
    </row>
    <row r="141" spans="1:1">
      <c r="A141" s="7">
        <v>100751</v>
      </c>
    </row>
    <row r="142" spans="1:1">
      <c r="A142" s="7">
        <v>100749</v>
      </c>
    </row>
    <row r="143" spans="1:1">
      <c r="A143" s="7">
        <v>100725</v>
      </c>
    </row>
    <row r="144" spans="1:1">
      <c r="A144" s="7">
        <v>100745</v>
      </c>
    </row>
    <row r="145" spans="1:1">
      <c r="A145" s="7">
        <v>100743</v>
      </c>
    </row>
    <row r="146" spans="1:1">
      <c r="A146" s="7">
        <v>100741</v>
      </c>
    </row>
    <row r="147" spans="1:1">
      <c r="A147" s="7">
        <v>100739</v>
      </c>
    </row>
    <row r="148" spans="1:1">
      <c r="A148" s="7">
        <v>100737</v>
      </c>
    </row>
    <row r="149" spans="1:1">
      <c r="A149" s="7">
        <v>100735</v>
      </c>
    </row>
    <row r="150" spans="1:1">
      <c r="A150" s="7">
        <v>100733</v>
      </c>
    </row>
    <row r="151" spans="1:1">
      <c r="A151" s="7">
        <v>100731</v>
      </c>
    </row>
    <row r="152" spans="1:1">
      <c r="A152" s="7">
        <v>100729</v>
      </c>
    </row>
    <row r="153" spans="1:1">
      <c r="A153" s="7">
        <v>100727</v>
      </c>
    </row>
    <row r="154" spans="1:1">
      <c r="A154" s="7">
        <v>100725</v>
      </c>
    </row>
    <row r="155" spans="1:1">
      <c r="A155" s="7">
        <v>100723</v>
      </c>
    </row>
    <row r="156" spans="1:1">
      <c r="A156" s="7">
        <v>100721</v>
      </c>
    </row>
    <row r="157" spans="1:1">
      <c r="A157" s="7">
        <v>100719</v>
      </c>
    </row>
    <row r="158" spans="1:1">
      <c r="A158" s="7">
        <v>100717</v>
      </c>
    </row>
    <row r="159" spans="1:1">
      <c r="A159" s="7">
        <v>100715</v>
      </c>
    </row>
    <row r="160" spans="1:1">
      <c r="A160" s="7">
        <v>100713</v>
      </c>
    </row>
    <row r="161" spans="1:1">
      <c r="A161" s="7">
        <v>100711</v>
      </c>
    </row>
    <row r="162" spans="1:1">
      <c r="A162" s="7">
        <v>100709</v>
      </c>
    </row>
    <row r="163" spans="1:1">
      <c r="A163" s="7">
        <v>100707</v>
      </c>
    </row>
    <row r="164" spans="1:1">
      <c r="A164" s="7">
        <v>100705</v>
      </c>
    </row>
    <row r="165" spans="1:1">
      <c r="A165" s="7">
        <v>100703</v>
      </c>
    </row>
    <row r="166" spans="1:1">
      <c r="A166" s="7">
        <v>100701</v>
      </c>
    </row>
    <row r="167" spans="1:1">
      <c r="A167" s="7">
        <v>200295</v>
      </c>
    </row>
    <row r="168" spans="1:1">
      <c r="A168" s="7">
        <v>200293</v>
      </c>
    </row>
    <row r="169" spans="1:1">
      <c r="A169" s="7">
        <v>200291</v>
      </c>
    </row>
    <row r="170" spans="1:1">
      <c r="A170" s="7">
        <v>200289</v>
      </c>
    </row>
    <row r="171" spans="1:1">
      <c r="A171" s="7">
        <v>200287</v>
      </c>
    </row>
    <row r="172" spans="1:1">
      <c r="A172" s="7">
        <v>200285</v>
      </c>
    </row>
    <row r="173" spans="1:1">
      <c r="A173" s="7">
        <v>200283</v>
      </c>
    </row>
    <row r="174" spans="1:1">
      <c r="A174" s="7">
        <v>200281</v>
      </c>
    </row>
    <row r="175" spans="1:1">
      <c r="A175" s="7">
        <v>200279</v>
      </c>
    </row>
    <row r="176" spans="1:1">
      <c r="A176" s="7">
        <v>200277</v>
      </c>
    </row>
    <row r="177" spans="1:1">
      <c r="A177" s="7">
        <v>200275</v>
      </c>
    </row>
    <row r="178" spans="1:1">
      <c r="A178" s="7">
        <v>200273</v>
      </c>
    </row>
    <row r="179" spans="1:1">
      <c r="A179" s="7">
        <v>200271</v>
      </c>
    </row>
    <row r="180" spans="1:1">
      <c r="A180" s="7">
        <v>200269</v>
      </c>
    </row>
    <row r="181" spans="1:1">
      <c r="A181" s="7">
        <v>200267</v>
      </c>
    </row>
    <row r="182" spans="1:1">
      <c r="A182" s="7">
        <v>200265</v>
      </c>
    </row>
    <row r="183" spans="1:1">
      <c r="A183" s="7">
        <v>200263</v>
      </c>
    </row>
    <row r="184" spans="1:1">
      <c r="A184" s="7">
        <v>200261</v>
      </c>
    </row>
    <row r="185" spans="1:1">
      <c r="A185" s="7">
        <v>200259</v>
      </c>
    </row>
    <row r="186" spans="1:1">
      <c r="A186" s="7">
        <v>200257</v>
      </c>
    </row>
    <row r="187" spans="1:1">
      <c r="A187" s="7">
        <v>200255</v>
      </c>
    </row>
    <row r="188" spans="1:1">
      <c r="A188" s="7">
        <v>200253</v>
      </c>
    </row>
    <row r="189" spans="1:1">
      <c r="A189" s="7">
        <v>200251</v>
      </c>
    </row>
    <row r="190" spans="1:1">
      <c r="A190" s="7">
        <v>200249</v>
      </c>
    </row>
    <row r="191" spans="1:1">
      <c r="A191" s="7">
        <v>200247</v>
      </c>
    </row>
    <row r="192" spans="1:1">
      <c r="A192" s="7">
        <v>200245</v>
      </c>
    </row>
    <row r="193" spans="1:1">
      <c r="A193" s="7">
        <v>200243</v>
      </c>
    </row>
    <row r="194" spans="1:1">
      <c r="A194" s="7">
        <v>200241</v>
      </c>
    </row>
    <row r="195" spans="1:1">
      <c r="A195" s="7">
        <v>200239</v>
      </c>
    </row>
    <row r="196" spans="1:1">
      <c r="A196" s="7">
        <v>200219</v>
      </c>
    </row>
    <row r="197" spans="1:1">
      <c r="A197" s="7">
        <v>200235</v>
      </c>
    </row>
    <row r="198" spans="1:1">
      <c r="A198" s="7">
        <v>200233</v>
      </c>
    </row>
    <row r="199" spans="1:1">
      <c r="A199" s="7">
        <v>200231</v>
      </c>
    </row>
    <row r="200" spans="1:1">
      <c r="A200" s="7">
        <v>200229</v>
      </c>
    </row>
    <row r="201" spans="1:1">
      <c r="A201" s="7">
        <v>200227</v>
      </c>
    </row>
    <row r="202" spans="1:1">
      <c r="A202" s="7">
        <v>200225</v>
      </c>
    </row>
    <row r="203" spans="1:1">
      <c r="A203" s="7">
        <v>200223</v>
      </c>
    </row>
    <row r="204" spans="1:1">
      <c r="A204" s="7">
        <v>200221</v>
      </c>
    </row>
    <row r="205" spans="1:1">
      <c r="A205" s="7">
        <v>200219</v>
      </c>
    </row>
    <row r="206" spans="1:1">
      <c r="A206" s="7">
        <v>200217</v>
      </c>
    </row>
    <row r="207" spans="1:1">
      <c r="A207" s="7">
        <v>200215</v>
      </c>
    </row>
    <row r="208" spans="1:1">
      <c r="A208" s="7">
        <v>200213</v>
      </c>
    </row>
    <row r="209" spans="1:1">
      <c r="A209" s="7">
        <v>200211</v>
      </c>
    </row>
    <row r="210" spans="1:1">
      <c r="A210" s="7">
        <v>200209</v>
      </c>
    </row>
    <row r="211" spans="1:1">
      <c r="A211" s="7">
        <v>200207</v>
      </c>
    </row>
    <row r="212" spans="1:1">
      <c r="A212" s="7">
        <v>200205</v>
      </c>
    </row>
    <row r="213" spans="1:1">
      <c r="A213" s="7">
        <v>200203</v>
      </c>
    </row>
    <row r="214" spans="1:1">
      <c r="A214" s="7">
        <v>200201</v>
      </c>
    </row>
    <row r="215" spans="1:1">
      <c r="A215" s="7">
        <v>200199</v>
      </c>
    </row>
    <row r="216" spans="1:1">
      <c r="A216" s="7">
        <v>200197</v>
      </c>
    </row>
    <row r="217" spans="1:1">
      <c r="A217" s="7">
        <v>200195</v>
      </c>
    </row>
    <row r="218" spans="1:1">
      <c r="A218" s="7">
        <v>200193</v>
      </c>
    </row>
    <row r="219" spans="1:1">
      <c r="A219" s="7">
        <v>200191</v>
      </c>
    </row>
    <row r="220" spans="1:1">
      <c r="A220" s="7">
        <v>200189</v>
      </c>
    </row>
    <row r="221" spans="1:1">
      <c r="A221" s="7">
        <v>200187</v>
      </c>
    </row>
    <row r="222" spans="1:1">
      <c r="A222" s="7">
        <v>200185</v>
      </c>
    </row>
    <row r="223" spans="1:1">
      <c r="A223" s="7">
        <v>200183</v>
      </c>
    </row>
    <row r="224" spans="1:1">
      <c r="A224" s="7">
        <v>200181</v>
      </c>
    </row>
    <row r="225" spans="1:1">
      <c r="A225" s="7">
        <v>200179</v>
      </c>
    </row>
    <row r="226" spans="1:1">
      <c r="A226" s="7">
        <v>200177</v>
      </c>
    </row>
    <row r="227" spans="1:1">
      <c r="A227" s="7">
        <v>200175</v>
      </c>
    </row>
    <row r="228" spans="1:1">
      <c r="A228" s="7">
        <v>200173</v>
      </c>
    </row>
    <row r="229" spans="1:1">
      <c r="A229" s="7">
        <v>200171</v>
      </c>
    </row>
    <row r="230" spans="1:1">
      <c r="A230" s="7">
        <v>100699</v>
      </c>
    </row>
    <row r="231" spans="1:1">
      <c r="A231" s="7">
        <v>100697</v>
      </c>
    </row>
    <row r="232" spans="1:1">
      <c r="A232" s="7">
        <v>100695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9BA2-1F59-4F62-B4D0-185603400BBF}">
  <dimension ref="A1:Q254"/>
  <sheetViews>
    <sheetView workbookViewId="0"/>
  </sheetViews>
  <sheetFormatPr defaultColWidth="11" defaultRowHeight="15.95"/>
  <cols>
    <col min="1" max="1" width="16" bestFit="1" customWidth="1"/>
    <col min="6" max="6" width="11.5" bestFit="1" customWidth="1"/>
    <col min="7" max="7" width="2.125" bestFit="1" customWidth="1"/>
    <col min="16" max="16" width="61.125" bestFit="1" customWidth="1"/>
  </cols>
  <sheetData>
    <row r="1" spans="1:17">
      <c r="A1" t="s">
        <v>43</v>
      </c>
      <c r="B1" t="str">
        <f t="shared" ref="B1:B64" si="0">_xlfn.XLOOKUP(D1,O:O,Q:Q,"Not Found")</f>
        <v>NYCQJ</v>
      </c>
      <c r="C1">
        <v>111001</v>
      </c>
      <c r="D1" t="s">
        <v>1169</v>
      </c>
      <c r="E1">
        <v>1181</v>
      </c>
      <c r="F1" t="s">
        <v>23</v>
      </c>
      <c r="G1" t="str">
        <f t="shared" ref="G1:G64" si="1">_xlfn.XLOOKUP(D1,O:O,P:P,"Not Found")</f>
        <v>Courtyard by Marriott New York Queens/Jamaica</v>
      </c>
      <c r="H1" s="18">
        <v>46161</v>
      </c>
      <c r="O1" s="32" t="s">
        <v>1569</v>
      </c>
      <c r="P1" s="32" t="s">
        <v>1570</v>
      </c>
      <c r="Q1" s="32" t="s">
        <v>1569</v>
      </c>
    </row>
    <row r="2" spans="1:17">
      <c r="A2" t="s">
        <v>43</v>
      </c>
      <c r="B2" t="str">
        <f t="shared" si="0"/>
        <v>NYCFJ</v>
      </c>
      <c r="C2">
        <v>111001</v>
      </c>
      <c r="D2" t="s">
        <v>1171</v>
      </c>
      <c r="E2">
        <v>1185</v>
      </c>
      <c r="F2" t="s">
        <v>23</v>
      </c>
      <c r="G2" t="str">
        <f t="shared" si="1"/>
        <v>Fairfield by Marriott Inn &amp; Suites New York Queens/Jamaica</v>
      </c>
      <c r="H2" s="18">
        <v>46161</v>
      </c>
      <c r="O2" s="32" t="s">
        <v>1551</v>
      </c>
      <c r="P2" s="32" t="s">
        <v>1552</v>
      </c>
      <c r="Q2" s="32" t="s">
        <v>1551</v>
      </c>
    </row>
    <row r="3" spans="1:17">
      <c r="A3" t="s">
        <v>43</v>
      </c>
      <c r="B3" t="str">
        <f t="shared" si="0"/>
        <v>PRHFI</v>
      </c>
      <c r="C3">
        <v>111003</v>
      </c>
      <c r="D3" t="s">
        <v>1173</v>
      </c>
      <c r="E3">
        <v>1182</v>
      </c>
      <c r="F3" t="s">
        <v>23</v>
      </c>
      <c r="G3" t="str">
        <f t="shared" si="1"/>
        <v>Fairfield Inn Port Huron</v>
      </c>
      <c r="H3" s="18">
        <v>46161</v>
      </c>
      <c r="O3" s="32" t="s">
        <v>1557</v>
      </c>
      <c r="P3" s="32" t="s">
        <v>1558</v>
      </c>
      <c r="Q3" s="32" t="s">
        <v>1557</v>
      </c>
    </row>
    <row r="4" spans="1:17">
      <c r="A4" t="s">
        <v>43</v>
      </c>
      <c r="B4" t="str">
        <f t="shared" si="0"/>
        <v>NYCTM</v>
      </c>
      <c r="C4">
        <v>111005</v>
      </c>
      <c r="D4" t="s">
        <v>1175</v>
      </c>
      <c r="E4">
        <v>1183</v>
      </c>
      <c r="F4" t="s">
        <v>23</v>
      </c>
      <c r="G4" t="str">
        <f t="shared" si="1"/>
        <v>Fairfield by Marriott Inn &amp; Suites New York Manhattan/Fifth Avenue</v>
      </c>
      <c r="H4" s="18">
        <v>46161</v>
      </c>
      <c r="O4" s="32" t="s">
        <v>1213</v>
      </c>
      <c r="P4" s="32" t="s">
        <v>1214</v>
      </c>
      <c r="Q4" s="32" t="s">
        <v>1213</v>
      </c>
    </row>
    <row r="5" spans="1:17">
      <c r="A5" t="s">
        <v>43</v>
      </c>
      <c r="B5" t="str">
        <f t="shared" si="0"/>
        <v>HPNNB</v>
      </c>
      <c r="C5">
        <v>111007</v>
      </c>
      <c r="D5" t="s">
        <v>1177</v>
      </c>
      <c r="E5">
        <v>1184</v>
      </c>
      <c r="F5" t="s">
        <v>23</v>
      </c>
      <c r="G5" t="str">
        <f t="shared" si="1"/>
        <v>Courtyard by Marriott Newburgh Stewart Airport</v>
      </c>
      <c r="H5" s="18">
        <v>46161</v>
      </c>
      <c r="O5" s="32" t="s">
        <v>1211</v>
      </c>
      <c r="P5" s="32" t="s">
        <v>1212</v>
      </c>
      <c r="Q5" s="32" t="s">
        <v>1211</v>
      </c>
    </row>
    <row r="6" spans="1:17">
      <c r="A6" t="s">
        <v>43</v>
      </c>
      <c r="B6" t="str">
        <f t="shared" si="0"/>
        <v>PWMCD</v>
      </c>
      <c r="C6">
        <v>111009</v>
      </c>
      <c r="D6" t="s">
        <v>1179</v>
      </c>
      <c r="E6">
        <v>1186</v>
      </c>
      <c r="F6" t="s">
        <v>23</v>
      </c>
      <c r="G6" t="str">
        <f t="shared" si="1"/>
        <v>Courtyard by Marriott Portland Downtown/Waterfront</v>
      </c>
      <c r="H6" s="18">
        <v>46161</v>
      </c>
      <c r="O6" s="32" t="s">
        <v>1221</v>
      </c>
      <c r="P6" s="32" t="s">
        <v>1222</v>
      </c>
      <c r="Q6" s="32" t="s">
        <v>1221</v>
      </c>
    </row>
    <row r="7" spans="1:17">
      <c r="A7" t="s">
        <v>43</v>
      </c>
      <c r="B7" t="str">
        <f t="shared" si="0"/>
        <v>EWRPX</v>
      </c>
      <c r="C7">
        <v>111011</v>
      </c>
      <c r="D7" t="s">
        <v>1181</v>
      </c>
      <c r="E7">
        <v>1187</v>
      </c>
      <c r="F7" t="s">
        <v>23</v>
      </c>
      <c r="G7" t="str">
        <f t="shared" si="1"/>
        <v>Fairfield by Marriott Inn &amp; Suites Paramus</v>
      </c>
      <c r="H7" s="18">
        <v>46161</v>
      </c>
      <c r="O7" s="32" t="s">
        <v>1215</v>
      </c>
      <c r="P7" s="32" t="s">
        <v>1216</v>
      </c>
      <c r="Q7" s="32" t="s">
        <v>1215</v>
      </c>
    </row>
    <row r="8" spans="1:17">
      <c r="A8" t="s">
        <v>43</v>
      </c>
      <c r="B8" t="str">
        <f t="shared" si="0"/>
        <v>EWRWK</v>
      </c>
      <c r="C8">
        <v>111013</v>
      </c>
      <c r="D8" t="s">
        <v>1183</v>
      </c>
      <c r="E8">
        <v>1188</v>
      </c>
      <c r="F8" t="s">
        <v>23</v>
      </c>
      <c r="G8" t="str">
        <f t="shared" si="1"/>
        <v>Courtyard by Marriott North Brunswick</v>
      </c>
      <c r="H8" s="18">
        <v>46161</v>
      </c>
      <c r="O8" s="32" t="s">
        <v>1327</v>
      </c>
      <c r="P8" s="32" t="s">
        <v>1328</v>
      </c>
      <c r="Q8" s="32" t="s">
        <v>1327</v>
      </c>
    </row>
    <row r="9" spans="1:17">
      <c r="A9" t="s">
        <v>43</v>
      </c>
      <c r="B9" t="str">
        <f t="shared" si="0"/>
        <v>PHLRO</v>
      </c>
      <c r="C9">
        <v>111015</v>
      </c>
      <c r="D9" t="s">
        <v>1185</v>
      </c>
      <c r="E9">
        <v>1190</v>
      </c>
      <c r="F9" t="s">
        <v>23</v>
      </c>
      <c r="G9" t="str">
        <f t="shared" si="1"/>
        <v>Fairfield by Marriott Inn &amp; Suites Philadelphia Broomall/Newtown Square</v>
      </c>
      <c r="H9" s="18">
        <v>46161</v>
      </c>
      <c r="O9" s="32" t="s">
        <v>1315</v>
      </c>
      <c r="P9" s="32" t="s">
        <v>1316</v>
      </c>
      <c r="Q9" s="32" t="s">
        <v>1315</v>
      </c>
    </row>
    <row r="10" spans="1:17">
      <c r="A10" t="s">
        <v>43</v>
      </c>
      <c r="B10" t="str">
        <f t="shared" si="0"/>
        <v>PBIFF</v>
      </c>
      <c r="C10">
        <v>111017</v>
      </c>
      <c r="D10" t="s">
        <v>1187</v>
      </c>
      <c r="E10">
        <v>1191</v>
      </c>
      <c r="F10" t="s">
        <v>23</v>
      </c>
      <c r="G10" t="str">
        <f t="shared" si="1"/>
        <v>Fairfield by Marriott Inn &amp; Suites Palm Beach</v>
      </c>
      <c r="H10" s="18">
        <v>46161</v>
      </c>
      <c r="O10" s="32" t="s">
        <v>1241</v>
      </c>
      <c r="P10" s="32" t="s">
        <v>1242</v>
      </c>
      <c r="Q10" s="32" t="s">
        <v>1241</v>
      </c>
    </row>
    <row r="11" spans="1:17">
      <c r="A11" t="s">
        <v>43</v>
      </c>
      <c r="B11" t="str">
        <f t="shared" si="0"/>
        <v>PITDF</v>
      </c>
      <c r="C11">
        <v>111019</v>
      </c>
      <c r="D11" t="s">
        <v>1189</v>
      </c>
      <c r="E11">
        <v>1192</v>
      </c>
      <c r="F11" t="s">
        <v>23</v>
      </c>
      <c r="G11" t="str">
        <f t="shared" si="1"/>
        <v>Fairfield by Marriott Inn &amp; Suites Pittsburgh Downtown</v>
      </c>
      <c r="H11" s="18">
        <v>46161</v>
      </c>
      <c r="O11" s="32" t="s">
        <v>1249</v>
      </c>
      <c r="P11" s="32" t="s">
        <v>1250</v>
      </c>
      <c r="Q11" s="32" t="s">
        <v>1249</v>
      </c>
    </row>
    <row r="12" spans="1:17">
      <c r="A12" t="s">
        <v>43</v>
      </c>
      <c r="B12" t="str">
        <f t="shared" si="0"/>
        <v>TYSKW</v>
      </c>
      <c r="C12">
        <v>111021</v>
      </c>
      <c r="D12" t="s">
        <v>1191</v>
      </c>
      <c r="E12">
        <v>1193</v>
      </c>
      <c r="F12" t="s">
        <v>23</v>
      </c>
      <c r="G12" t="str">
        <f t="shared" si="1"/>
        <v>SpringHill Suites by Marriott Knoxville at Turkey Creek</v>
      </c>
      <c r="H12" s="18">
        <v>46161</v>
      </c>
      <c r="O12" s="32" t="s">
        <v>1231</v>
      </c>
      <c r="P12" s="32" t="s">
        <v>1232</v>
      </c>
      <c r="Q12" s="32" t="s">
        <v>1231</v>
      </c>
    </row>
    <row r="13" spans="1:17">
      <c r="A13" t="s">
        <v>43</v>
      </c>
      <c r="B13" t="str">
        <f t="shared" si="0"/>
        <v>PHLCV</v>
      </c>
      <c r="C13">
        <v>111023</v>
      </c>
      <c r="D13" t="s">
        <v>1193</v>
      </c>
      <c r="E13">
        <v>1194</v>
      </c>
      <c r="F13" t="s">
        <v>23</v>
      </c>
      <c r="G13" t="str">
        <f t="shared" si="1"/>
        <v>Courtyard by Marriott Philadelphia Coatesville Exton</v>
      </c>
      <c r="H13" s="18">
        <v>46161</v>
      </c>
      <c r="O13" s="32" t="s">
        <v>1237</v>
      </c>
      <c r="P13" s="32" t="s">
        <v>1238</v>
      </c>
      <c r="Q13" s="32" t="s">
        <v>1237</v>
      </c>
    </row>
    <row r="14" spans="1:17">
      <c r="A14" t="s">
        <v>43</v>
      </c>
      <c r="B14" t="str">
        <f t="shared" si="0"/>
        <v>EWRFS</v>
      </c>
      <c r="C14">
        <v>111025</v>
      </c>
      <c r="D14" t="s">
        <v>1195</v>
      </c>
      <c r="E14">
        <v>1195</v>
      </c>
      <c r="F14" t="s">
        <v>23</v>
      </c>
      <c r="G14" t="str">
        <f t="shared" si="1"/>
        <v>Fairfield by Marriott Inn &amp; Suites Newark Liberty International Airport</v>
      </c>
      <c r="H14" s="18">
        <v>46161</v>
      </c>
      <c r="O14" s="32" t="s">
        <v>1323</v>
      </c>
      <c r="P14" s="32" t="s">
        <v>1324</v>
      </c>
      <c r="Q14" s="32" t="s">
        <v>1323</v>
      </c>
    </row>
    <row r="15" spans="1:17">
      <c r="A15" t="s">
        <v>43</v>
      </c>
      <c r="B15" t="str">
        <f t="shared" si="0"/>
        <v>CRWCY</v>
      </c>
      <c r="C15">
        <v>111027</v>
      </c>
      <c r="D15" t="s">
        <v>1197</v>
      </c>
      <c r="E15">
        <v>1196</v>
      </c>
      <c r="F15" t="s">
        <v>23</v>
      </c>
      <c r="G15" t="str">
        <f t="shared" si="1"/>
        <v>Courtyard by Marriott Charleston Downtown/Civic Center</v>
      </c>
      <c r="H15" s="18">
        <v>46161</v>
      </c>
      <c r="O15" s="32" t="s">
        <v>1331</v>
      </c>
      <c r="P15" s="32" t="s">
        <v>1332</v>
      </c>
      <c r="Q15" s="32" t="s">
        <v>1331</v>
      </c>
    </row>
    <row r="16" spans="1:17">
      <c r="A16" t="s">
        <v>43</v>
      </c>
      <c r="B16" t="str">
        <f t="shared" si="0"/>
        <v>NYCTW</v>
      </c>
      <c r="C16">
        <v>111029</v>
      </c>
      <c r="D16" t="s">
        <v>1199</v>
      </c>
      <c r="E16">
        <v>1197</v>
      </c>
      <c r="F16" t="s">
        <v>23</v>
      </c>
      <c r="G16" t="str">
        <f t="shared" si="1"/>
        <v>Fairfield by Marriott Inn &amp; Suites New York Manhattan/Chelsea</v>
      </c>
      <c r="H16" s="18">
        <v>46161</v>
      </c>
      <c r="O16" s="32" t="s">
        <v>1295</v>
      </c>
      <c r="P16" s="32" t="s">
        <v>1296</v>
      </c>
      <c r="Q16" s="32" t="s">
        <v>1295</v>
      </c>
    </row>
    <row r="17" spans="1:17">
      <c r="A17" t="s">
        <v>43</v>
      </c>
      <c r="B17" t="str">
        <f t="shared" si="0"/>
        <v>NYCQS</v>
      </c>
      <c r="C17">
        <v>111031</v>
      </c>
      <c r="D17" t="s">
        <v>1201</v>
      </c>
      <c r="E17">
        <v>1198</v>
      </c>
      <c r="F17" t="s">
        <v>23</v>
      </c>
      <c r="G17" t="str">
        <f t="shared" si="1"/>
        <v>SpringHill Suites by Marriott New York JFK Airport/Jamaica</v>
      </c>
      <c r="H17" s="18">
        <v>46161</v>
      </c>
      <c r="O17" s="32" t="s">
        <v>1287</v>
      </c>
      <c r="P17" s="32" t="s">
        <v>1288</v>
      </c>
      <c r="Q17" s="32" t="s">
        <v>1287</v>
      </c>
    </row>
    <row r="18" spans="1:17">
      <c r="A18" t="s">
        <v>43</v>
      </c>
      <c r="B18" t="str">
        <f t="shared" si="0"/>
        <v>EWRSW</v>
      </c>
      <c r="C18">
        <v>111033</v>
      </c>
      <c r="D18" t="s">
        <v>1203</v>
      </c>
      <c r="E18">
        <v>1199</v>
      </c>
      <c r="F18" t="s">
        <v>23</v>
      </c>
      <c r="G18" t="str">
        <f t="shared" si="1"/>
        <v>SpringHill Suites by Marriott East Rutherford Meadowlands/Carlstadt</v>
      </c>
      <c r="H18" s="18">
        <v>46161</v>
      </c>
      <c r="O18" s="32" t="s">
        <v>1645</v>
      </c>
      <c r="P18" s="32" t="s">
        <v>1646</v>
      </c>
      <c r="Q18" s="32" t="s">
        <v>1645</v>
      </c>
    </row>
    <row r="19" spans="1:17">
      <c r="A19" t="s">
        <v>43</v>
      </c>
      <c r="B19" t="str">
        <f t="shared" si="0"/>
        <v>EWRML</v>
      </c>
      <c r="C19">
        <v>111035</v>
      </c>
      <c r="D19" t="s">
        <v>1205</v>
      </c>
      <c r="E19">
        <v>1200</v>
      </c>
      <c r="F19" t="s">
        <v>23</v>
      </c>
      <c r="G19" t="str">
        <f t="shared" si="1"/>
        <v>Courtyard by Marriott Lyndhurst Meadowlands</v>
      </c>
      <c r="H19" s="18">
        <v>46161</v>
      </c>
      <c r="O19" s="32" t="s">
        <v>1597</v>
      </c>
      <c r="P19" s="32" t="s">
        <v>1598</v>
      </c>
      <c r="Q19" s="32" t="s">
        <v>1597</v>
      </c>
    </row>
    <row r="20" spans="1:17">
      <c r="A20" t="s">
        <v>43</v>
      </c>
      <c r="B20" t="str">
        <f t="shared" si="0"/>
        <v>EWRUF</v>
      </c>
      <c r="C20">
        <v>111037</v>
      </c>
      <c r="D20" t="s">
        <v>1207</v>
      </c>
      <c r="E20">
        <v>1201</v>
      </c>
      <c r="F20" t="s">
        <v>23</v>
      </c>
      <c r="G20" t="str">
        <f t="shared" si="1"/>
        <v>Fairfield by Marriott Inn &amp; Suites Union</v>
      </c>
      <c r="H20" s="18">
        <v>46161</v>
      </c>
      <c r="O20" s="32" t="s">
        <v>1563</v>
      </c>
      <c r="P20" s="32" t="s">
        <v>1564</v>
      </c>
      <c r="Q20" s="32" t="s">
        <v>1563</v>
      </c>
    </row>
    <row r="21" spans="1:17">
      <c r="A21" t="s">
        <v>43</v>
      </c>
      <c r="B21" t="str">
        <f t="shared" si="0"/>
        <v>UKTSH</v>
      </c>
      <c r="C21">
        <v>111039</v>
      </c>
      <c r="D21" t="s">
        <v>1209</v>
      </c>
      <c r="E21">
        <v>1202</v>
      </c>
      <c r="F21" t="s">
        <v>23</v>
      </c>
      <c r="G21" t="str">
        <f t="shared" si="1"/>
        <v>SpringHill Suites by Marriott Quakertown</v>
      </c>
      <c r="H21" s="18">
        <v>46161</v>
      </c>
      <c r="O21" s="32" t="s">
        <v>1465</v>
      </c>
      <c r="P21" s="32" t="s">
        <v>1466</v>
      </c>
      <c r="Q21" s="32" t="s">
        <v>1465</v>
      </c>
    </row>
    <row r="22" spans="1:17">
      <c r="A22" t="s">
        <v>43</v>
      </c>
      <c r="B22" t="str">
        <f t="shared" si="0"/>
        <v>ATLDU</v>
      </c>
      <c r="C22">
        <v>111041</v>
      </c>
      <c r="D22" t="s">
        <v>1211</v>
      </c>
      <c r="E22">
        <v>1203</v>
      </c>
      <c r="F22" t="s">
        <v>23</v>
      </c>
      <c r="G22" t="str">
        <f t="shared" si="1"/>
        <v>Courtyard by Marriott Atlanta NE/Duluth Sugarloaf</v>
      </c>
      <c r="H22" s="18">
        <v>46161</v>
      </c>
      <c r="O22" s="32" t="s">
        <v>1197</v>
      </c>
      <c r="P22" s="32" t="s">
        <v>1198</v>
      </c>
      <c r="Q22" s="32" t="s">
        <v>1197</v>
      </c>
    </row>
    <row r="23" spans="1:17">
      <c r="A23" t="s">
        <v>43</v>
      </c>
      <c r="B23" t="str">
        <f t="shared" si="0"/>
        <v>ATLCN</v>
      </c>
      <c r="C23">
        <v>111043</v>
      </c>
      <c r="D23" t="s">
        <v>1213</v>
      </c>
      <c r="E23">
        <v>1228</v>
      </c>
      <c r="F23" t="s">
        <v>23</v>
      </c>
      <c r="G23" t="str">
        <f t="shared" si="1"/>
        <v>AC Hotel Atlanta Midtown</v>
      </c>
      <c r="H23" s="18">
        <v>46161</v>
      </c>
      <c r="O23" s="32" t="s">
        <v>1417</v>
      </c>
      <c r="P23" s="32" t="s">
        <v>1418</v>
      </c>
      <c r="Q23" s="32" t="s">
        <v>1417</v>
      </c>
    </row>
    <row r="24" spans="1:17">
      <c r="A24" t="s">
        <v>43</v>
      </c>
      <c r="B24" t="str">
        <f t="shared" si="0"/>
        <v>ATLOX</v>
      </c>
      <c r="C24">
        <v>111043</v>
      </c>
      <c r="D24" t="s">
        <v>1215</v>
      </c>
      <c r="E24">
        <v>1204</v>
      </c>
      <c r="F24" t="s">
        <v>23</v>
      </c>
      <c r="G24" t="str">
        <f t="shared" si="1"/>
        <v>Moxy Atlanta Midtown</v>
      </c>
      <c r="H24" s="18">
        <v>46161</v>
      </c>
      <c r="O24" s="32" t="s">
        <v>1475</v>
      </c>
      <c r="P24" s="32" t="s">
        <v>1476</v>
      </c>
      <c r="Q24" s="32" t="s">
        <v>1475</v>
      </c>
    </row>
    <row r="25" spans="1:17">
      <c r="A25" t="s">
        <v>43</v>
      </c>
      <c r="B25" t="str">
        <f t="shared" si="0"/>
        <v>EWRED</v>
      </c>
      <c r="C25">
        <v>111045</v>
      </c>
      <c r="D25" t="s">
        <v>1217</v>
      </c>
      <c r="E25">
        <v>1205</v>
      </c>
      <c r="F25" t="s">
        <v>23</v>
      </c>
      <c r="G25" t="str">
        <f t="shared" si="1"/>
        <v>Courtyard by Marriott Edison Woodbridge</v>
      </c>
      <c r="H25" s="18">
        <v>46161</v>
      </c>
      <c r="O25" s="32" t="s">
        <v>1481</v>
      </c>
      <c r="P25" s="32" t="s">
        <v>1482</v>
      </c>
      <c r="Q25" s="32" t="s">
        <v>1481</v>
      </c>
    </row>
    <row r="26" spans="1:17">
      <c r="A26" t="s">
        <v>43</v>
      </c>
      <c r="B26" t="str">
        <f t="shared" si="0"/>
        <v>PHLQC</v>
      </c>
      <c r="C26">
        <v>111047</v>
      </c>
      <c r="D26" t="s">
        <v>1219</v>
      </c>
      <c r="E26">
        <v>1206</v>
      </c>
      <c r="F26" t="s">
        <v>23</v>
      </c>
      <c r="G26" t="str">
        <f t="shared" si="1"/>
        <v>AC Hotel Newtown Square</v>
      </c>
      <c r="H26" s="18">
        <v>46161</v>
      </c>
      <c r="O26" s="32" t="s">
        <v>1441</v>
      </c>
      <c r="P26" s="32" t="s">
        <v>1442</v>
      </c>
      <c r="Q26" s="32" t="s">
        <v>1441</v>
      </c>
    </row>
    <row r="27" spans="1:17">
      <c r="A27" t="s">
        <v>43</v>
      </c>
      <c r="B27" t="str">
        <f t="shared" si="0"/>
        <v>ATLKE</v>
      </c>
      <c r="C27">
        <v>111049</v>
      </c>
      <c r="D27" t="s">
        <v>1221</v>
      </c>
      <c r="E27">
        <v>1207</v>
      </c>
      <c r="F27" t="s">
        <v>23</v>
      </c>
      <c r="G27" t="str">
        <f t="shared" si="1"/>
        <v>Courtyard by Marriott Atlanta Kennesaw</v>
      </c>
      <c r="H27" s="18">
        <v>46161</v>
      </c>
      <c r="O27" s="32" t="s">
        <v>1451</v>
      </c>
      <c r="P27" s="32" t="s">
        <v>1452</v>
      </c>
      <c r="Q27" s="32" t="s">
        <v>1451</v>
      </c>
    </row>
    <row r="28" spans="1:17">
      <c r="A28" t="s">
        <v>43</v>
      </c>
      <c r="B28" t="str">
        <f t="shared" si="0"/>
        <v>ILGUD</v>
      </c>
      <c r="C28">
        <v>111051</v>
      </c>
      <c r="D28" t="s">
        <v>1223</v>
      </c>
      <c r="E28">
        <v>1208</v>
      </c>
      <c r="F28" t="s">
        <v>23</v>
      </c>
      <c r="G28" t="str">
        <f t="shared" si="1"/>
        <v>Courtyard by Marriott Newark-University of Delaware</v>
      </c>
      <c r="H28" s="18">
        <v>46161</v>
      </c>
      <c r="O28" s="32" t="s">
        <v>1541</v>
      </c>
      <c r="P28" s="32" t="s">
        <v>1542</v>
      </c>
      <c r="Q28" s="32" t="s">
        <v>1541</v>
      </c>
    </row>
    <row r="29" spans="1:17">
      <c r="A29" t="s">
        <v>43</v>
      </c>
      <c r="B29" t="str">
        <f t="shared" si="0"/>
        <v>MIAGB</v>
      </c>
      <c r="C29">
        <v>111053</v>
      </c>
      <c r="D29" t="s">
        <v>1225</v>
      </c>
      <c r="E29">
        <v>1209</v>
      </c>
      <c r="F29" t="s">
        <v>23</v>
      </c>
      <c r="G29" t="str">
        <f t="shared" si="1"/>
        <v>Courtyard by Marriott Miami Coral Gables</v>
      </c>
      <c r="H29" s="18">
        <v>46161</v>
      </c>
      <c r="O29" s="32" t="s">
        <v>1497</v>
      </c>
      <c r="P29" s="32" t="s">
        <v>1498</v>
      </c>
      <c r="Q29" s="32" t="s">
        <v>1497</v>
      </c>
    </row>
    <row r="30" spans="1:17">
      <c r="A30" t="s">
        <v>43</v>
      </c>
      <c r="B30" t="str">
        <f t="shared" si="0"/>
        <v>PITML</v>
      </c>
      <c r="C30">
        <v>111055</v>
      </c>
      <c r="D30" t="s">
        <v>1227</v>
      </c>
      <c r="E30">
        <v>1210</v>
      </c>
      <c r="F30" t="s">
        <v>23</v>
      </c>
      <c r="G30" t="str">
        <f t="shared" si="1"/>
        <v>SpringHill Suites by Marriott Pittsburgh Mills</v>
      </c>
      <c r="H30" s="18">
        <v>46161</v>
      </c>
      <c r="O30" s="32" t="s">
        <v>1409</v>
      </c>
      <c r="P30" s="32" t="s">
        <v>1410</v>
      </c>
      <c r="Q30" s="32" t="s">
        <v>1409</v>
      </c>
    </row>
    <row r="31" spans="1:17">
      <c r="A31" t="s">
        <v>43</v>
      </c>
      <c r="B31" t="str">
        <f t="shared" si="0"/>
        <v>PHLCC</v>
      </c>
      <c r="C31">
        <v>111057</v>
      </c>
      <c r="D31" t="s">
        <v>1229</v>
      </c>
      <c r="E31">
        <v>1211</v>
      </c>
      <c r="F31" t="s">
        <v>23</v>
      </c>
      <c r="G31" t="str">
        <f t="shared" si="1"/>
        <v>Fairfield by Marriott Inn &amp; Suites Philadelphia Downtown/Center City</v>
      </c>
      <c r="H31" s="18">
        <v>46161</v>
      </c>
      <c r="O31" s="32" t="s">
        <v>1391</v>
      </c>
      <c r="P31" s="32" t="s">
        <v>1392</v>
      </c>
      <c r="Q31" s="32" t="s">
        <v>1391</v>
      </c>
    </row>
    <row r="32" spans="1:17">
      <c r="A32" t="s">
        <v>43</v>
      </c>
      <c r="B32" t="str">
        <f t="shared" si="0"/>
        <v>ATLYN</v>
      </c>
      <c r="C32">
        <v>111059</v>
      </c>
      <c r="D32" t="s">
        <v>1231</v>
      </c>
      <c r="E32">
        <v>1212</v>
      </c>
      <c r="F32" t="s">
        <v>23</v>
      </c>
      <c r="G32" t="str">
        <f t="shared" si="1"/>
        <v>Courtyard by Marriott Atlanta Dunwoody</v>
      </c>
      <c r="H32" s="18">
        <v>46161</v>
      </c>
      <c r="O32" s="32" t="s">
        <v>1365</v>
      </c>
      <c r="P32" s="32" t="s">
        <v>1366</v>
      </c>
      <c r="Q32" s="32" t="s">
        <v>1365</v>
      </c>
    </row>
    <row r="33" spans="1:17">
      <c r="A33" t="s">
        <v>43</v>
      </c>
      <c r="B33" t="str">
        <f t="shared" si="0"/>
        <v>RDUCX</v>
      </c>
      <c r="C33">
        <v>111061</v>
      </c>
      <c r="D33" t="s">
        <v>1233</v>
      </c>
      <c r="E33">
        <v>1213</v>
      </c>
      <c r="F33" t="s">
        <v>23</v>
      </c>
      <c r="G33" t="str">
        <f t="shared" si="1"/>
        <v>Courtyard by Marriott Raleigh Cary Crossroads</v>
      </c>
      <c r="H33" s="18">
        <v>46161</v>
      </c>
      <c r="O33" s="32" t="s">
        <v>1443</v>
      </c>
      <c r="P33" s="32" t="s">
        <v>1444</v>
      </c>
      <c r="Q33" s="32" t="s">
        <v>1443</v>
      </c>
    </row>
    <row r="34" spans="1:17">
      <c r="A34" t="s">
        <v>43</v>
      </c>
      <c r="B34" t="str">
        <f t="shared" si="0"/>
        <v>PBIBB</v>
      </c>
      <c r="C34">
        <v>111063</v>
      </c>
      <c r="D34" t="s">
        <v>1235</v>
      </c>
      <c r="E34">
        <v>1214</v>
      </c>
      <c r="F34" t="s">
        <v>23</v>
      </c>
      <c r="G34" t="str">
        <f t="shared" si="1"/>
        <v>Courtyard by Marriott Boynton Beach</v>
      </c>
      <c r="H34" s="18">
        <v>46161</v>
      </c>
      <c r="O34" s="32" t="s">
        <v>1483</v>
      </c>
      <c r="P34" s="32" t="s">
        <v>1484</v>
      </c>
      <c r="Q34" s="32" t="s">
        <v>1483</v>
      </c>
    </row>
    <row r="35" spans="1:17">
      <c r="A35" t="s">
        <v>43</v>
      </c>
      <c r="B35" t="str">
        <f t="shared" si="0"/>
        <v>BOSAR</v>
      </c>
      <c r="C35">
        <v>111065</v>
      </c>
      <c r="D35" t="s">
        <v>1237</v>
      </c>
      <c r="E35">
        <v>1215</v>
      </c>
      <c r="F35" t="s">
        <v>23</v>
      </c>
      <c r="G35" t="str">
        <f t="shared" si="1"/>
        <v>AC Hotel Boston Cambridge</v>
      </c>
      <c r="H35" s="18">
        <v>46161</v>
      </c>
      <c r="O35" s="32" t="s">
        <v>1403</v>
      </c>
      <c r="P35" s="32" t="s">
        <v>1404</v>
      </c>
      <c r="Q35" s="32" t="s">
        <v>1403</v>
      </c>
    </row>
    <row r="36" spans="1:17">
      <c r="A36" t="s">
        <v>43</v>
      </c>
      <c r="B36" t="str">
        <f t="shared" si="0"/>
        <v>NYCOT</v>
      </c>
      <c r="C36">
        <v>111067</v>
      </c>
      <c r="D36" t="s">
        <v>1239</v>
      </c>
      <c r="E36">
        <v>1216</v>
      </c>
      <c r="F36" t="s">
        <v>23</v>
      </c>
      <c r="G36" t="str">
        <f t="shared" si="1"/>
        <v>Moxy NYC East Village</v>
      </c>
      <c r="H36" s="18">
        <v>46161</v>
      </c>
      <c r="O36" s="32" t="s">
        <v>1379</v>
      </c>
      <c r="P36" s="32" t="s">
        <v>1380</v>
      </c>
      <c r="Q36" s="32" t="s">
        <v>1379</v>
      </c>
    </row>
    <row r="37" spans="1:17">
      <c r="A37" t="s">
        <v>43</v>
      </c>
      <c r="B37" t="str">
        <f t="shared" si="0"/>
        <v>ATLSS</v>
      </c>
      <c r="C37">
        <v>111069</v>
      </c>
      <c r="D37" t="s">
        <v>1241</v>
      </c>
      <c r="E37">
        <v>1217</v>
      </c>
      <c r="F37" t="s">
        <v>23</v>
      </c>
      <c r="G37" t="str">
        <f t="shared" si="1"/>
        <v>SpringHill Suites by Marriott Atlanta Alpharetta</v>
      </c>
      <c r="H37" s="18">
        <v>46161</v>
      </c>
      <c r="O37" s="32" t="s">
        <v>1429</v>
      </c>
      <c r="P37" s="32" t="s">
        <v>1430</v>
      </c>
      <c r="Q37" s="32" t="s">
        <v>1429</v>
      </c>
    </row>
    <row r="38" spans="1:17">
      <c r="A38" t="s">
        <v>43</v>
      </c>
      <c r="B38" t="str">
        <f t="shared" si="0"/>
        <v>PHLMM</v>
      </c>
      <c r="C38">
        <v>111071</v>
      </c>
      <c r="D38" t="s">
        <v>1243</v>
      </c>
      <c r="E38">
        <v>1218</v>
      </c>
      <c r="F38" t="s">
        <v>23</v>
      </c>
      <c r="G38" t="str">
        <f t="shared" si="1"/>
        <v>Courtyard by Marriott Philadelphia Montgomeryville</v>
      </c>
      <c r="H38" s="18">
        <v>46161</v>
      </c>
      <c r="O38" s="32" t="s">
        <v>1399</v>
      </c>
      <c r="P38" s="32" t="s">
        <v>1400</v>
      </c>
      <c r="Q38" s="32" t="s">
        <v>1399</v>
      </c>
    </row>
    <row r="39" spans="1:17">
      <c r="A39" t="s">
        <v>43</v>
      </c>
      <c r="B39" t="str">
        <f t="shared" si="0"/>
        <v>PHLVO</v>
      </c>
      <c r="C39">
        <v>111073</v>
      </c>
      <c r="D39" t="s">
        <v>1245</v>
      </c>
      <c r="E39">
        <v>1219</v>
      </c>
      <c r="F39" t="s">
        <v>23</v>
      </c>
      <c r="G39" t="str">
        <f t="shared" si="1"/>
        <v>SpringHill Suites by Marriott Voorhees Mt. Laurel/Cherry Hill</v>
      </c>
      <c r="H39" s="18">
        <v>46161</v>
      </c>
      <c r="O39" s="32" t="s">
        <v>1405</v>
      </c>
      <c r="P39" s="32" t="s">
        <v>1406</v>
      </c>
      <c r="Q39" s="32" t="s">
        <v>1405</v>
      </c>
    </row>
    <row r="40" spans="1:17">
      <c r="A40" t="s">
        <v>43</v>
      </c>
      <c r="B40" t="str">
        <f t="shared" si="0"/>
        <v>RDUAY</v>
      </c>
      <c r="C40">
        <v>111075</v>
      </c>
      <c r="D40" t="s">
        <v>1247</v>
      </c>
      <c r="E40">
        <v>1220</v>
      </c>
      <c r="F40" t="s">
        <v>23</v>
      </c>
      <c r="G40" t="str">
        <f t="shared" si="1"/>
        <v>Fairfield by Marriott Inn &amp; Suites Raleigh Cary</v>
      </c>
      <c r="H40" s="18">
        <v>46161</v>
      </c>
      <c r="O40" s="32" t="s">
        <v>1401</v>
      </c>
      <c r="P40" s="32" t="s">
        <v>1402</v>
      </c>
      <c r="Q40" s="32" t="s">
        <v>1401</v>
      </c>
    </row>
    <row r="41" spans="1:17">
      <c r="A41" t="s">
        <v>43</v>
      </c>
      <c r="B41" t="str">
        <f t="shared" si="0"/>
        <v>ATLVG</v>
      </c>
      <c r="C41">
        <v>111077</v>
      </c>
      <c r="D41" t="s">
        <v>1249</v>
      </c>
      <c r="E41">
        <v>1221</v>
      </c>
      <c r="F41" t="s">
        <v>23</v>
      </c>
      <c r="G41" t="str">
        <f t="shared" si="1"/>
        <v>Courtyard by Marriott Atlanta Vinings/Galleria</v>
      </c>
      <c r="H41" s="18">
        <v>46161</v>
      </c>
      <c r="O41" s="32" t="s">
        <v>1457</v>
      </c>
      <c r="P41" s="32" t="s">
        <v>1458</v>
      </c>
      <c r="Q41" s="32" t="s">
        <v>1457</v>
      </c>
    </row>
    <row r="42" spans="1:17">
      <c r="A42" t="s">
        <v>43</v>
      </c>
      <c r="B42" t="str">
        <f t="shared" si="0"/>
        <v>EWRMY</v>
      </c>
      <c r="C42">
        <v>111079</v>
      </c>
      <c r="D42" t="s">
        <v>1251</v>
      </c>
      <c r="E42">
        <v>1222</v>
      </c>
      <c r="F42" t="s">
        <v>23</v>
      </c>
      <c r="G42" t="str">
        <f t="shared" si="1"/>
        <v>Courtyard by Marriott Mahwah</v>
      </c>
      <c r="H42" s="18">
        <v>46161</v>
      </c>
      <c r="O42" s="32" t="s">
        <v>1449</v>
      </c>
      <c r="P42" s="32" t="s">
        <v>1450</v>
      </c>
      <c r="Q42" s="32" t="s">
        <v>1449</v>
      </c>
    </row>
    <row r="43" spans="1:17">
      <c r="A43" t="s">
        <v>43</v>
      </c>
      <c r="B43" t="str">
        <f t="shared" si="0"/>
        <v>PKBCB</v>
      </c>
      <c r="C43">
        <v>111081</v>
      </c>
      <c r="D43" t="s">
        <v>1253</v>
      </c>
      <c r="E43">
        <v>1223</v>
      </c>
      <c r="F43" t="s">
        <v>23</v>
      </c>
      <c r="G43" t="str">
        <f t="shared" si="1"/>
        <v>Fairfield by Marriott Inn &amp; Suites Cambridge</v>
      </c>
      <c r="H43" s="18">
        <v>46161</v>
      </c>
      <c r="O43" s="32" t="s">
        <v>1507</v>
      </c>
      <c r="P43" s="32" t="s">
        <v>1508</v>
      </c>
      <c r="Q43" s="32" t="s">
        <v>1507</v>
      </c>
    </row>
    <row r="44" spans="1:17">
      <c r="A44" t="s">
        <v>43</v>
      </c>
      <c r="B44" t="str">
        <f t="shared" si="0"/>
        <v>PITFA</v>
      </c>
      <c r="C44">
        <v>111083</v>
      </c>
      <c r="D44" t="s">
        <v>1255</v>
      </c>
      <c r="E44">
        <v>1224</v>
      </c>
      <c r="F44" t="s">
        <v>23</v>
      </c>
      <c r="G44" t="str">
        <f t="shared" si="1"/>
        <v>Fairfield by Marriott Inn &amp; Suites Washington Casino Area</v>
      </c>
      <c r="H44" s="18">
        <v>46161</v>
      </c>
      <c r="O44" s="32" t="s">
        <v>1489</v>
      </c>
      <c r="P44" s="32" t="s">
        <v>1490</v>
      </c>
      <c r="Q44" s="32" t="s">
        <v>1489</v>
      </c>
    </row>
    <row r="45" spans="1:17">
      <c r="A45" t="s">
        <v>43</v>
      </c>
      <c r="B45" t="str">
        <f t="shared" si="0"/>
        <v>NYCQN</v>
      </c>
      <c r="C45">
        <v>111085</v>
      </c>
      <c r="D45" t="s">
        <v>1257</v>
      </c>
      <c r="E45">
        <v>1225</v>
      </c>
      <c r="F45" t="s">
        <v>23</v>
      </c>
      <c r="G45" t="str">
        <f t="shared" si="1"/>
        <v>Fairfield by Marriott Inn &amp; Suites New York Queens/Queensboro Bridge</v>
      </c>
      <c r="H45" s="18">
        <v>46161</v>
      </c>
      <c r="O45" s="32" t="s">
        <v>1459</v>
      </c>
      <c r="P45" s="32" t="s">
        <v>1460</v>
      </c>
      <c r="Q45" s="32" t="s">
        <v>1459</v>
      </c>
    </row>
    <row r="46" spans="1:17">
      <c r="A46" t="s">
        <v>43</v>
      </c>
      <c r="B46" t="str">
        <f t="shared" si="0"/>
        <v>LYHSB</v>
      </c>
      <c r="C46">
        <v>111087</v>
      </c>
      <c r="D46" t="s">
        <v>1259</v>
      </c>
      <c r="E46">
        <v>1226</v>
      </c>
      <c r="F46" t="s">
        <v>23</v>
      </c>
      <c r="G46" t="str">
        <f t="shared" si="1"/>
        <v>Fairfield by Marriott Inn &amp; Suites South Boston</v>
      </c>
      <c r="H46" s="18">
        <v>46161</v>
      </c>
      <c r="O46" s="32" t="s">
        <v>1381</v>
      </c>
      <c r="P46" s="32" t="s">
        <v>1382</v>
      </c>
      <c r="Q46" s="32" t="s">
        <v>1381</v>
      </c>
    </row>
    <row r="47" spans="1:17">
      <c r="A47" t="s">
        <v>43</v>
      </c>
      <c r="B47" t="str">
        <f t="shared" si="0"/>
        <v>EWRSD</v>
      </c>
      <c r="C47">
        <v>111089</v>
      </c>
      <c r="D47" t="s">
        <v>1261</v>
      </c>
      <c r="E47">
        <v>1227</v>
      </c>
      <c r="F47" t="s">
        <v>23</v>
      </c>
      <c r="G47" t="str">
        <f t="shared" si="1"/>
        <v>SpringHill Suites by Marriott Woodbridge</v>
      </c>
      <c r="H47" s="18">
        <v>46161</v>
      </c>
      <c r="O47" s="32" t="s">
        <v>1421</v>
      </c>
      <c r="P47" s="32" t="s">
        <v>1422</v>
      </c>
      <c r="Q47" s="32" t="s">
        <v>1421</v>
      </c>
    </row>
    <row r="48" spans="1:17">
      <c r="A48" t="s">
        <v>43</v>
      </c>
      <c r="B48" t="str">
        <f t="shared" si="0"/>
        <v>MIADO</v>
      </c>
      <c r="C48">
        <v>111091</v>
      </c>
      <c r="D48" t="s">
        <v>1263</v>
      </c>
      <c r="E48">
        <v>1229</v>
      </c>
      <c r="F48" t="s">
        <v>23</v>
      </c>
      <c r="G48" t="str">
        <f t="shared" si="1"/>
        <v>Fairfield by Marriott Inn &amp; Suites Miami Airport West/Doral</v>
      </c>
      <c r="H48" s="18">
        <v>46161</v>
      </c>
      <c r="O48" s="32" t="s">
        <v>1515</v>
      </c>
      <c r="P48" s="32" t="s">
        <v>1516</v>
      </c>
      <c r="Q48" s="32" t="s">
        <v>1515</v>
      </c>
    </row>
    <row r="49" spans="1:17">
      <c r="A49" t="s">
        <v>43</v>
      </c>
      <c r="B49" t="str">
        <f t="shared" si="0"/>
        <v>EWRFM</v>
      </c>
      <c r="C49">
        <v>111093</v>
      </c>
      <c r="D49" t="s">
        <v>1265</v>
      </c>
      <c r="E49">
        <v>1230</v>
      </c>
      <c r="F49" t="s">
        <v>23</v>
      </c>
      <c r="G49" t="str">
        <f t="shared" si="1"/>
        <v>Fairfield by Marriott Inn &amp; Suites Mahwah</v>
      </c>
      <c r="H49" s="18">
        <v>46161</v>
      </c>
      <c r="O49" s="32" t="s">
        <v>1431</v>
      </c>
      <c r="P49" s="32" t="s">
        <v>1432</v>
      </c>
      <c r="Q49" s="32" t="s">
        <v>1431</v>
      </c>
    </row>
    <row r="50" spans="1:17">
      <c r="A50" t="s">
        <v>43</v>
      </c>
      <c r="B50" t="str">
        <f t="shared" si="0"/>
        <v>NYCFM</v>
      </c>
      <c r="C50">
        <v>111095</v>
      </c>
      <c r="D50" t="s">
        <v>1267</v>
      </c>
      <c r="E50">
        <v>1231</v>
      </c>
      <c r="F50" t="s">
        <v>23</v>
      </c>
      <c r="G50" t="str">
        <f t="shared" si="1"/>
        <v>Fairfield by Marriott Inn &amp; Suites New York Manhattan/Downtown East</v>
      </c>
      <c r="H50" s="18">
        <v>46161</v>
      </c>
      <c r="O50" s="32" t="s">
        <v>1521</v>
      </c>
      <c r="P50" s="32" t="s">
        <v>1522</v>
      </c>
      <c r="Q50" s="32" t="s">
        <v>1521</v>
      </c>
    </row>
    <row r="51" spans="1:17">
      <c r="A51" t="s">
        <v>43</v>
      </c>
      <c r="B51" t="str">
        <f t="shared" si="0"/>
        <v>YYZMD</v>
      </c>
      <c r="C51">
        <v>111097</v>
      </c>
      <c r="D51" t="s">
        <v>1269</v>
      </c>
      <c r="E51">
        <v>1232</v>
      </c>
      <c r="F51" t="s">
        <v>23</v>
      </c>
      <c r="G51" t="str">
        <f t="shared" si="1"/>
        <v>Courtyard by Marriott Toronto Mississauga/West</v>
      </c>
      <c r="H51" s="18">
        <v>46161</v>
      </c>
      <c r="O51" s="32" t="s">
        <v>1511</v>
      </c>
      <c r="P51" s="32" t="s">
        <v>1512</v>
      </c>
      <c r="Q51" s="32" t="s">
        <v>1511</v>
      </c>
    </row>
    <row r="52" spans="1:17">
      <c r="A52" t="s">
        <v>43</v>
      </c>
      <c r="B52" t="str">
        <f t="shared" si="0"/>
        <v>NYCMA</v>
      </c>
      <c r="C52">
        <v>111099</v>
      </c>
      <c r="D52" t="s">
        <v>1271</v>
      </c>
      <c r="E52">
        <v>1233</v>
      </c>
      <c r="F52" t="s">
        <v>23</v>
      </c>
      <c r="G52" t="str">
        <f t="shared" si="1"/>
        <v>AC Hotel New York Times Square</v>
      </c>
      <c r="H52" s="18">
        <v>46161</v>
      </c>
      <c r="O52" s="32" t="s">
        <v>1509</v>
      </c>
      <c r="P52" s="32" t="s">
        <v>1510</v>
      </c>
      <c r="Q52" s="32" t="s">
        <v>1509</v>
      </c>
    </row>
    <row r="53" spans="1:17">
      <c r="A53" t="s">
        <v>43</v>
      </c>
      <c r="B53" t="str">
        <f t="shared" si="0"/>
        <v>NYCLM</v>
      </c>
      <c r="C53">
        <v>111101</v>
      </c>
      <c r="D53" t="s">
        <v>1273</v>
      </c>
      <c r="E53">
        <v>1234</v>
      </c>
      <c r="F53" t="s">
        <v>23</v>
      </c>
      <c r="G53" t="str">
        <f t="shared" si="1"/>
        <v>Fairfield by Marriott Inn &amp; Suites New York Manhattan/Financial District</v>
      </c>
      <c r="H53" s="18">
        <v>46161</v>
      </c>
      <c r="O53" s="32" t="s">
        <v>1533</v>
      </c>
      <c r="P53" s="32" t="s">
        <v>1534</v>
      </c>
      <c r="Q53" s="32" t="s">
        <v>1533</v>
      </c>
    </row>
    <row r="54" spans="1:17">
      <c r="A54" t="s">
        <v>43</v>
      </c>
      <c r="B54" t="str">
        <f t="shared" si="0"/>
        <v>MIAMS</v>
      </c>
      <c r="C54">
        <v>111103</v>
      </c>
      <c r="D54" t="s">
        <v>1275</v>
      </c>
      <c r="E54">
        <v>1235</v>
      </c>
      <c r="F54" t="s">
        <v>23</v>
      </c>
      <c r="G54" t="str">
        <f t="shared" si="1"/>
        <v>SpringHill Suites by Marriott Miami Doral</v>
      </c>
      <c r="H54" s="18">
        <v>46161</v>
      </c>
      <c r="O54" s="32" t="s">
        <v>1527</v>
      </c>
      <c r="P54" s="32" t="s">
        <v>1528</v>
      </c>
      <c r="Q54" s="32" t="s">
        <v>1527</v>
      </c>
    </row>
    <row r="55" spans="1:17">
      <c r="A55" t="s">
        <v>43</v>
      </c>
      <c r="B55" t="str">
        <f t="shared" si="0"/>
        <v>PBIWI</v>
      </c>
      <c r="C55">
        <v>111105</v>
      </c>
      <c r="D55" t="s">
        <v>1277</v>
      </c>
      <c r="E55">
        <v>1236</v>
      </c>
      <c r="F55" t="s">
        <v>23</v>
      </c>
      <c r="G55" t="str">
        <f t="shared" si="1"/>
        <v>SpringHill Suites by Marriott West Palm Beach I-95</v>
      </c>
      <c r="H55" s="18">
        <v>46161</v>
      </c>
      <c r="O55" s="32" t="s">
        <v>1477</v>
      </c>
      <c r="P55" s="32" t="s">
        <v>1478</v>
      </c>
      <c r="Q55" s="32" t="s">
        <v>1477</v>
      </c>
    </row>
    <row r="56" spans="1:17">
      <c r="A56" t="s">
        <v>43</v>
      </c>
      <c r="B56" t="str">
        <f t="shared" si="0"/>
        <v>NYCOM</v>
      </c>
      <c r="C56">
        <v>111107</v>
      </c>
      <c r="D56" t="s">
        <v>1279</v>
      </c>
      <c r="E56">
        <v>1237</v>
      </c>
      <c r="F56" t="s">
        <v>23</v>
      </c>
      <c r="G56" t="str">
        <f t="shared" si="1"/>
        <v>Moxy NYC Lower East Side</v>
      </c>
      <c r="H56" s="18">
        <v>46161</v>
      </c>
      <c r="O56" s="32" t="s">
        <v>1437</v>
      </c>
      <c r="P56" s="32" t="s">
        <v>1438</v>
      </c>
      <c r="Q56" s="32" t="s">
        <v>1437</v>
      </c>
    </row>
    <row r="57" spans="1:17">
      <c r="A57" t="s">
        <v>43</v>
      </c>
      <c r="B57" t="str">
        <f t="shared" si="0"/>
        <v>MIAPT</v>
      </c>
      <c r="C57">
        <v>111109</v>
      </c>
      <c r="D57" t="s">
        <v>1281</v>
      </c>
      <c r="E57">
        <v>1238</v>
      </c>
      <c r="F57" t="s">
        <v>23</v>
      </c>
      <c r="G57" t="str">
        <f t="shared" si="1"/>
        <v>Fairfield by Marriott Inn &amp; Suites Miami Airport South</v>
      </c>
      <c r="H57" s="18">
        <v>46161</v>
      </c>
      <c r="O57" s="32" t="s">
        <v>1501</v>
      </c>
      <c r="P57" s="32" t="s">
        <v>1502</v>
      </c>
      <c r="Q57" s="32" t="s">
        <v>1501</v>
      </c>
    </row>
    <row r="58" spans="1:17">
      <c r="A58" t="s">
        <v>43</v>
      </c>
      <c r="B58" t="str">
        <f t="shared" si="0"/>
        <v>PHLGF</v>
      </c>
      <c r="C58">
        <v>111111</v>
      </c>
      <c r="D58" t="s">
        <v>1283</v>
      </c>
      <c r="E58">
        <v>1239</v>
      </c>
      <c r="F58" t="s">
        <v>23</v>
      </c>
      <c r="G58" t="str">
        <f t="shared" si="1"/>
        <v>Courtyard by Marriott Philadelphia Springfield</v>
      </c>
      <c r="H58" s="18">
        <v>46161</v>
      </c>
      <c r="O58" s="32" t="s">
        <v>1519</v>
      </c>
      <c r="P58" s="32" t="s">
        <v>1520</v>
      </c>
      <c r="Q58" s="32" t="s">
        <v>1519</v>
      </c>
    </row>
    <row r="59" spans="1:17">
      <c r="A59" t="s">
        <v>43</v>
      </c>
      <c r="B59" t="str">
        <f t="shared" si="0"/>
        <v>PBICY</v>
      </c>
      <c r="C59">
        <v>111113</v>
      </c>
      <c r="D59" t="s">
        <v>1285</v>
      </c>
      <c r="E59">
        <v>1240</v>
      </c>
      <c r="F59" t="s">
        <v>23</v>
      </c>
      <c r="G59" t="str">
        <f t="shared" si="1"/>
        <v>Courtyard by Marriott West Palm Beach Airport</v>
      </c>
      <c r="H59" s="18">
        <v>46161</v>
      </c>
      <c r="O59" s="32" t="s">
        <v>1427</v>
      </c>
      <c r="P59" s="32" t="s">
        <v>1428</v>
      </c>
      <c r="Q59" s="32" t="s">
        <v>1427</v>
      </c>
    </row>
    <row r="60" spans="1:17">
      <c r="A60" t="s">
        <v>43</v>
      </c>
      <c r="B60" t="str">
        <f t="shared" si="0"/>
        <v>BOSYW</v>
      </c>
      <c r="C60">
        <v>111115</v>
      </c>
      <c r="D60" t="s">
        <v>1287</v>
      </c>
      <c r="E60">
        <v>1241</v>
      </c>
      <c r="F60" t="s">
        <v>23</v>
      </c>
      <c r="G60" t="str">
        <f t="shared" si="1"/>
        <v>Courtyard by Marriott Boston Dedham/Westwood</v>
      </c>
      <c r="H60" s="18">
        <v>46161</v>
      </c>
      <c r="O60" s="32" t="s">
        <v>1393</v>
      </c>
      <c r="P60" s="32" t="s">
        <v>1394</v>
      </c>
      <c r="Q60" s="32" t="s">
        <v>1393</v>
      </c>
    </row>
    <row r="61" spans="1:17">
      <c r="A61" t="s">
        <v>43</v>
      </c>
      <c r="B61" t="str">
        <f t="shared" si="0"/>
        <v>NYCJJ</v>
      </c>
      <c r="C61">
        <v>111117</v>
      </c>
      <c r="D61" t="s">
        <v>1289</v>
      </c>
      <c r="E61">
        <v>1242</v>
      </c>
      <c r="F61" t="s">
        <v>23</v>
      </c>
      <c r="G61" t="str">
        <f t="shared" si="1"/>
        <v>Courtyard by Marriott New York Manhattan/Midtown West</v>
      </c>
      <c r="H61" s="18">
        <v>46161</v>
      </c>
      <c r="O61" s="32" t="s">
        <v>1573</v>
      </c>
      <c r="P61" s="32" t="s">
        <v>1574</v>
      </c>
      <c r="Q61" s="32" t="s">
        <v>1573</v>
      </c>
    </row>
    <row r="62" spans="1:17">
      <c r="A62" t="s">
        <v>43</v>
      </c>
      <c r="B62" t="str">
        <f t="shared" si="0"/>
        <v>YYZTM</v>
      </c>
      <c r="C62">
        <v>111119</v>
      </c>
      <c r="D62" t="s">
        <v>1291</v>
      </c>
      <c r="E62">
        <v>1243</v>
      </c>
      <c r="F62" t="s">
        <v>23</v>
      </c>
      <c r="G62" t="str">
        <f t="shared" si="1"/>
        <v>Fairfield by Marriott Inn &amp; Suites Toronto Mississauga</v>
      </c>
      <c r="H62" s="18">
        <v>46161</v>
      </c>
      <c r="O62" s="32" t="s">
        <v>1543</v>
      </c>
      <c r="P62" s="32" t="s">
        <v>1544</v>
      </c>
      <c r="Q62" s="32" t="s">
        <v>1543</v>
      </c>
    </row>
    <row r="63" spans="1:17">
      <c r="A63" t="s">
        <v>43</v>
      </c>
      <c r="B63" t="str">
        <f t="shared" si="0"/>
        <v>EWRWN</v>
      </c>
      <c r="C63">
        <v>111121</v>
      </c>
      <c r="D63" t="s">
        <v>1293</v>
      </c>
      <c r="E63">
        <v>1244</v>
      </c>
      <c r="F63" t="s">
        <v>23</v>
      </c>
      <c r="G63" t="str">
        <f t="shared" si="1"/>
        <v>Courtyard by Marriott Wayne Fairfield</v>
      </c>
      <c r="H63" s="18">
        <v>46161</v>
      </c>
      <c r="O63" s="32" t="s">
        <v>1217</v>
      </c>
      <c r="P63" s="32" t="s">
        <v>1218</v>
      </c>
      <c r="Q63" s="32" t="s">
        <v>1217</v>
      </c>
    </row>
    <row r="64" spans="1:17">
      <c r="A64" t="s">
        <v>43</v>
      </c>
      <c r="B64" t="str">
        <f t="shared" si="0"/>
        <v>BOSPY</v>
      </c>
      <c r="C64">
        <v>111123</v>
      </c>
      <c r="D64" t="s">
        <v>1295</v>
      </c>
      <c r="E64">
        <v>1245</v>
      </c>
      <c r="F64" t="s">
        <v>23</v>
      </c>
      <c r="G64" t="str">
        <f t="shared" si="1"/>
        <v>SpringHill Suites by Marriott Boston Peabody</v>
      </c>
      <c r="H64" s="18">
        <v>46161</v>
      </c>
      <c r="O64" s="32" t="s">
        <v>1265</v>
      </c>
      <c r="P64" s="32" t="s">
        <v>1266</v>
      </c>
      <c r="Q64" s="32" t="s">
        <v>1265</v>
      </c>
    </row>
    <row r="65" spans="1:17">
      <c r="A65" t="s">
        <v>43</v>
      </c>
      <c r="B65" t="str">
        <f t="shared" ref="B65:B128" si="2">_xlfn.XLOOKUP(D65,O:O,Q:Q,"Not Found")</f>
        <v>MCOAB</v>
      </c>
      <c r="C65">
        <v>111125</v>
      </c>
      <c r="D65" t="s">
        <v>1297</v>
      </c>
      <c r="E65">
        <v>1246</v>
      </c>
      <c r="F65" t="s">
        <v>23</v>
      </c>
      <c r="G65" t="str">
        <f t="shared" ref="G65:G128" si="3">_xlfn.XLOOKUP(D65,O:O,P:P,"Not Found")</f>
        <v>AC Hotel Orlando Lake Buena Vista</v>
      </c>
      <c r="H65" s="18">
        <v>46161</v>
      </c>
      <c r="O65" s="32" t="s">
        <v>1195</v>
      </c>
      <c r="P65" s="32" t="s">
        <v>1196</v>
      </c>
      <c r="Q65" s="32" t="s">
        <v>1195</v>
      </c>
    </row>
    <row r="66" spans="1:17">
      <c r="A66" t="s">
        <v>43</v>
      </c>
      <c r="B66" t="str">
        <f t="shared" si="2"/>
        <v>SOSCY</v>
      </c>
      <c r="C66">
        <v>111127</v>
      </c>
      <c r="D66" t="s">
        <v>1299</v>
      </c>
      <c r="E66">
        <v>1247</v>
      </c>
      <c r="F66" t="s">
        <v>23</v>
      </c>
      <c r="G66" t="str">
        <f t="shared" si="3"/>
        <v>Courtyard by Marriott Somerset</v>
      </c>
      <c r="H66" s="18">
        <v>46161</v>
      </c>
      <c r="O66" s="32" t="s">
        <v>1205</v>
      </c>
      <c r="P66" s="32" t="s">
        <v>1206</v>
      </c>
      <c r="Q66" s="32" t="s">
        <v>1205</v>
      </c>
    </row>
    <row r="67" spans="1:17">
      <c r="A67" t="s">
        <v>43</v>
      </c>
      <c r="B67" t="str">
        <f t="shared" si="2"/>
        <v>EWRNB</v>
      </c>
      <c r="C67">
        <v>111129</v>
      </c>
      <c r="D67" t="s">
        <v>1301</v>
      </c>
      <c r="E67">
        <v>1248</v>
      </c>
      <c r="F67" t="s">
        <v>23</v>
      </c>
      <c r="G67" t="str">
        <f t="shared" si="3"/>
        <v>Fairfield by Marriott Inn &amp; Suites North Bergen</v>
      </c>
      <c r="H67" s="18">
        <v>46161</v>
      </c>
      <c r="O67" s="32" t="s">
        <v>1251</v>
      </c>
      <c r="P67" s="32" t="s">
        <v>1252</v>
      </c>
      <c r="Q67" s="32" t="s">
        <v>1251</v>
      </c>
    </row>
    <row r="68" spans="1:17">
      <c r="A68" t="s">
        <v>43</v>
      </c>
      <c r="B68" t="str">
        <f t="shared" si="2"/>
        <v>PITAC</v>
      </c>
      <c r="C68">
        <v>111131</v>
      </c>
      <c r="D68" t="s">
        <v>1303</v>
      </c>
      <c r="E68">
        <v>1249</v>
      </c>
      <c r="F68" t="s">
        <v>23</v>
      </c>
      <c r="G68" t="str">
        <f t="shared" si="3"/>
        <v>AC Hotel Pittsburgh Southpointe</v>
      </c>
      <c r="H68" s="18">
        <v>46161</v>
      </c>
      <c r="O68" s="32" t="s">
        <v>1301</v>
      </c>
      <c r="P68" s="32" t="s">
        <v>1302</v>
      </c>
      <c r="Q68" s="32" t="s">
        <v>1301</v>
      </c>
    </row>
    <row r="69" spans="1:17">
      <c r="A69" t="s">
        <v>43</v>
      </c>
      <c r="B69" t="str">
        <f t="shared" si="2"/>
        <v>SAVFH</v>
      </c>
      <c r="C69">
        <v>111133</v>
      </c>
      <c r="D69" t="s">
        <v>1305</v>
      </c>
      <c r="E69">
        <v>1250</v>
      </c>
      <c r="F69" t="s">
        <v>23</v>
      </c>
      <c r="G69" t="str">
        <f t="shared" si="3"/>
        <v>Fairfield by Marriott Inn &amp; Suites Hardeeville I-95 North</v>
      </c>
      <c r="H69" s="18">
        <v>46161</v>
      </c>
      <c r="O69" s="32" t="s">
        <v>1181</v>
      </c>
      <c r="P69" s="32" t="s">
        <v>1182</v>
      </c>
      <c r="Q69" s="32" t="s">
        <v>1181</v>
      </c>
    </row>
    <row r="70" spans="1:17">
      <c r="A70" t="s">
        <v>43</v>
      </c>
      <c r="B70" t="str">
        <f t="shared" si="2"/>
        <v>PHLPT</v>
      </c>
      <c r="C70">
        <v>111135</v>
      </c>
      <c r="D70" t="s">
        <v>1307</v>
      </c>
      <c r="E70">
        <v>1251</v>
      </c>
      <c r="F70" t="s">
        <v>23</v>
      </c>
      <c r="G70" t="str">
        <f t="shared" si="3"/>
        <v>Courtyard by Marriott Deptford</v>
      </c>
      <c r="H70" s="18">
        <v>46161</v>
      </c>
      <c r="O70" s="32" t="s">
        <v>1261</v>
      </c>
      <c r="P70" s="32" t="s">
        <v>1262</v>
      </c>
      <c r="Q70" s="32" t="s">
        <v>1261</v>
      </c>
    </row>
    <row r="71" spans="1:17">
      <c r="A71" t="s">
        <v>43</v>
      </c>
      <c r="B71" t="str">
        <f t="shared" si="2"/>
        <v>NYCPS</v>
      </c>
      <c r="C71">
        <v>111137</v>
      </c>
      <c r="D71" t="s">
        <v>1309</v>
      </c>
      <c r="E71">
        <v>1252</v>
      </c>
      <c r="F71" t="s">
        <v>23</v>
      </c>
      <c r="G71" t="str">
        <f t="shared" si="3"/>
        <v>Fairfield by Marriott Inn &amp; Suites New York Midtown Manhattan/Penn Station</v>
      </c>
      <c r="H71" s="18">
        <v>46161</v>
      </c>
      <c r="O71" s="32" t="s">
        <v>1203</v>
      </c>
      <c r="P71" s="32" t="s">
        <v>1204</v>
      </c>
      <c r="Q71" s="32" t="s">
        <v>1203</v>
      </c>
    </row>
    <row r="72" spans="1:17">
      <c r="A72" t="s">
        <v>43</v>
      </c>
      <c r="B72" t="str">
        <f t="shared" si="2"/>
        <v>PHLSX</v>
      </c>
      <c r="C72">
        <v>111139</v>
      </c>
      <c r="D72" t="s">
        <v>1311</v>
      </c>
      <c r="E72">
        <v>1253</v>
      </c>
      <c r="F72" t="s">
        <v>23</v>
      </c>
      <c r="G72" t="str">
        <f t="shared" si="3"/>
        <v>SpringHill Suites by Marriott Philadelphia West Chester/Exton</v>
      </c>
      <c r="H72" s="18">
        <v>46161</v>
      </c>
      <c r="O72" s="32" t="s">
        <v>1207</v>
      </c>
      <c r="P72" s="32" t="s">
        <v>1208</v>
      </c>
      <c r="Q72" s="32" t="s">
        <v>1207</v>
      </c>
    </row>
    <row r="73" spans="1:17">
      <c r="A73" t="s">
        <v>43</v>
      </c>
      <c r="B73" t="str">
        <f t="shared" si="2"/>
        <v>PHLAV</v>
      </c>
      <c r="C73">
        <v>111141</v>
      </c>
      <c r="D73" t="s">
        <v>1313</v>
      </c>
      <c r="E73">
        <v>1254</v>
      </c>
      <c r="F73" t="s">
        <v>23</v>
      </c>
      <c r="G73" t="str">
        <f t="shared" si="3"/>
        <v>Courtyard by Marriott Philadelphia City Avenue</v>
      </c>
      <c r="H73" s="18">
        <v>46161</v>
      </c>
      <c r="O73" s="32" t="s">
        <v>1183</v>
      </c>
      <c r="P73" s="32" t="s">
        <v>1184</v>
      </c>
      <c r="Q73" s="32" t="s">
        <v>1183</v>
      </c>
    </row>
    <row r="74" spans="1:17">
      <c r="A74" t="s">
        <v>43</v>
      </c>
      <c r="B74" t="str">
        <f t="shared" si="2"/>
        <v>ATLSG</v>
      </c>
      <c r="C74">
        <v>111143</v>
      </c>
      <c r="D74" t="s">
        <v>1315</v>
      </c>
      <c r="E74">
        <v>1255</v>
      </c>
      <c r="F74" t="s">
        <v>23</v>
      </c>
      <c r="G74" t="str">
        <f t="shared" si="3"/>
        <v>SpringHill Suites by Marriott Atlanta Northwest</v>
      </c>
      <c r="H74" s="18">
        <v>46161</v>
      </c>
      <c r="O74" s="32" t="s">
        <v>1293</v>
      </c>
      <c r="P74" s="32" t="s">
        <v>1294</v>
      </c>
      <c r="Q74" s="32" t="s">
        <v>1293</v>
      </c>
    </row>
    <row r="75" spans="1:17">
      <c r="A75" t="s">
        <v>43</v>
      </c>
      <c r="B75" t="str">
        <f t="shared" si="2"/>
        <v>PBIFP</v>
      </c>
      <c r="C75">
        <v>111145</v>
      </c>
      <c r="D75" t="s">
        <v>1317</v>
      </c>
      <c r="E75">
        <v>1256</v>
      </c>
      <c r="F75" t="s">
        <v>23</v>
      </c>
      <c r="G75" t="str">
        <f t="shared" si="3"/>
        <v>Fairfield by Marriott Inn &amp; Suites West Palm Beach</v>
      </c>
      <c r="H75" s="18">
        <v>46161</v>
      </c>
      <c r="O75" s="32" t="s">
        <v>1581</v>
      </c>
      <c r="P75" s="32" t="s">
        <v>1582</v>
      </c>
      <c r="Q75" s="32" t="s">
        <v>1581</v>
      </c>
    </row>
    <row r="76" spans="1:17">
      <c r="A76" t="s">
        <v>43</v>
      </c>
      <c r="B76" t="str">
        <f t="shared" si="2"/>
        <v>NYCWF</v>
      </c>
      <c r="C76">
        <v>111147</v>
      </c>
      <c r="D76" t="s">
        <v>1319</v>
      </c>
      <c r="E76">
        <v>1257</v>
      </c>
      <c r="F76" t="s">
        <v>23</v>
      </c>
      <c r="G76" t="str">
        <f t="shared" si="3"/>
        <v>SpringHill Suites by Marriott New York Manhattan Times Square</v>
      </c>
      <c r="H76" s="18">
        <v>46161</v>
      </c>
      <c r="O76" s="32" t="s">
        <v>1627</v>
      </c>
      <c r="P76" s="32" t="s">
        <v>1628</v>
      </c>
      <c r="Q76" s="32" t="s">
        <v>1627</v>
      </c>
    </row>
    <row r="77" spans="1:17">
      <c r="A77" t="s">
        <v>43</v>
      </c>
      <c r="B77" t="str">
        <f t="shared" si="2"/>
        <v>MIAON</v>
      </c>
      <c r="C77">
        <v>111149</v>
      </c>
      <c r="D77" t="s">
        <v>1321</v>
      </c>
      <c r="E77">
        <v>1258</v>
      </c>
      <c r="F77" t="s">
        <v>23</v>
      </c>
      <c r="G77" t="str">
        <f t="shared" si="3"/>
        <v>Moxy Miami Wynwood</v>
      </c>
      <c r="H77" s="18">
        <v>46161</v>
      </c>
      <c r="O77" s="32" t="s">
        <v>1387</v>
      </c>
      <c r="P77" s="32" t="s">
        <v>1388</v>
      </c>
      <c r="Q77" s="32" t="s">
        <v>1387</v>
      </c>
    </row>
    <row r="78" spans="1:17">
      <c r="A78" t="s">
        <v>43</v>
      </c>
      <c r="B78" t="str">
        <f t="shared" si="2"/>
        <v>BOSFW</v>
      </c>
      <c r="C78">
        <v>111151</v>
      </c>
      <c r="D78" t="s">
        <v>1323</v>
      </c>
      <c r="E78">
        <v>1259</v>
      </c>
      <c r="F78" t="s">
        <v>23</v>
      </c>
      <c r="G78" t="str">
        <f t="shared" si="3"/>
        <v>Fairfield Inn Boston Woburn/Burlington</v>
      </c>
      <c r="H78" s="18">
        <v>46161</v>
      </c>
      <c r="O78" s="32" t="s">
        <v>1461</v>
      </c>
      <c r="P78" s="32" t="s">
        <v>1462</v>
      </c>
      <c r="Q78" s="32" t="s">
        <v>1461</v>
      </c>
    </row>
    <row r="79" spans="1:17">
      <c r="A79" t="s">
        <v>43</v>
      </c>
      <c r="B79" t="str">
        <f t="shared" si="2"/>
        <v>MIALG</v>
      </c>
      <c r="C79">
        <v>111153</v>
      </c>
      <c r="D79" t="s">
        <v>1325</v>
      </c>
      <c r="E79">
        <v>1260</v>
      </c>
      <c r="F79" t="s">
        <v>23</v>
      </c>
      <c r="G79" t="str">
        <f t="shared" si="3"/>
        <v>SpringHill Suites by Marriott Miami Airport South Blue Lagoon Area</v>
      </c>
      <c r="H79" s="18">
        <v>46161</v>
      </c>
      <c r="O79" s="32" t="s">
        <v>1413</v>
      </c>
      <c r="P79" s="32" t="s">
        <v>1414</v>
      </c>
      <c r="Q79" s="32" t="s">
        <v>1413</v>
      </c>
    </row>
    <row r="80" spans="1:17">
      <c r="A80" t="s">
        <v>43</v>
      </c>
      <c r="B80" t="str">
        <f t="shared" si="2"/>
        <v>ATLSD</v>
      </c>
      <c r="C80">
        <v>111155</v>
      </c>
      <c r="D80" t="s">
        <v>1327</v>
      </c>
      <c r="E80">
        <v>1261</v>
      </c>
      <c r="F80" t="s">
        <v>23</v>
      </c>
      <c r="G80" t="str">
        <f t="shared" si="3"/>
        <v>SpringHill Suites by Marriott Atlanta Downtown</v>
      </c>
      <c r="H80" s="18">
        <v>46161</v>
      </c>
      <c r="O80" s="32" t="s">
        <v>1395</v>
      </c>
      <c r="P80" s="32" t="s">
        <v>1396</v>
      </c>
      <c r="Q80" s="32" t="s">
        <v>1395</v>
      </c>
    </row>
    <row r="81" spans="1:17">
      <c r="A81" t="s">
        <v>43</v>
      </c>
      <c r="B81" t="str">
        <f t="shared" si="2"/>
        <v>HPNTR</v>
      </c>
      <c r="C81">
        <v>111157</v>
      </c>
      <c r="D81" t="s">
        <v>1329</v>
      </c>
      <c r="E81">
        <v>1262</v>
      </c>
      <c r="F81" t="s">
        <v>23</v>
      </c>
      <c r="G81" t="str">
        <f t="shared" si="3"/>
        <v>SpringHill Suites by Marriott Tarrytown Westchester County</v>
      </c>
      <c r="H81" s="18">
        <v>46161</v>
      </c>
      <c r="O81" s="32" t="s">
        <v>1455</v>
      </c>
      <c r="P81" s="32" t="s">
        <v>1456</v>
      </c>
      <c r="Q81" s="32" t="s">
        <v>1455</v>
      </c>
    </row>
    <row r="82" spans="1:17">
      <c r="A82" t="s">
        <v>43</v>
      </c>
      <c r="B82" t="str">
        <f t="shared" si="2"/>
        <v>BOSLA</v>
      </c>
      <c r="C82">
        <v>111159</v>
      </c>
      <c r="D82" t="s">
        <v>1331</v>
      </c>
      <c r="E82">
        <v>1263</v>
      </c>
      <c r="F82" t="s">
        <v>23</v>
      </c>
      <c r="G82" t="str">
        <f t="shared" si="3"/>
        <v>Courtyard by Marriott Boston Logan Airport</v>
      </c>
      <c r="H82" s="18">
        <v>46161</v>
      </c>
      <c r="O82" s="32" t="s">
        <v>1425</v>
      </c>
      <c r="P82" s="32" t="s">
        <v>1426</v>
      </c>
      <c r="Q82" s="32" t="s">
        <v>1425</v>
      </c>
    </row>
    <row r="83" spans="1:17">
      <c r="A83" t="s">
        <v>43</v>
      </c>
      <c r="B83" t="str">
        <f t="shared" si="2"/>
        <v>PHLSM</v>
      </c>
      <c r="C83">
        <v>111161</v>
      </c>
      <c r="D83" t="s">
        <v>1333</v>
      </c>
      <c r="E83">
        <v>1264</v>
      </c>
      <c r="F83" t="s">
        <v>23</v>
      </c>
      <c r="G83" t="str">
        <f t="shared" si="3"/>
        <v>SpringHill Suites by Marriott Mt. Laurel Cherry Hill</v>
      </c>
      <c r="H83" s="18">
        <v>46161</v>
      </c>
      <c r="O83" s="32" t="s">
        <v>1423</v>
      </c>
      <c r="P83" s="32" t="s">
        <v>1424</v>
      </c>
      <c r="Q83" s="32" t="s">
        <v>1423</v>
      </c>
    </row>
    <row r="84" spans="1:17">
      <c r="A84" t="s">
        <v>43</v>
      </c>
      <c r="B84" t="str">
        <f t="shared" si="2"/>
        <v>ILGSS</v>
      </c>
      <c r="C84">
        <v>111163</v>
      </c>
      <c r="D84" t="s">
        <v>1335</v>
      </c>
      <c r="E84">
        <v>1265</v>
      </c>
      <c r="F84" t="s">
        <v>23</v>
      </c>
      <c r="G84" t="str">
        <f t="shared" si="3"/>
        <v>SpringHill Suites by Marriott Newark Downtown</v>
      </c>
      <c r="H84" s="18">
        <v>46161</v>
      </c>
      <c r="O84" s="32" t="s">
        <v>1361</v>
      </c>
      <c r="P84" s="32" t="s">
        <v>1362</v>
      </c>
      <c r="Q84" s="32" t="s">
        <v>1361</v>
      </c>
    </row>
    <row r="85" spans="1:17">
      <c r="A85" t="s">
        <v>43</v>
      </c>
      <c r="B85" t="str">
        <f t="shared" si="2"/>
        <v>MIAHS</v>
      </c>
      <c r="C85">
        <v>111165</v>
      </c>
      <c r="D85" t="s">
        <v>1337</v>
      </c>
      <c r="E85">
        <v>1266</v>
      </c>
      <c r="F85" t="s">
        <v>23</v>
      </c>
      <c r="G85" t="str">
        <f t="shared" si="3"/>
        <v>Courtyard by Marriott Miami Homestead</v>
      </c>
      <c r="H85" s="18">
        <v>46161</v>
      </c>
      <c r="O85" s="32" t="s">
        <v>1535</v>
      </c>
      <c r="P85" s="32" t="s">
        <v>1536</v>
      </c>
      <c r="Q85" s="32" t="s">
        <v>1535</v>
      </c>
    </row>
    <row r="86" spans="1:17">
      <c r="A86" t="s">
        <v>43</v>
      </c>
      <c r="B86" t="str">
        <f t="shared" si="2"/>
        <v>UOXBV</v>
      </c>
      <c r="C86">
        <v>111167</v>
      </c>
      <c r="D86" t="s">
        <v>1339</v>
      </c>
      <c r="E86">
        <v>1293</v>
      </c>
      <c r="F86" t="s">
        <v>23</v>
      </c>
      <c r="G86" t="str">
        <f t="shared" si="3"/>
        <v>Fairfield by Marriott Inn &amp; Suites Batesville</v>
      </c>
      <c r="H86" s="18">
        <v>46161</v>
      </c>
      <c r="O86" s="32" t="s">
        <v>1383</v>
      </c>
      <c r="P86" s="32" t="s">
        <v>1384</v>
      </c>
      <c r="Q86" s="32" t="s">
        <v>1383</v>
      </c>
    </row>
    <row r="87" spans="1:17">
      <c r="A87" t="s">
        <v>43</v>
      </c>
      <c r="B87" t="str">
        <f t="shared" si="2"/>
        <v>MSNSH</v>
      </c>
      <c r="C87">
        <v>111169</v>
      </c>
      <c r="D87" t="s">
        <v>1341</v>
      </c>
      <c r="E87">
        <v>1298</v>
      </c>
      <c r="F87" t="s">
        <v>23</v>
      </c>
      <c r="G87" t="str">
        <f t="shared" si="3"/>
        <v>SpringHill Suites by Marriott Wisconsin Dells</v>
      </c>
      <c r="H87" s="18">
        <v>46161</v>
      </c>
      <c r="O87" s="32" t="s">
        <v>1485</v>
      </c>
      <c r="P87" s="32" t="s">
        <v>1486</v>
      </c>
      <c r="Q87" s="32" t="s">
        <v>1485</v>
      </c>
    </row>
    <row r="88" spans="1:17">
      <c r="A88" t="s">
        <v>43</v>
      </c>
      <c r="B88" t="str">
        <f t="shared" si="2"/>
        <v>MSPCD</v>
      </c>
      <c r="C88">
        <v>111171</v>
      </c>
      <c r="D88" t="s">
        <v>1343</v>
      </c>
      <c r="E88">
        <v>1322</v>
      </c>
      <c r="F88" t="s">
        <v>23</v>
      </c>
      <c r="G88" t="str">
        <f t="shared" si="3"/>
        <v>Courtyard by Marriott St. Paul Downtown</v>
      </c>
      <c r="H88" s="18">
        <v>46161</v>
      </c>
      <c r="O88" s="32" t="s">
        <v>1525</v>
      </c>
      <c r="P88" s="32" t="s">
        <v>1526</v>
      </c>
      <c r="Q88" s="32" t="s">
        <v>1525</v>
      </c>
    </row>
    <row r="89" spans="1:17">
      <c r="A89" t="s">
        <v>43</v>
      </c>
      <c r="B89" t="str">
        <f t="shared" si="2"/>
        <v>SUXCY</v>
      </c>
      <c r="C89">
        <v>111173</v>
      </c>
      <c r="D89" t="s">
        <v>1345</v>
      </c>
      <c r="E89">
        <v>1341</v>
      </c>
      <c r="F89" t="s">
        <v>23</v>
      </c>
      <c r="G89" t="str">
        <f t="shared" si="3"/>
        <v>Courtyard by Marriott Sioux City Downtown/Convention Center</v>
      </c>
      <c r="H89" s="18">
        <v>46161</v>
      </c>
      <c r="O89" s="32" t="s">
        <v>1467</v>
      </c>
      <c r="P89" s="32" t="s">
        <v>1468</v>
      </c>
      <c r="Q89" s="32" t="s">
        <v>1467</v>
      </c>
    </row>
    <row r="90" spans="1:17">
      <c r="A90" t="s">
        <v>43</v>
      </c>
      <c r="B90" t="str">
        <f t="shared" si="2"/>
        <v>MSPAP</v>
      </c>
      <c r="C90">
        <v>111175</v>
      </c>
      <c r="D90" t="s">
        <v>1347</v>
      </c>
      <c r="E90">
        <v>1342</v>
      </c>
      <c r="F90" t="s">
        <v>23</v>
      </c>
      <c r="G90" t="str">
        <f t="shared" si="3"/>
        <v>Fairfield by Marriott Inn &amp; Suites Minneapolis-St. Paul Airport</v>
      </c>
      <c r="H90" s="18">
        <v>46161</v>
      </c>
      <c r="O90" s="32" t="s">
        <v>1473</v>
      </c>
      <c r="P90" s="32" t="s">
        <v>1474</v>
      </c>
      <c r="Q90" s="32" t="s">
        <v>1473</v>
      </c>
    </row>
    <row r="91" spans="1:17">
      <c r="A91" t="s">
        <v>43</v>
      </c>
      <c r="B91" t="str">
        <f t="shared" si="2"/>
        <v>TUPFI</v>
      </c>
      <c r="C91">
        <v>111177</v>
      </c>
      <c r="D91" t="s">
        <v>1349</v>
      </c>
      <c r="E91">
        <v>1354</v>
      </c>
      <c r="F91" t="s">
        <v>23</v>
      </c>
      <c r="G91" t="str">
        <f t="shared" si="3"/>
        <v>Fairfield by Marriott Inn &amp; Suites Tupelo</v>
      </c>
      <c r="H91" s="18">
        <v>46161</v>
      </c>
      <c r="O91" s="32" t="s">
        <v>1447</v>
      </c>
      <c r="P91" s="32" t="s">
        <v>1448</v>
      </c>
      <c r="Q91" s="32" t="s">
        <v>1447</v>
      </c>
    </row>
    <row r="92" spans="1:17">
      <c r="A92" t="s">
        <v>43</v>
      </c>
      <c r="B92" t="str">
        <f t="shared" si="2"/>
        <v>MSPBL</v>
      </c>
      <c r="C92">
        <v>111179</v>
      </c>
      <c r="D92" t="s">
        <v>1351</v>
      </c>
      <c r="E92">
        <v>1359</v>
      </c>
      <c r="F92" t="s">
        <v>23</v>
      </c>
      <c r="G92" t="str">
        <f t="shared" si="3"/>
        <v>Fairfield by Marriott Inn &amp; Suites Minneapolis Bloomington/Mall of America</v>
      </c>
      <c r="H92" s="18">
        <v>46161</v>
      </c>
      <c r="O92" s="32" t="s">
        <v>1523</v>
      </c>
      <c r="P92" s="32" t="s">
        <v>1524</v>
      </c>
      <c r="Q92" s="32" t="s">
        <v>1523</v>
      </c>
    </row>
    <row r="93" spans="1:17">
      <c r="A93" t="s">
        <v>43</v>
      </c>
      <c r="B93" t="str">
        <f t="shared" si="2"/>
        <v>MSNWD</v>
      </c>
      <c r="C93">
        <v>111181</v>
      </c>
      <c r="D93" t="s">
        <v>1353</v>
      </c>
      <c r="E93">
        <v>1364</v>
      </c>
      <c r="F93" t="s">
        <v>23</v>
      </c>
      <c r="G93" t="str">
        <f t="shared" si="3"/>
        <v>Fairfield by Marriott Inn &amp; Suites Wisconsin Dells</v>
      </c>
      <c r="H93" s="18">
        <v>46161</v>
      </c>
      <c r="O93" s="32" t="s">
        <v>1503</v>
      </c>
      <c r="P93" s="32" t="s">
        <v>1504</v>
      </c>
      <c r="Q93" s="32" t="s">
        <v>1503</v>
      </c>
    </row>
    <row r="94" spans="1:17">
      <c r="A94" t="s">
        <v>43</v>
      </c>
      <c r="B94" t="str">
        <f t="shared" si="2"/>
        <v>PHLGB</v>
      </c>
      <c r="C94">
        <v>210001</v>
      </c>
      <c r="D94" t="s">
        <v>1355</v>
      </c>
      <c r="E94">
        <v>1189</v>
      </c>
      <c r="F94" t="s">
        <v>24</v>
      </c>
      <c r="G94" t="str">
        <f t="shared" si="3"/>
        <v>Courtyard by Marriott Glassboro Rowan University</v>
      </c>
      <c r="H94" s="18">
        <v>46161</v>
      </c>
      <c r="O94" s="32" t="s">
        <v>1479</v>
      </c>
      <c r="P94" s="32" t="s">
        <v>1480</v>
      </c>
      <c r="Q94" s="32" t="s">
        <v>1479</v>
      </c>
    </row>
    <row r="95" spans="1:17">
      <c r="A95" t="s">
        <v>43</v>
      </c>
      <c r="B95" t="str">
        <f t="shared" si="2"/>
        <v>TRXFI</v>
      </c>
      <c r="C95">
        <v>210003</v>
      </c>
      <c r="D95" t="s">
        <v>1357</v>
      </c>
      <c r="E95">
        <v>1267</v>
      </c>
      <c r="F95" t="s">
        <v>24</v>
      </c>
      <c r="G95" t="str">
        <f t="shared" si="3"/>
        <v>Fairfield by Marriott Inn &amp; Suites Chillicothe</v>
      </c>
      <c r="H95" s="18">
        <v>46161</v>
      </c>
      <c r="O95" s="32" t="s">
        <v>1415</v>
      </c>
      <c r="P95" s="32" t="s">
        <v>1416</v>
      </c>
      <c r="Q95" s="32" t="s">
        <v>1415</v>
      </c>
    </row>
    <row r="96" spans="1:17">
      <c r="A96" t="s">
        <v>43</v>
      </c>
      <c r="B96" t="str">
        <f t="shared" si="2"/>
        <v>TULCR</v>
      </c>
      <c r="C96">
        <v>210005</v>
      </c>
      <c r="D96" t="s">
        <v>1359</v>
      </c>
      <c r="E96">
        <v>1268</v>
      </c>
      <c r="F96" t="s">
        <v>24</v>
      </c>
      <c r="G96" t="str">
        <f t="shared" si="3"/>
        <v>Fairfield by Marriott Inn &amp; Suites Tulsa South Medical District</v>
      </c>
      <c r="H96" s="18">
        <v>46161</v>
      </c>
      <c r="O96" s="32" t="s">
        <v>1373</v>
      </c>
      <c r="P96" s="32" t="s">
        <v>1374</v>
      </c>
      <c r="Q96" s="32" t="s">
        <v>1373</v>
      </c>
    </row>
    <row r="97" spans="1:17">
      <c r="A97" t="s">
        <v>43</v>
      </c>
      <c r="B97" t="str">
        <f t="shared" si="2"/>
        <v>HOUFR</v>
      </c>
      <c r="C97">
        <v>210007</v>
      </c>
      <c r="D97" t="s">
        <v>1361</v>
      </c>
      <c r="E97">
        <v>1269</v>
      </c>
      <c r="F97" t="s">
        <v>24</v>
      </c>
      <c r="G97" t="str">
        <f t="shared" si="3"/>
        <v>Fairfield by Marriott Inn &amp; Suites Houston Richmond</v>
      </c>
      <c r="H97" s="18">
        <v>46161</v>
      </c>
      <c r="O97" s="32" t="s">
        <v>1177</v>
      </c>
      <c r="P97" s="32" t="s">
        <v>1178</v>
      </c>
      <c r="Q97" s="32" t="s">
        <v>1177</v>
      </c>
    </row>
    <row r="98" spans="1:17">
      <c r="A98" t="s">
        <v>43</v>
      </c>
      <c r="B98" t="str">
        <f t="shared" si="2"/>
        <v>SATSW</v>
      </c>
      <c r="C98">
        <v>210009</v>
      </c>
      <c r="D98" t="s">
        <v>1363</v>
      </c>
      <c r="E98">
        <v>1270</v>
      </c>
      <c r="F98" t="s">
        <v>24</v>
      </c>
      <c r="G98" t="str">
        <f t="shared" si="3"/>
        <v>Fairfield by Marriott Inn &amp; Suites San Antonio SeaWorld®/Westover Hills</v>
      </c>
      <c r="H98" s="18">
        <v>46161</v>
      </c>
      <c r="O98" s="32" t="s">
        <v>1329</v>
      </c>
      <c r="P98" s="32" t="s">
        <v>1330</v>
      </c>
      <c r="Q98" s="32" t="s">
        <v>1329</v>
      </c>
    </row>
    <row r="99" spans="1:17">
      <c r="A99" t="s">
        <v>43</v>
      </c>
      <c r="B99" t="str">
        <f t="shared" si="2"/>
        <v>DALFK</v>
      </c>
      <c r="C99">
        <v>210011</v>
      </c>
      <c r="D99" t="s">
        <v>1365</v>
      </c>
      <c r="E99">
        <v>1271</v>
      </c>
      <c r="F99" t="s">
        <v>24</v>
      </c>
      <c r="G99" t="str">
        <f t="shared" si="3"/>
        <v>Fairfield by Marriott Inn &amp; Suites Dallas McKinney</v>
      </c>
      <c r="H99" s="18">
        <v>46161</v>
      </c>
      <c r="O99" s="32" t="s">
        <v>1433</v>
      </c>
      <c r="P99" s="32" t="s">
        <v>1434</v>
      </c>
      <c r="Q99" s="32" t="s">
        <v>1433</v>
      </c>
    </row>
    <row r="100" spans="1:17">
      <c r="A100" t="s">
        <v>43</v>
      </c>
      <c r="B100" t="str">
        <f t="shared" si="2"/>
        <v>MWAFI</v>
      </c>
      <c r="C100">
        <v>210013</v>
      </c>
      <c r="D100" t="s">
        <v>1367</v>
      </c>
      <c r="E100">
        <v>1272</v>
      </c>
      <c r="F100" t="s">
        <v>24</v>
      </c>
      <c r="G100" t="str">
        <f t="shared" si="3"/>
        <v>Fairfield by Marriott Inn &amp; Suites Marion</v>
      </c>
      <c r="H100" s="18">
        <v>46161</v>
      </c>
      <c r="O100" s="32" t="s">
        <v>1335</v>
      </c>
      <c r="P100" s="32" t="s">
        <v>1336</v>
      </c>
      <c r="Q100" s="32" t="s">
        <v>1335</v>
      </c>
    </row>
    <row r="101" spans="1:17">
      <c r="A101" t="s">
        <v>43</v>
      </c>
      <c r="B101" t="str">
        <f t="shared" si="2"/>
        <v>VCTCY</v>
      </c>
      <c r="C101">
        <v>210015</v>
      </c>
      <c r="D101" t="s">
        <v>1369</v>
      </c>
      <c r="E101">
        <v>1273</v>
      </c>
      <c r="F101" t="s">
        <v>24</v>
      </c>
      <c r="G101" t="str">
        <f t="shared" si="3"/>
        <v>Courtyard by Marriott Victoria</v>
      </c>
      <c r="H101" s="18">
        <v>46161</v>
      </c>
      <c r="O101" s="32" t="s">
        <v>1223</v>
      </c>
      <c r="P101" s="32" t="s">
        <v>1224</v>
      </c>
      <c r="Q101" s="32" t="s">
        <v>1223</v>
      </c>
    </row>
    <row r="102" spans="1:17">
      <c r="A102" t="s">
        <v>43</v>
      </c>
      <c r="B102" t="str">
        <f t="shared" si="2"/>
        <v>SPISH</v>
      </c>
      <c r="C102">
        <v>210017</v>
      </c>
      <c r="D102" t="s">
        <v>1371</v>
      </c>
      <c r="E102">
        <v>1274</v>
      </c>
      <c r="F102" t="s">
        <v>24</v>
      </c>
      <c r="G102" t="str">
        <f t="shared" si="3"/>
        <v>SpringHill Suites by Marriott Springfield Southwest</v>
      </c>
      <c r="H102" s="18">
        <v>46161</v>
      </c>
      <c r="O102" s="32" t="s">
        <v>1599</v>
      </c>
      <c r="P102" s="32" t="s">
        <v>1600</v>
      </c>
      <c r="Q102" s="32" t="s">
        <v>1599</v>
      </c>
    </row>
    <row r="103" spans="1:17">
      <c r="A103" t="s">
        <v>43</v>
      </c>
      <c r="B103" t="str">
        <f t="shared" si="2"/>
        <v>HOUYP</v>
      </c>
      <c r="C103">
        <v>210019</v>
      </c>
      <c r="D103" t="s">
        <v>1373</v>
      </c>
      <c r="E103">
        <v>1275</v>
      </c>
      <c r="F103" t="s">
        <v>24</v>
      </c>
      <c r="G103" t="str">
        <f t="shared" si="3"/>
        <v>Courtyard by Marriott Houston Northwest/Cypress</v>
      </c>
      <c r="H103" s="18">
        <v>46161</v>
      </c>
      <c r="O103" s="32" t="s">
        <v>1673</v>
      </c>
      <c r="P103" s="32" t="s">
        <v>1674</v>
      </c>
      <c r="Q103" s="32" t="s">
        <v>1673</v>
      </c>
    </row>
    <row r="104" spans="1:17">
      <c r="A104" t="s">
        <v>43</v>
      </c>
      <c r="B104" t="str">
        <f t="shared" si="2"/>
        <v>OKCDC</v>
      </c>
      <c r="C104">
        <v>210021</v>
      </c>
      <c r="D104" t="s">
        <v>1375</v>
      </c>
      <c r="E104">
        <v>1276</v>
      </c>
      <c r="F104" t="s">
        <v>24</v>
      </c>
      <c r="G104" t="str">
        <f t="shared" si="3"/>
        <v>SpringHill Suites by Marriott Oklahoma City Midwest City/Del City</v>
      </c>
      <c r="H104" s="18">
        <v>46161</v>
      </c>
      <c r="O104" s="32" t="s">
        <v>1635</v>
      </c>
      <c r="P104" s="32" t="s">
        <v>1636</v>
      </c>
      <c r="Q104" s="32" t="s">
        <v>1635</v>
      </c>
    </row>
    <row r="105" spans="1:17">
      <c r="A105" t="s">
        <v>43</v>
      </c>
      <c r="B105" t="str">
        <f t="shared" si="2"/>
        <v>MCISO</v>
      </c>
      <c r="C105">
        <v>210023</v>
      </c>
      <c r="D105" t="s">
        <v>1377</v>
      </c>
      <c r="E105">
        <v>1277</v>
      </c>
      <c r="F105" t="s">
        <v>24</v>
      </c>
      <c r="G105" t="str">
        <f t="shared" si="3"/>
        <v>SpringHill Suites by Marriott Overland Park Leawood</v>
      </c>
      <c r="H105" s="18">
        <v>46161</v>
      </c>
      <c r="O105" s="32" t="s">
        <v>1655</v>
      </c>
      <c r="P105" s="32" t="s">
        <v>1656</v>
      </c>
      <c r="Q105" s="32" t="s">
        <v>1655</v>
      </c>
    </row>
    <row r="106" spans="1:17">
      <c r="A106" t="s">
        <v>43</v>
      </c>
      <c r="B106" t="str">
        <f t="shared" si="2"/>
        <v>DALMC</v>
      </c>
      <c r="C106">
        <v>210025</v>
      </c>
      <c r="D106" t="s">
        <v>1379</v>
      </c>
      <c r="E106">
        <v>1278</v>
      </c>
      <c r="F106" t="s">
        <v>24</v>
      </c>
      <c r="G106" t="str">
        <f t="shared" si="3"/>
        <v>Fairfield by Marriott Inn &amp; Suites Dallas Medical/Market Center</v>
      </c>
      <c r="H106" s="18">
        <v>46161</v>
      </c>
      <c r="O106" s="32" t="s">
        <v>1575</v>
      </c>
      <c r="P106" s="32" t="s">
        <v>1576</v>
      </c>
      <c r="Q106" s="32" t="s">
        <v>1575</v>
      </c>
    </row>
    <row r="107" spans="1:17">
      <c r="A107" t="s">
        <v>43</v>
      </c>
      <c r="B107" t="str">
        <f t="shared" si="2"/>
        <v>DALXC</v>
      </c>
      <c r="C107">
        <v>210027</v>
      </c>
      <c r="D107" t="s">
        <v>1381</v>
      </c>
      <c r="E107">
        <v>1279</v>
      </c>
      <c r="F107" t="s">
        <v>24</v>
      </c>
      <c r="G107" t="str">
        <f t="shared" si="3"/>
        <v>Courtyard by Marriott Dallas Plano/Richardson</v>
      </c>
      <c r="H107" s="18">
        <v>46161</v>
      </c>
      <c r="O107" s="32" t="s">
        <v>1659</v>
      </c>
      <c r="P107" s="32" t="s">
        <v>1660</v>
      </c>
      <c r="Q107" s="32" t="s">
        <v>1659</v>
      </c>
    </row>
    <row r="108" spans="1:17">
      <c r="A108" t="s">
        <v>43</v>
      </c>
      <c r="B108" t="str">
        <f t="shared" si="2"/>
        <v>HOUHK</v>
      </c>
      <c r="C108">
        <v>210029</v>
      </c>
      <c r="D108" t="s">
        <v>1383</v>
      </c>
      <c r="E108">
        <v>1280</v>
      </c>
      <c r="F108" t="s">
        <v>24</v>
      </c>
      <c r="G108" t="str">
        <f t="shared" si="3"/>
        <v>Fairfield by Marriott Inn &amp; Suites Houston Katy</v>
      </c>
      <c r="H108" s="18">
        <v>46161</v>
      </c>
      <c r="O108" s="32" t="s">
        <v>1595</v>
      </c>
      <c r="P108" s="32" t="s">
        <v>1596</v>
      </c>
      <c r="Q108" s="32" t="s">
        <v>1595</v>
      </c>
    </row>
    <row r="109" spans="1:17">
      <c r="A109" t="s">
        <v>43</v>
      </c>
      <c r="B109" t="str">
        <f t="shared" si="2"/>
        <v>TULWE</v>
      </c>
      <c r="C109">
        <v>210031</v>
      </c>
      <c r="D109" t="s">
        <v>1385</v>
      </c>
      <c r="E109">
        <v>1281</v>
      </c>
      <c r="F109" t="s">
        <v>24</v>
      </c>
      <c r="G109" t="str">
        <f t="shared" si="3"/>
        <v>SpringHill Suites by Marriott Tulsa at Tulsa Hills</v>
      </c>
      <c r="H109" s="18">
        <v>46161</v>
      </c>
      <c r="O109" s="32" t="s">
        <v>1605</v>
      </c>
      <c r="P109" s="32" t="s">
        <v>1606</v>
      </c>
      <c r="Q109" s="32" t="s">
        <v>1605</v>
      </c>
    </row>
    <row r="110" spans="1:17">
      <c r="A110" t="s">
        <v>43</v>
      </c>
      <c r="B110" t="str">
        <f t="shared" si="2"/>
        <v>HOUBS</v>
      </c>
      <c r="C110">
        <v>210033</v>
      </c>
      <c r="D110" t="s">
        <v>1387</v>
      </c>
      <c r="E110">
        <v>1282</v>
      </c>
      <c r="F110" t="s">
        <v>24</v>
      </c>
      <c r="G110" t="str">
        <f t="shared" si="3"/>
        <v>Courtyard by Marriott Houston Rice University</v>
      </c>
      <c r="H110" s="18">
        <v>46161</v>
      </c>
      <c r="O110" s="32" t="s">
        <v>1585</v>
      </c>
      <c r="P110" s="32" t="s">
        <v>1586</v>
      </c>
      <c r="Q110" s="32" t="s">
        <v>1585</v>
      </c>
    </row>
    <row r="111" spans="1:17">
      <c r="A111" t="s">
        <v>43</v>
      </c>
      <c r="B111" t="str">
        <f t="shared" si="2"/>
        <v>MCISM</v>
      </c>
      <c r="C111">
        <v>210035</v>
      </c>
      <c r="D111" t="s">
        <v>1389</v>
      </c>
      <c r="E111">
        <v>1283</v>
      </c>
      <c r="F111" t="s">
        <v>24</v>
      </c>
      <c r="G111" t="str">
        <f t="shared" si="3"/>
        <v>Courtyard by Marriott Kansas City Shawnee</v>
      </c>
      <c r="H111" s="18">
        <v>46161</v>
      </c>
      <c r="O111" s="32" t="s">
        <v>1617</v>
      </c>
      <c r="P111" s="32" t="s">
        <v>1618</v>
      </c>
      <c r="Q111" s="32" t="s">
        <v>1617</v>
      </c>
    </row>
    <row r="112" spans="1:17">
      <c r="A112" t="s">
        <v>43</v>
      </c>
      <c r="B112" t="str">
        <f t="shared" si="2"/>
        <v>DALFE</v>
      </c>
      <c r="C112">
        <v>210037</v>
      </c>
      <c r="D112" t="s">
        <v>1391</v>
      </c>
      <c r="E112">
        <v>1284</v>
      </c>
      <c r="F112" t="s">
        <v>24</v>
      </c>
      <c r="G112" t="str">
        <f t="shared" si="3"/>
        <v>Fairfield by Marriott Inn &amp; Suites Dallas East</v>
      </c>
      <c r="H112" s="18">
        <v>46161</v>
      </c>
      <c r="O112" s="32" t="s">
        <v>1537</v>
      </c>
      <c r="P112" s="32" t="s">
        <v>1538</v>
      </c>
      <c r="Q112" s="32" t="s">
        <v>1537</v>
      </c>
    </row>
    <row r="113" spans="1:17">
      <c r="A113" t="s">
        <v>43</v>
      </c>
      <c r="B113" t="str">
        <f t="shared" si="2"/>
        <v>DFWSU</v>
      </c>
      <c r="C113">
        <v>210039</v>
      </c>
      <c r="D113" t="s">
        <v>1393</v>
      </c>
      <c r="E113">
        <v>1285</v>
      </c>
      <c r="F113" t="s">
        <v>24</v>
      </c>
      <c r="G113" t="str">
        <f t="shared" si="3"/>
        <v>SpringHill Suites by Marriott Dallas DFW Airport South/CentrePort</v>
      </c>
      <c r="H113" s="18">
        <v>46161</v>
      </c>
      <c r="O113" s="32" t="s">
        <v>1547</v>
      </c>
      <c r="P113" s="32" t="s">
        <v>1548</v>
      </c>
      <c r="Q113" s="32" t="s">
        <v>1547</v>
      </c>
    </row>
    <row r="114" spans="1:17">
      <c r="A114" t="s">
        <v>43</v>
      </c>
      <c r="B114" t="str">
        <f t="shared" si="2"/>
        <v>HOUCO</v>
      </c>
      <c r="C114">
        <v>210041</v>
      </c>
      <c r="D114" t="s">
        <v>1395</v>
      </c>
      <c r="E114">
        <v>1286</v>
      </c>
      <c r="F114" t="s">
        <v>24</v>
      </c>
      <c r="G114" t="str">
        <f t="shared" si="3"/>
        <v>Courtyard by Marriott Houston Northeast</v>
      </c>
      <c r="H114" s="18">
        <v>46161</v>
      </c>
      <c r="O114" s="32" t="s">
        <v>1259</v>
      </c>
      <c r="P114" s="32" t="s">
        <v>1260</v>
      </c>
      <c r="Q114" s="32" t="s">
        <v>1259</v>
      </c>
    </row>
    <row r="115" spans="1:17">
      <c r="A115" t="s">
        <v>43</v>
      </c>
      <c r="B115" t="str">
        <f t="shared" si="2"/>
        <v>MCILS</v>
      </c>
      <c r="C115">
        <v>210043</v>
      </c>
      <c r="D115" t="s">
        <v>1397</v>
      </c>
      <c r="E115">
        <v>1287</v>
      </c>
      <c r="F115" t="s">
        <v>24</v>
      </c>
      <c r="G115" t="str">
        <f t="shared" si="3"/>
        <v>Fairfield by Marriott Inn &amp; Suites Kansas City Lee's Summit</v>
      </c>
      <c r="H115" s="18">
        <v>46161</v>
      </c>
      <c r="O115" s="32" t="s">
        <v>1493</v>
      </c>
      <c r="P115" s="32" t="s">
        <v>1494</v>
      </c>
      <c r="Q115" s="32" t="s">
        <v>1493</v>
      </c>
    </row>
    <row r="116" spans="1:17">
      <c r="A116" t="s">
        <v>43</v>
      </c>
      <c r="B116" t="str">
        <f t="shared" si="2"/>
        <v>DALNW</v>
      </c>
      <c r="C116">
        <v>210045</v>
      </c>
      <c r="D116" t="s">
        <v>1399</v>
      </c>
      <c r="E116">
        <v>1288</v>
      </c>
      <c r="F116" t="s">
        <v>24</v>
      </c>
      <c r="G116" t="str">
        <f t="shared" si="3"/>
        <v>Courtyard by Marriott Dallas Northwest</v>
      </c>
      <c r="H116" s="18">
        <v>46161</v>
      </c>
      <c r="O116" s="32" t="s">
        <v>1531</v>
      </c>
      <c r="P116" s="32" t="s">
        <v>1532</v>
      </c>
      <c r="Q116" s="32" t="s">
        <v>1531</v>
      </c>
    </row>
    <row r="117" spans="1:17">
      <c r="A117" t="s">
        <v>43</v>
      </c>
      <c r="B117" t="str">
        <f t="shared" si="2"/>
        <v>DALRW</v>
      </c>
      <c r="C117">
        <v>210047</v>
      </c>
      <c r="D117" t="s">
        <v>1401</v>
      </c>
      <c r="E117">
        <v>1289</v>
      </c>
      <c r="F117" t="s">
        <v>24</v>
      </c>
      <c r="G117" t="str">
        <f t="shared" si="3"/>
        <v>SpringHill Suites by Marriott Dallas Rockwall</v>
      </c>
      <c r="H117" s="18">
        <v>46161</v>
      </c>
      <c r="O117" s="32" t="s">
        <v>1539</v>
      </c>
      <c r="P117" s="32" t="s">
        <v>1540</v>
      </c>
      <c r="Q117" s="32" t="s">
        <v>1539</v>
      </c>
    </row>
    <row r="118" spans="1:17">
      <c r="A118" t="s">
        <v>43</v>
      </c>
      <c r="B118" t="str">
        <f t="shared" si="2"/>
        <v>DALIV</v>
      </c>
      <c r="C118">
        <v>210049</v>
      </c>
      <c r="D118" t="s">
        <v>1403</v>
      </c>
      <c r="E118">
        <v>1290</v>
      </c>
      <c r="F118" t="s">
        <v>24</v>
      </c>
      <c r="G118" t="str">
        <f t="shared" si="3"/>
        <v>Courtyard by Marriott Dallas DFW Airport South/Irving</v>
      </c>
      <c r="H118" s="18">
        <v>46161</v>
      </c>
      <c r="O118" s="32" t="s">
        <v>1513</v>
      </c>
      <c r="P118" s="32" t="s">
        <v>1514</v>
      </c>
      <c r="Q118" s="32" t="s">
        <v>1513</v>
      </c>
    </row>
    <row r="119" spans="1:17">
      <c r="A119" t="s">
        <v>43</v>
      </c>
      <c r="B119" t="str">
        <f t="shared" si="2"/>
        <v>DALPH</v>
      </c>
      <c r="C119">
        <v>210051</v>
      </c>
      <c r="D119" t="s">
        <v>1405</v>
      </c>
      <c r="E119">
        <v>1291</v>
      </c>
      <c r="F119" t="s">
        <v>24</v>
      </c>
      <c r="G119" t="str">
        <f t="shared" si="3"/>
        <v>SpringHill Suites by Marriott Dallas Richardson/University Area</v>
      </c>
      <c r="H119" s="18">
        <v>46161</v>
      </c>
      <c r="O119" s="32" t="s">
        <v>1397</v>
      </c>
      <c r="P119" s="32" t="s">
        <v>1398</v>
      </c>
      <c r="Q119" s="32" t="s">
        <v>1397</v>
      </c>
    </row>
    <row r="120" spans="1:17">
      <c r="A120" t="s">
        <v>43</v>
      </c>
      <c r="B120" t="str">
        <f t="shared" si="2"/>
        <v>TULFC</v>
      </c>
      <c r="C120">
        <v>210053</v>
      </c>
      <c r="D120" t="s">
        <v>1407</v>
      </c>
      <c r="E120">
        <v>1292</v>
      </c>
      <c r="F120" t="s">
        <v>24</v>
      </c>
      <c r="G120" t="str">
        <f t="shared" si="3"/>
        <v>Fairfield by Marriott Inn &amp; Suites Tulsa Central</v>
      </c>
      <c r="H120" s="18">
        <v>46161</v>
      </c>
      <c r="O120" s="32" t="s">
        <v>1487</v>
      </c>
      <c r="P120" s="32" t="s">
        <v>1488</v>
      </c>
      <c r="Q120" s="32" t="s">
        <v>1487</v>
      </c>
    </row>
    <row r="121" spans="1:17">
      <c r="A121" t="s">
        <v>43</v>
      </c>
      <c r="B121" t="str">
        <f t="shared" si="2"/>
        <v>DALFD</v>
      </c>
      <c r="C121">
        <v>210055</v>
      </c>
      <c r="D121" t="s">
        <v>1409</v>
      </c>
      <c r="E121">
        <v>1294</v>
      </c>
      <c r="F121" t="s">
        <v>24</v>
      </c>
      <c r="G121" t="str">
        <f t="shared" si="3"/>
        <v>Fairfield by Marriott Inn &amp; Suites Dallas Love Field</v>
      </c>
      <c r="H121" s="18">
        <v>46161</v>
      </c>
      <c r="O121" s="32" t="s">
        <v>1517</v>
      </c>
      <c r="P121" s="32" t="s">
        <v>1518</v>
      </c>
      <c r="Q121" s="32" t="s">
        <v>1517</v>
      </c>
    </row>
    <row r="122" spans="1:17">
      <c r="A122" t="s">
        <v>43</v>
      </c>
      <c r="B122" t="str">
        <f t="shared" si="2"/>
        <v>MCISS</v>
      </c>
      <c r="C122">
        <v>210057</v>
      </c>
      <c r="D122" t="s">
        <v>1411</v>
      </c>
      <c r="E122">
        <v>1295</v>
      </c>
      <c r="F122" t="s">
        <v>24</v>
      </c>
      <c r="G122" t="str">
        <f t="shared" si="3"/>
        <v>SpringHill Suites by Marriott Kansas City Overland Park</v>
      </c>
      <c r="H122" s="18">
        <v>46161</v>
      </c>
      <c r="O122" s="32" t="s">
        <v>1389</v>
      </c>
      <c r="P122" s="32" t="s">
        <v>1390</v>
      </c>
      <c r="Q122" s="32" t="s">
        <v>1389</v>
      </c>
    </row>
    <row r="123" spans="1:17">
      <c r="A123" t="s">
        <v>43</v>
      </c>
      <c r="B123" t="str">
        <f t="shared" si="2"/>
        <v>HOUCN</v>
      </c>
      <c r="C123">
        <v>210059</v>
      </c>
      <c r="D123" t="s">
        <v>1413</v>
      </c>
      <c r="E123">
        <v>1296</v>
      </c>
      <c r="F123" t="s">
        <v>24</v>
      </c>
      <c r="G123" t="str">
        <f t="shared" si="3"/>
        <v>Courtyard by Marriott Houston NW/290 Corridor</v>
      </c>
      <c r="H123" s="18">
        <v>46161</v>
      </c>
      <c r="O123" s="32" t="s">
        <v>1499</v>
      </c>
      <c r="P123" s="32" t="s">
        <v>1500</v>
      </c>
      <c r="Q123" s="32" t="s">
        <v>1499</v>
      </c>
    </row>
    <row r="124" spans="1:17">
      <c r="A124" t="s">
        <v>43</v>
      </c>
      <c r="B124" t="str">
        <f t="shared" si="2"/>
        <v>HOUTW</v>
      </c>
      <c r="C124">
        <v>210061</v>
      </c>
      <c r="D124" t="s">
        <v>1415</v>
      </c>
      <c r="E124">
        <v>1297</v>
      </c>
      <c r="F124" t="s">
        <v>24</v>
      </c>
      <c r="G124" t="str">
        <f t="shared" si="3"/>
        <v>Fairfield by Marriott Inn &amp; Suites Houston The Woodlands</v>
      </c>
      <c r="H124" s="18">
        <v>46161</v>
      </c>
      <c r="O124" s="32" t="s">
        <v>1377</v>
      </c>
      <c r="P124" s="32" t="s">
        <v>1378</v>
      </c>
      <c r="Q124" s="32" t="s">
        <v>1377</v>
      </c>
    </row>
    <row r="125" spans="1:17">
      <c r="A125" t="s">
        <v>43</v>
      </c>
      <c r="B125" t="str">
        <f t="shared" si="2"/>
        <v>DALAN</v>
      </c>
      <c r="C125">
        <v>210063</v>
      </c>
      <c r="D125" t="s">
        <v>1417</v>
      </c>
      <c r="E125">
        <v>1299</v>
      </c>
      <c r="F125" t="s">
        <v>24</v>
      </c>
      <c r="G125" t="str">
        <f t="shared" si="3"/>
        <v>Courtyard by Marriott Dallas Allen at the Event Center</v>
      </c>
      <c r="H125" s="18">
        <v>46161</v>
      </c>
      <c r="O125" s="32" t="s">
        <v>1411</v>
      </c>
      <c r="P125" s="32" t="s">
        <v>1412</v>
      </c>
      <c r="Q125" s="32" t="s">
        <v>1411</v>
      </c>
    </row>
    <row r="126" spans="1:17">
      <c r="A126" t="s">
        <v>43</v>
      </c>
      <c r="B126" t="str">
        <f t="shared" si="2"/>
        <v>SATCW</v>
      </c>
      <c r="C126">
        <v>210065</v>
      </c>
      <c r="D126" t="s">
        <v>1419</v>
      </c>
      <c r="E126">
        <v>1300</v>
      </c>
      <c r="F126" t="s">
        <v>24</v>
      </c>
      <c r="G126" t="str">
        <f t="shared" si="3"/>
        <v>Courtyard by Marriott San Antonio SeaWorld®/Westover Hills</v>
      </c>
      <c r="H126" s="18">
        <v>46161</v>
      </c>
      <c r="O126" s="32" t="s">
        <v>1463</v>
      </c>
      <c r="P126" s="32" t="s">
        <v>1464</v>
      </c>
      <c r="Q126" s="32" t="s">
        <v>1463</v>
      </c>
    </row>
    <row r="127" spans="1:17">
      <c r="A127" t="s">
        <v>43</v>
      </c>
      <c r="B127" t="str">
        <f t="shared" si="2"/>
        <v>DFWAC</v>
      </c>
      <c r="C127">
        <v>210067</v>
      </c>
      <c r="D127" t="s">
        <v>1421</v>
      </c>
      <c r="E127">
        <v>1301</v>
      </c>
      <c r="F127" t="s">
        <v>24</v>
      </c>
      <c r="G127" t="str">
        <f t="shared" si="3"/>
        <v>AC Hotel Fort Worth Downtown</v>
      </c>
      <c r="H127" s="18">
        <v>46161</v>
      </c>
      <c r="O127" s="32" t="s">
        <v>1505</v>
      </c>
      <c r="P127" s="32" t="s">
        <v>1506</v>
      </c>
      <c r="Q127" s="32" t="s">
        <v>1505</v>
      </c>
    </row>
    <row r="128" spans="1:17">
      <c r="A128" t="s">
        <v>43</v>
      </c>
      <c r="B128" t="str">
        <f t="shared" si="2"/>
        <v>HOUFM</v>
      </c>
      <c r="C128">
        <v>210069</v>
      </c>
      <c r="D128" t="s">
        <v>1423</v>
      </c>
      <c r="E128">
        <v>1302</v>
      </c>
      <c r="F128" t="s">
        <v>24</v>
      </c>
      <c r="G128" t="str">
        <f t="shared" si="3"/>
        <v>Fairfield by Marriott Inn &amp; Suites Houston Missouri City</v>
      </c>
      <c r="H128" s="18">
        <v>46161</v>
      </c>
      <c r="O128" s="32" t="s">
        <v>1297</v>
      </c>
      <c r="P128" s="32" t="s">
        <v>1298</v>
      </c>
      <c r="Q128" s="32" t="s">
        <v>1297</v>
      </c>
    </row>
    <row r="129" spans="1:17">
      <c r="A129" t="s">
        <v>43</v>
      </c>
      <c r="B129" t="str">
        <f t="shared" ref="B129:B192" si="4">_xlfn.XLOOKUP(D129,O:O,Q:Q,"Not Found")</f>
        <v>HOUFE</v>
      </c>
      <c r="C129">
        <v>210071</v>
      </c>
      <c r="D129" t="s">
        <v>1425</v>
      </c>
      <c r="E129">
        <v>1303</v>
      </c>
      <c r="F129" t="s">
        <v>24</v>
      </c>
      <c r="G129" t="str">
        <f t="shared" ref="G129:G192" si="5">_xlfn.XLOOKUP(D129,O:O,P:P,"Not Found")</f>
        <v>Fairfield by Marriott Inn &amp; Suites Houston Memorial City Area</v>
      </c>
      <c r="H129" s="18">
        <v>46161</v>
      </c>
      <c r="O129" s="32" t="s">
        <v>1607</v>
      </c>
      <c r="P129" s="32" t="s">
        <v>1608</v>
      </c>
      <c r="Q129" s="32" t="s">
        <v>1607</v>
      </c>
    </row>
    <row r="130" spans="1:17">
      <c r="A130" t="s">
        <v>43</v>
      </c>
      <c r="B130" t="str">
        <f t="shared" si="4"/>
        <v>DFWSH</v>
      </c>
      <c r="C130">
        <v>210073</v>
      </c>
      <c r="D130" t="s">
        <v>1427</v>
      </c>
      <c r="E130">
        <v>1304</v>
      </c>
      <c r="F130" t="s">
        <v>24</v>
      </c>
      <c r="G130" t="str">
        <f t="shared" si="5"/>
        <v>SpringHill Suites by Marriott Dallas Arlington North</v>
      </c>
      <c r="H130" s="18">
        <v>46161</v>
      </c>
      <c r="O130" s="32" t="s">
        <v>1649</v>
      </c>
      <c r="P130" s="32" t="s">
        <v>1650</v>
      </c>
      <c r="Q130" s="32" t="s">
        <v>1649</v>
      </c>
    </row>
    <row r="131" spans="1:17">
      <c r="A131" t="s">
        <v>43</v>
      </c>
      <c r="B131" t="str">
        <f t="shared" si="4"/>
        <v>DALMO</v>
      </c>
      <c r="C131">
        <v>210075</v>
      </c>
      <c r="D131" t="s">
        <v>1429</v>
      </c>
      <c r="E131">
        <v>1305</v>
      </c>
      <c r="F131" t="s">
        <v>24</v>
      </c>
      <c r="G131" t="str">
        <f t="shared" si="5"/>
        <v>Courtyard by Marriott Dallas Flower Mound</v>
      </c>
      <c r="H131" s="18">
        <v>46161</v>
      </c>
      <c r="O131" s="32" t="s">
        <v>1263</v>
      </c>
      <c r="P131" s="32" t="s">
        <v>1264</v>
      </c>
      <c r="Q131" s="32" t="s">
        <v>1263</v>
      </c>
    </row>
    <row r="132" spans="1:17">
      <c r="A132" t="s">
        <v>43</v>
      </c>
      <c r="B132" t="str">
        <f t="shared" si="4"/>
        <v>DFWCY</v>
      </c>
      <c r="C132">
        <v>210077</v>
      </c>
      <c r="D132" t="s">
        <v>1431</v>
      </c>
      <c r="E132">
        <v>1306</v>
      </c>
      <c r="F132" t="s">
        <v>24</v>
      </c>
      <c r="G132" t="str">
        <f t="shared" si="5"/>
        <v>Courtyard by Marriott Dallas DFW Airport North/Irving</v>
      </c>
      <c r="H132" s="18">
        <v>46161</v>
      </c>
      <c r="O132" s="32" t="s">
        <v>1225</v>
      </c>
      <c r="P132" s="32" t="s">
        <v>1226</v>
      </c>
      <c r="Q132" s="32" t="s">
        <v>1225</v>
      </c>
    </row>
    <row r="133" spans="1:17">
      <c r="A133" t="s">
        <v>43</v>
      </c>
      <c r="B133" t="str">
        <f t="shared" si="4"/>
        <v>IAHFW</v>
      </c>
      <c r="C133">
        <v>210079</v>
      </c>
      <c r="D133" t="s">
        <v>1433</v>
      </c>
      <c r="E133">
        <v>1307</v>
      </c>
      <c r="F133" t="s">
        <v>24</v>
      </c>
      <c r="G133" t="str">
        <f t="shared" si="5"/>
        <v>Fairfield by Marriott Inn &amp; Suites Waller</v>
      </c>
      <c r="H133" s="18">
        <v>46161</v>
      </c>
      <c r="O133" s="32" t="s">
        <v>1337</v>
      </c>
      <c r="P133" s="32" t="s">
        <v>1338</v>
      </c>
      <c r="Q133" s="32" t="s">
        <v>1337</v>
      </c>
    </row>
    <row r="134" spans="1:17">
      <c r="A134" t="s">
        <v>43</v>
      </c>
      <c r="B134" t="str">
        <f t="shared" si="4"/>
        <v>PNCSH</v>
      </c>
      <c r="C134">
        <v>210081</v>
      </c>
      <c r="D134" t="s">
        <v>1435</v>
      </c>
      <c r="E134">
        <v>1308</v>
      </c>
      <c r="F134" t="s">
        <v>24</v>
      </c>
      <c r="G134" t="str">
        <f t="shared" si="5"/>
        <v>SpringHill Suites by Marriott Stillwater</v>
      </c>
      <c r="H134" s="18">
        <v>46161</v>
      </c>
      <c r="O134" s="32" t="s">
        <v>1325</v>
      </c>
      <c r="P134" s="32" t="s">
        <v>1326</v>
      </c>
      <c r="Q134" s="32" t="s">
        <v>1325</v>
      </c>
    </row>
    <row r="135" spans="1:17">
      <c r="A135" t="s">
        <v>43</v>
      </c>
      <c r="B135" t="str">
        <f t="shared" si="4"/>
        <v>DFWNO</v>
      </c>
      <c r="C135">
        <v>210083</v>
      </c>
      <c r="D135" t="s">
        <v>1437</v>
      </c>
      <c r="E135">
        <v>1309</v>
      </c>
      <c r="F135" t="s">
        <v>24</v>
      </c>
      <c r="G135" t="str">
        <f t="shared" si="5"/>
        <v>Fairfield by Marriott Inn &amp; Suites Fort Worth Alliance Airport</v>
      </c>
      <c r="H135" s="18">
        <v>46161</v>
      </c>
      <c r="O135" s="32" t="s">
        <v>1275</v>
      </c>
      <c r="P135" s="32" t="s">
        <v>1276</v>
      </c>
      <c r="Q135" s="32" t="s">
        <v>1275</v>
      </c>
    </row>
    <row r="136" spans="1:17">
      <c r="A136" t="s">
        <v>43</v>
      </c>
      <c r="B136" t="str">
        <f t="shared" si="4"/>
        <v>WCOSW</v>
      </c>
      <c r="C136">
        <v>210085</v>
      </c>
      <c r="D136" t="s">
        <v>1439</v>
      </c>
      <c r="E136">
        <v>1310</v>
      </c>
      <c r="F136" t="s">
        <v>24</v>
      </c>
      <c r="G136" t="str">
        <f t="shared" si="5"/>
        <v>SpringHill Suites by Marriott Waco</v>
      </c>
      <c r="H136" s="18">
        <v>46161</v>
      </c>
      <c r="O136" s="32" t="s">
        <v>1321</v>
      </c>
      <c r="P136" s="32" t="s">
        <v>1322</v>
      </c>
      <c r="Q136" s="32" t="s">
        <v>1321</v>
      </c>
    </row>
    <row r="137" spans="1:17">
      <c r="A137" t="s">
        <v>43</v>
      </c>
      <c r="B137" t="str">
        <f t="shared" si="4"/>
        <v>DALDF</v>
      </c>
      <c r="C137">
        <v>210087</v>
      </c>
      <c r="D137" t="s">
        <v>1441</v>
      </c>
      <c r="E137">
        <v>1311</v>
      </c>
      <c r="F137" t="s">
        <v>24</v>
      </c>
      <c r="G137" t="str">
        <f t="shared" si="5"/>
        <v>Courtyard by Marriott Dallas Frisco</v>
      </c>
      <c r="H137" s="18">
        <v>46161</v>
      </c>
      <c r="O137" s="32" t="s">
        <v>1281</v>
      </c>
      <c r="P137" s="32" t="s">
        <v>1282</v>
      </c>
      <c r="Q137" s="32" t="s">
        <v>1281</v>
      </c>
    </row>
    <row r="138" spans="1:17">
      <c r="A138" t="s">
        <v>43</v>
      </c>
      <c r="B138" t="str">
        <f t="shared" si="4"/>
        <v>DALFN</v>
      </c>
      <c r="C138">
        <v>210089</v>
      </c>
      <c r="D138" t="s">
        <v>1443</v>
      </c>
      <c r="E138">
        <v>1312</v>
      </c>
      <c r="F138" t="s">
        <v>24</v>
      </c>
      <c r="G138" t="str">
        <f t="shared" si="5"/>
        <v>Fairfield by Marriott Inn &amp; Suites Dallas Plano North</v>
      </c>
      <c r="H138" s="18">
        <v>46161</v>
      </c>
      <c r="O138" s="32" t="s">
        <v>1341</v>
      </c>
      <c r="P138" s="32" t="s">
        <v>1342</v>
      </c>
      <c r="Q138" s="32" t="s">
        <v>1341</v>
      </c>
    </row>
    <row r="139" spans="1:17">
      <c r="A139" t="s">
        <v>43</v>
      </c>
      <c r="B139" t="str">
        <f t="shared" si="4"/>
        <v>STLXC</v>
      </c>
      <c r="C139">
        <v>210091</v>
      </c>
      <c r="D139" t="s">
        <v>1445</v>
      </c>
      <c r="E139">
        <v>1313</v>
      </c>
      <c r="F139" t="s">
        <v>24</v>
      </c>
      <c r="G139" t="str">
        <f t="shared" si="5"/>
        <v>Courtyard by Marriott St Louis Chesterfield</v>
      </c>
      <c r="H139" s="18">
        <v>46161</v>
      </c>
      <c r="O139" s="32" t="s">
        <v>1353</v>
      </c>
      <c r="P139" s="32" t="s">
        <v>1354</v>
      </c>
      <c r="Q139" s="32" t="s">
        <v>1353</v>
      </c>
    </row>
    <row r="140" spans="1:17">
      <c r="A140" t="s">
        <v>43</v>
      </c>
      <c r="B140" t="str">
        <f t="shared" si="4"/>
        <v>HOURP</v>
      </c>
      <c r="C140">
        <v>210093</v>
      </c>
      <c r="D140" t="s">
        <v>1447</v>
      </c>
      <c r="E140">
        <v>1314</v>
      </c>
      <c r="F140" t="s">
        <v>24</v>
      </c>
      <c r="G140" t="str">
        <f t="shared" si="5"/>
        <v>SpringHill Suites by Marriott Houston Medical Center/NRG Park</v>
      </c>
      <c r="H140" s="18">
        <v>46161</v>
      </c>
      <c r="O140" s="32" t="s">
        <v>1347</v>
      </c>
      <c r="P140" s="32" t="s">
        <v>1348</v>
      </c>
      <c r="Q140" s="32" t="s">
        <v>1347</v>
      </c>
    </row>
    <row r="141" spans="1:17">
      <c r="A141" t="s">
        <v>43</v>
      </c>
      <c r="B141" t="str">
        <f t="shared" si="4"/>
        <v>DALSS</v>
      </c>
      <c r="C141">
        <v>210095</v>
      </c>
      <c r="D141" t="s">
        <v>1449</v>
      </c>
      <c r="E141">
        <v>1315</v>
      </c>
      <c r="F141" t="s">
        <v>24</v>
      </c>
      <c r="G141" t="str">
        <f t="shared" si="5"/>
        <v>SpringHill Suites by Marriott Dallas NW Highway at Stemmons/I-35E</v>
      </c>
      <c r="H141" s="18">
        <v>46161</v>
      </c>
      <c r="O141" s="32" t="s">
        <v>1351</v>
      </c>
      <c r="P141" s="32" t="s">
        <v>1352</v>
      </c>
      <c r="Q141" s="32" t="s">
        <v>1351</v>
      </c>
    </row>
    <row r="142" spans="1:17">
      <c r="A142" t="s">
        <v>43</v>
      </c>
      <c r="B142" t="str">
        <f t="shared" si="4"/>
        <v>DALEF</v>
      </c>
      <c r="C142">
        <v>210097</v>
      </c>
      <c r="D142" t="s">
        <v>1451</v>
      </c>
      <c r="E142">
        <v>1316</v>
      </c>
      <c r="F142" t="s">
        <v>24</v>
      </c>
      <c r="G142" t="str">
        <f t="shared" si="5"/>
        <v>Fairfield by Marriott Inn &amp; Suites DeSoto Dallas South</v>
      </c>
      <c r="H142" s="18">
        <v>46161</v>
      </c>
      <c r="O142" s="32" t="s">
        <v>1343</v>
      </c>
      <c r="P142" s="32" t="s">
        <v>1344</v>
      </c>
      <c r="Q142" s="32" t="s">
        <v>1343</v>
      </c>
    </row>
    <row r="143" spans="1:17">
      <c r="A143" t="s">
        <v>43</v>
      </c>
      <c r="B143" t="str">
        <f t="shared" si="4"/>
        <v>STLFD</v>
      </c>
      <c r="C143">
        <v>210099</v>
      </c>
      <c r="D143" t="s">
        <v>1453</v>
      </c>
      <c r="E143">
        <v>1317</v>
      </c>
      <c r="F143" t="s">
        <v>24</v>
      </c>
      <c r="G143" t="str">
        <f t="shared" si="5"/>
        <v>Fairfield by Marriott Inn &amp; Suites St. Louis Downtown</v>
      </c>
      <c r="H143" s="18">
        <v>46161</v>
      </c>
      <c r="O143" s="32" t="s">
        <v>1491</v>
      </c>
      <c r="P143" s="32" t="s">
        <v>1492</v>
      </c>
      <c r="Q143" s="32" t="s">
        <v>1491</v>
      </c>
    </row>
    <row r="144" spans="1:17">
      <c r="A144" t="s">
        <v>43</v>
      </c>
      <c r="B144" t="str">
        <f t="shared" si="4"/>
        <v>HOUCR</v>
      </c>
      <c r="C144">
        <v>210101</v>
      </c>
      <c r="D144" t="s">
        <v>1455</v>
      </c>
      <c r="E144">
        <v>1318</v>
      </c>
      <c r="F144" t="s">
        <v>24</v>
      </c>
      <c r="G144" t="str">
        <f t="shared" si="5"/>
        <v>Fairfield by Marriott Inn &amp; Suites Houston Conroe Near The Woodlands®</v>
      </c>
      <c r="H144" s="18">
        <v>46161</v>
      </c>
      <c r="O144" s="32" t="s">
        <v>1367</v>
      </c>
      <c r="P144" s="32" t="s">
        <v>1368</v>
      </c>
      <c r="Q144" s="32" t="s">
        <v>1367</v>
      </c>
    </row>
    <row r="145" spans="1:17">
      <c r="A145" t="s">
        <v>43</v>
      </c>
      <c r="B145" t="str">
        <f t="shared" si="4"/>
        <v>DALSF</v>
      </c>
      <c r="C145">
        <v>210103</v>
      </c>
      <c r="D145" t="s">
        <v>1457</v>
      </c>
      <c r="E145">
        <v>1319</v>
      </c>
      <c r="F145" t="s">
        <v>24</v>
      </c>
      <c r="G145" t="str">
        <f t="shared" si="5"/>
        <v>SpringHill Suites by Marriott Dallas Mansfield</v>
      </c>
      <c r="H145" s="18">
        <v>46161</v>
      </c>
      <c r="O145" s="32" t="s">
        <v>1171</v>
      </c>
      <c r="P145" s="32" t="s">
        <v>1172</v>
      </c>
      <c r="Q145" s="32" t="s">
        <v>1171</v>
      </c>
    </row>
    <row r="146" spans="1:17">
      <c r="A146" t="s">
        <v>43</v>
      </c>
      <c r="B146" t="str">
        <f t="shared" si="4"/>
        <v>DALWE</v>
      </c>
      <c r="C146">
        <v>210105</v>
      </c>
      <c r="D146" t="s">
        <v>1459</v>
      </c>
      <c r="E146">
        <v>1320</v>
      </c>
      <c r="F146" t="s">
        <v>24</v>
      </c>
      <c r="G146" t="str">
        <f t="shared" si="5"/>
        <v>SpringHill Suites by Marriott Dallas Downtown/West End</v>
      </c>
      <c r="H146" s="18">
        <v>46161</v>
      </c>
      <c r="O146" s="32" t="s">
        <v>1267</v>
      </c>
      <c r="P146" s="32" t="s">
        <v>1268</v>
      </c>
      <c r="Q146" s="32" t="s">
        <v>1267</v>
      </c>
    </row>
    <row r="147" spans="1:17">
      <c r="A147" t="s">
        <v>43</v>
      </c>
      <c r="B147" t="str">
        <f t="shared" si="4"/>
        <v>HOUCF</v>
      </c>
      <c r="C147">
        <v>210107</v>
      </c>
      <c r="D147" t="s">
        <v>1461</v>
      </c>
      <c r="E147">
        <v>1321</v>
      </c>
      <c r="F147" t="s">
        <v>24</v>
      </c>
      <c r="G147" t="str">
        <f t="shared" si="5"/>
        <v>Courtyard by Marriott Houston Sugar Land/Lake Pointe</v>
      </c>
      <c r="H147" s="18">
        <v>46161</v>
      </c>
      <c r="O147" s="32" t="s">
        <v>1289</v>
      </c>
      <c r="P147" s="32" t="s">
        <v>1290</v>
      </c>
      <c r="Q147" s="32" t="s">
        <v>1289</v>
      </c>
    </row>
    <row r="148" spans="1:17">
      <c r="A148" t="s">
        <v>43</v>
      </c>
      <c r="B148" t="str">
        <f t="shared" si="4"/>
        <v>MCIUN</v>
      </c>
      <c r="C148">
        <v>210109</v>
      </c>
      <c r="D148" t="s">
        <v>1463</v>
      </c>
      <c r="E148">
        <v>1323</v>
      </c>
      <c r="F148" t="s">
        <v>24</v>
      </c>
      <c r="G148" t="str">
        <f t="shared" si="5"/>
        <v>Fairfield Inn Kansas City Downtown/Union Hill</v>
      </c>
      <c r="H148" s="18">
        <v>46161</v>
      </c>
      <c r="O148" s="32" t="s">
        <v>1273</v>
      </c>
      <c r="P148" s="32" t="s">
        <v>1274</v>
      </c>
      <c r="Q148" s="32" t="s">
        <v>1273</v>
      </c>
    </row>
    <row r="149" spans="1:17">
      <c r="A149" t="s">
        <v>43</v>
      </c>
      <c r="B149" t="str">
        <f t="shared" si="4"/>
        <v>CRPRP</v>
      </c>
      <c r="C149">
        <v>210111</v>
      </c>
      <c r="D149" t="s">
        <v>1465</v>
      </c>
      <c r="E149">
        <v>1324</v>
      </c>
      <c r="F149" t="s">
        <v>24</v>
      </c>
      <c r="G149" t="str">
        <f t="shared" si="5"/>
        <v>Fairfield by Marriott Inn &amp; Suites Rockport</v>
      </c>
      <c r="H149" s="18">
        <v>46161</v>
      </c>
      <c r="O149" s="32" t="s">
        <v>1271</v>
      </c>
      <c r="P149" s="32" t="s">
        <v>1272</v>
      </c>
      <c r="Q149" s="32" t="s">
        <v>1271</v>
      </c>
    </row>
    <row r="150" spans="1:17">
      <c r="A150" t="s">
        <v>43</v>
      </c>
      <c r="B150" t="str">
        <f t="shared" si="4"/>
        <v>HOUOX</v>
      </c>
      <c r="C150">
        <v>210113</v>
      </c>
      <c r="D150" t="s">
        <v>1467</v>
      </c>
      <c r="E150">
        <v>1325</v>
      </c>
      <c r="F150" t="s">
        <v>24</v>
      </c>
      <c r="G150" t="str">
        <f t="shared" si="5"/>
        <v>Moxy Houston Downtown</v>
      </c>
      <c r="H150" s="18">
        <v>46161</v>
      </c>
      <c r="O150" s="32" t="s">
        <v>1279</v>
      </c>
      <c r="P150" s="32" t="s">
        <v>1280</v>
      </c>
      <c r="Q150" s="32" t="s">
        <v>1279</v>
      </c>
    </row>
    <row r="151" spans="1:17">
      <c r="A151" t="s">
        <v>43</v>
      </c>
      <c r="B151" t="str">
        <f t="shared" si="4"/>
        <v>SATDW</v>
      </c>
      <c r="C151">
        <v>210115</v>
      </c>
      <c r="D151" t="s">
        <v>1469</v>
      </c>
      <c r="E151">
        <v>1326</v>
      </c>
      <c r="F151" t="s">
        <v>24</v>
      </c>
      <c r="G151" t="str">
        <f t="shared" si="5"/>
        <v>Fairfield by Marriott Inn &amp; Suites San Antonio Alamo Plaza/Convention Center</v>
      </c>
      <c r="H151" s="18">
        <v>46161</v>
      </c>
      <c r="O151" s="32" t="s">
        <v>1239</v>
      </c>
      <c r="P151" s="32" t="s">
        <v>1240</v>
      </c>
      <c r="Q151" s="32" t="s">
        <v>1239</v>
      </c>
    </row>
    <row r="152" spans="1:17">
      <c r="A152" t="s">
        <v>43</v>
      </c>
      <c r="B152" t="str">
        <f t="shared" si="4"/>
        <v>SATDS</v>
      </c>
      <c r="C152">
        <v>210115</v>
      </c>
      <c r="D152" t="s">
        <v>1471</v>
      </c>
      <c r="E152">
        <v>1363</v>
      </c>
      <c r="F152" t="s">
        <v>24</v>
      </c>
      <c r="G152" t="str">
        <f t="shared" si="5"/>
        <v>SpringHill Suites by Marriott San Antonio Alamo Plaza/Convention Center</v>
      </c>
      <c r="H152" s="18">
        <v>46161</v>
      </c>
      <c r="O152" s="32" t="s">
        <v>1309</v>
      </c>
      <c r="P152" s="32" t="s">
        <v>1310</v>
      </c>
      <c r="Q152" s="32" t="s">
        <v>1309</v>
      </c>
    </row>
    <row r="153" spans="1:17">
      <c r="A153" t="s">
        <v>43</v>
      </c>
      <c r="B153" t="str">
        <f t="shared" si="4"/>
        <v>HOURB</v>
      </c>
      <c r="C153">
        <v>210117</v>
      </c>
      <c r="D153" t="s">
        <v>1473</v>
      </c>
      <c r="E153">
        <v>1327</v>
      </c>
      <c r="F153" t="s">
        <v>24</v>
      </c>
      <c r="G153" t="str">
        <f t="shared" si="5"/>
        <v>SpringHill Suites by Marriott Houston Rosenberg</v>
      </c>
      <c r="H153" s="18">
        <v>46161</v>
      </c>
      <c r="O153" s="32" t="s">
        <v>1169</v>
      </c>
      <c r="P153" s="32" t="s">
        <v>1170</v>
      </c>
      <c r="Q153" s="32" t="s">
        <v>1169</v>
      </c>
    </row>
    <row r="154" spans="1:17">
      <c r="A154" t="s">
        <v>43</v>
      </c>
      <c r="B154" t="str">
        <f t="shared" si="4"/>
        <v>DALCG</v>
      </c>
      <c r="C154">
        <v>210119</v>
      </c>
      <c r="D154" t="s">
        <v>1475</v>
      </c>
      <c r="E154">
        <v>1328</v>
      </c>
      <c r="F154" t="s">
        <v>24</v>
      </c>
      <c r="G154" t="str">
        <f t="shared" si="5"/>
        <v>Courtyard by Marriott Dallas Grand Prairie</v>
      </c>
      <c r="H154" s="18">
        <v>46161</v>
      </c>
      <c r="O154" s="32" t="s">
        <v>1257</v>
      </c>
      <c r="P154" s="32" t="s">
        <v>1258</v>
      </c>
      <c r="Q154" s="32" t="s">
        <v>1257</v>
      </c>
    </row>
    <row r="155" spans="1:17">
      <c r="A155" t="s">
        <v>43</v>
      </c>
      <c r="B155" t="str">
        <f t="shared" si="4"/>
        <v>DFWMS</v>
      </c>
      <c r="C155">
        <v>210121</v>
      </c>
      <c r="D155" t="s">
        <v>1477</v>
      </c>
      <c r="E155">
        <v>1329</v>
      </c>
      <c r="F155" t="s">
        <v>24</v>
      </c>
      <c r="G155" t="str">
        <f t="shared" si="5"/>
        <v>Courtyard by Marriott Fort Worth Downtown/Blackstone</v>
      </c>
      <c r="H155" s="18">
        <v>46161</v>
      </c>
      <c r="O155" s="32" t="s">
        <v>1201</v>
      </c>
      <c r="P155" s="32" t="s">
        <v>1202</v>
      </c>
      <c r="Q155" s="32" t="s">
        <v>1201</v>
      </c>
    </row>
    <row r="156" spans="1:17">
      <c r="A156" t="s">
        <v>43</v>
      </c>
      <c r="B156" t="str">
        <f t="shared" si="4"/>
        <v>HOUSS</v>
      </c>
      <c r="C156">
        <v>210123</v>
      </c>
      <c r="D156" t="s">
        <v>1479</v>
      </c>
      <c r="E156">
        <v>1330</v>
      </c>
      <c r="F156" t="s">
        <v>24</v>
      </c>
      <c r="G156" t="str">
        <f t="shared" si="5"/>
        <v>SpringHill Suites by Marriott Houston Sugar Land</v>
      </c>
      <c r="H156" s="18">
        <v>46161</v>
      </c>
      <c r="O156" s="32" t="s">
        <v>1175</v>
      </c>
      <c r="P156" s="32" t="s">
        <v>1176</v>
      </c>
      <c r="Q156" s="32" t="s">
        <v>1175</v>
      </c>
    </row>
    <row r="157" spans="1:17">
      <c r="A157" t="s">
        <v>43</v>
      </c>
      <c r="B157" t="str">
        <f t="shared" si="4"/>
        <v>DALCH</v>
      </c>
      <c r="C157">
        <v>210125</v>
      </c>
      <c r="D157" t="s">
        <v>1481</v>
      </c>
      <c r="E157">
        <v>1331</v>
      </c>
      <c r="F157" t="s">
        <v>24</v>
      </c>
      <c r="G157" t="str">
        <f t="shared" si="5"/>
        <v>Courtyard by Marriott Dallas Medical/Market Center</v>
      </c>
      <c r="H157" s="18">
        <v>46161</v>
      </c>
      <c r="O157" s="32" t="s">
        <v>1199</v>
      </c>
      <c r="P157" s="32" t="s">
        <v>1200</v>
      </c>
      <c r="Q157" s="32" t="s">
        <v>1199</v>
      </c>
    </row>
    <row r="158" spans="1:17">
      <c r="A158" t="s">
        <v>43</v>
      </c>
      <c r="B158" t="str">
        <f t="shared" si="4"/>
        <v>DALGV</v>
      </c>
      <c r="C158">
        <v>210127</v>
      </c>
      <c r="D158" t="s">
        <v>1483</v>
      </c>
      <c r="E158">
        <v>1332</v>
      </c>
      <c r="F158" t="s">
        <v>24</v>
      </c>
      <c r="G158" t="str">
        <f t="shared" si="5"/>
        <v>SpringHill Suites by Marriott Dallas DFW Airport North/Grapevine</v>
      </c>
      <c r="H158" s="18">
        <v>46161</v>
      </c>
      <c r="O158" s="32" t="s">
        <v>1319</v>
      </c>
      <c r="P158" s="32" t="s">
        <v>1320</v>
      </c>
      <c r="Q158" s="32" t="s">
        <v>1319</v>
      </c>
    </row>
    <row r="159" spans="1:17">
      <c r="A159" t="s">
        <v>43</v>
      </c>
      <c r="B159" t="str">
        <f t="shared" si="4"/>
        <v>HOUMD</v>
      </c>
      <c r="C159">
        <v>210129</v>
      </c>
      <c r="D159" t="s">
        <v>1485</v>
      </c>
      <c r="E159">
        <v>1333</v>
      </c>
      <c r="F159" t="s">
        <v>24</v>
      </c>
      <c r="G159" t="str">
        <f t="shared" si="5"/>
        <v>Courtyard by Marriott Houston Medical Center/NRG Park</v>
      </c>
      <c r="H159" s="18">
        <v>46161</v>
      </c>
      <c r="O159" s="32" t="s">
        <v>1621</v>
      </c>
      <c r="P159" s="32" t="s">
        <v>1622</v>
      </c>
      <c r="Q159" s="32" t="s">
        <v>1621</v>
      </c>
    </row>
    <row r="160" spans="1:17">
      <c r="A160" t="s">
        <v>43</v>
      </c>
      <c r="B160" t="str">
        <f t="shared" si="4"/>
        <v>MCIMT</v>
      </c>
      <c r="C160">
        <v>210131</v>
      </c>
      <c r="D160" t="s">
        <v>1487</v>
      </c>
      <c r="E160">
        <v>1334</v>
      </c>
      <c r="F160" t="s">
        <v>24</v>
      </c>
      <c r="G160" t="str">
        <f t="shared" si="5"/>
        <v>SpringHill Suites by Marriott Kansas City Plaza</v>
      </c>
      <c r="H160" s="18">
        <v>46161</v>
      </c>
      <c r="O160" s="32" t="s">
        <v>1641</v>
      </c>
      <c r="P160" s="32" t="s">
        <v>1642</v>
      </c>
      <c r="Q160" s="32" t="s">
        <v>1641</v>
      </c>
    </row>
    <row r="161" spans="1:17">
      <c r="A161" t="s">
        <v>43</v>
      </c>
      <c r="B161" t="str">
        <f t="shared" si="4"/>
        <v>DALTE</v>
      </c>
      <c r="C161">
        <v>210133</v>
      </c>
      <c r="D161" t="s">
        <v>1489</v>
      </c>
      <c r="E161">
        <v>1335</v>
      </c>
      <c r="F161" t="s">
        <v>24</v>
      </c>
      <c r="G161" t="str">
        <f t="shared" si="5"/>
        <v>Fairfield by Marriott Inn &amp; Suites Terrell</v>
      </c>
      <c r="H161" s="18">
        <v>46161</v>
      </c>
      <c r="O161" s="32" t="s">
        <v>1375</v>
      </c>
      <c r="P161" s="32" t="s">
        <v>1376</v>
      </c>
      <c r="Q161" s="32" t="s">
        <v>1375</v>
      </c>
    </row>
    <row r="162" spans="1:17">
      <c r="A162" t="s">
        <v>43</v>
      </c>
      <c r="B162" t="str">
        <f t="shared" si="4"/>
        <v>MTOEF</v>
      </c>
      <c r="C162">
        <v>210135</v>
      </c>
      <c r="D162" t="s">
        <v>1491</v>
      </c>
      <c r="E162">
        <v>1336</v>
      </c>
      <c r="F162" t="s">
        <v>24</v>
      </c>
      <c r="G162" t="str">
        <f t="shared" si="5"/>
        <v>Fairfield by Marriott Inn &amp; Suites Effingham</v>
      </c>
      <c r="H162" s="18">
        <v>46161</v>
      </c>
      <c r="O162" s="32" t="s">
        <v>1601</v>
      </c>
      <c r="P162" s="32" t="s">
        <v>1602</v>
      </c>
      <c r="Q162" s="32" t="s">
        <v>1601</v>
      </c>
    </row>
    <row r="163" spans="1:17">
      <c r="A163" t="s">
        <v>43</v>
      </c>
      <c r="B163" t="str">
        <f t="shared" si="4"/>
        <v>MCICO</v>
      </c>
      <c r="C163">
        <v>210137</v>
      </c>
      <c r="D163" t="s">
        <v>1493</v>
      </c>
      <c r="E163">
        <v>1337</v>
      </c>
      <c r="F163" t="s">
        <v>24</v>
      </c>
      <c r="G163" t="str">
        <f t="shared" si="5"/>
        <v>Courtyard by Marriott Kansas City Olathe</v>
      </c>
      <c r="H163" s="18">
        <v>46161</v>
      </c>
      <c r="O163" s="32" t="s">
        <v>1235</v>
      </c>
      <c r="P163" s="32" t="s">
        <v>1236</v>
      </c>
      <c r="Q163" s="32" t="s">
        <v>1235</v>
      </c>
    </row>
    <row r="164" spans="1:17">
      <c r="A164" t="s">
        <v>43</v>
      </c>
      <c r="B164" t="str">
        <f t="shared" si="4"/>
        <v>WCTNW</v>
      </c>
      <c r="C164">
        <v>210139</v>
      </c>
      <c r="D164" t="s">
        <v>1495</v>
      </c>
      <c r="E164">
        <v>1338</v>
      </c>
      <c r="F164" t="s">
        <v>24</v>
      </c>
      <c r="G164" t="str">
        <f t="shared" si="5"/>
        <v>Fairfield by Marriott Inn &amp; Suites Wichita Falls Northwest</v>
      </c>
      <c r="H164" s="18">
        <v>46161</v>
      </c>
      <c r="O164" s="32" t="s">
        <v>1285</v>
      </c>
      <c r="P164" s="32" t="s">
        <v>1286</v>
      </c>
      <c r="Q164" s="32" t="s">
        <v>1285</v>
      </c>
    </row>
    <row r="165" spans="1:17">
      <c r="A165" t="s">
        <v>43</v>
      </c>
      <c r="B165" t="str">
        <f t="shared" si="4"/>
        <v>DALFC</v>
      </c>
      <c r="C165">
        <v>210141</v>
      </c>
      <c r="D165" t="s">
        <v>1497</v>
      </c>
      <c r="E165">
        <v>1339</v>
      </c>
      <c r="F165" t="s">
        <v>24</v>
      </c>
      <c r="G165" t="str">
        <f t="shared" si="5"/>
        <v>Fairfield by Marriott Inn &amp; Suites Dallas DFW Airport North/Coppell Grapevine</v>
      </c>
      <c r="H165" s="18">
        <v>46161</v>
      </c>
      <c r="O165" s="32" t="s">
        <v>1187</v>
      </c>
      <c r="P165" s="32" t="s">
        <v>1188</v>
      </c>
      <c r="Q165" s="32" t="s">
        <v>1187</v>
      </c>
    </row>
    <row r="166" spans="1:17">
      <c r="A166" t="s">
        <v>43</v>
      </c>
      <c r="B166" t="str">
        <f t="shared" si="4"/>
        <v>MCISN</v>
      </c>
      <c r="C166">
        <v>210143</v>
      </c>
      <c r="D166" t="s">
        <v>1499</v>
      </c>
      <c r="E166">
        <v>1340</v>
      </c>
      <c r="F166" t="s">
        <v>24</v>
      </c>
      <c r="G166" t="str">
        <f t="shared" si="5"/>
        <v>SpringHill Suites by Marriott Kansas City Northeast</v>
      </c>
      <c r="H166" s="18">
        <v>46161</v>
      </c>
      <c r="O166" s="32" t="s">
        <v>1317</v>
      </c>
      <c r="P166" s="32" t="s">
        <v>1318</v>
      </c>
      <c r="Q166" s="32" t="s">
        <v>1317</v>
      </c>
    </row>
    <row r="167" spans="1:17">
      <c r="A167" t="s">
        <v>43</v>
      </c>
      <c r="B167" t="str">
        <f t="shared" si="4"/>
        <v>DFWOS</v>
      </c>
      <c r="C167">
        <v>210145</v>
      </c>
      <c r="D167" t="s">
        <v>1501</v>
      </c>
      <c r="E167">
        <v>1343</v>
      </c>
      <c r="F167" t="s">
        <v>24</v>
      </c>
      <c r="G167" t="str">
        <f t="shared" si="5"/>
        <v>SpringHill Suites by Marriott Fort Worth Fossil Creek</v>
      </c>
      <c r="H167" s="18">
        <v>46161</v>
      </c>
      <c r="O167" s="32" t="s">
        <v>1277</v>
      </c>
      <c r="P167" s="32" t="s">
        <v>1278</v>
      </c>
      <c r="Q167" s="32" t="s">
        <v>1277</v>
      </c>
    </row>
    <row r="168" spans="1:17">
      <c r="A168" t="s">
        <v>43</v>
      </c>
      <c r="B168" t="str">
        <f t="shared" si="4"/>
        <v>HOUSH</v>
      </c>
      <c r="C168">
        <v>210147</v>
      </c>
      <c r="D168" t="s">
        <v>1503</v>
      </c>
      <c r="E168">
        <v>1344</v>
      </c>
      <c r="F168" t="s">
        <v>24</v>
      </c>
      <c r="G168" t="str">
        <f t="shared" si="5"/>
        <v>SpringHill Suites by Marriott Houston Brookhollow</v>
      </c>
      <c r="H168" s="18">
        <v>46161</v>
      </c>
      <c r="O168" s="32" t="s">
        <v>1593</v>
      </c>
      <c r="P168" s="32" t="s">
        <v>1594</v>
      </c>
      <c r="Q168" s="32" t="s">
        <v>1593</v>
      </c>
    </row>
    <row r="169" spans="1:17">
      <c r="A169" t="s">
        <v>43</v>
      </c>
      <c r="B169" t="str">
        <f t="shared" si="4"/>
        <v>MCIXA</v>
      </c>
      <c r="C169">
        <v>210149</v>
      </c>
      <c r="D169" t="s">
        <v>1505</v>
      </c>
      <c r="E169">
        <v>1345</v>
      </c>
      <c r="F169" t="s">
        <v>24</v>
      </c>
      <c r="G169" t="str">
        <f t="shared" si="5"/>
        <v>SpringHill Suites by Marriott Kansas City Lenexa/City Center</v>
      </c>
      <c r="H169" s="18">
        <v>46161</v>
      </c>
      <c r="O169" s="32" t="s">
        <v>1657</v>
      </c>
      <c r="P169" s="32" t="s">
        <v>1658</v>
      </c>
      <c r="Q169" s="32" t="s">
        <v>1657</v>
      </c>
    </row>
    <row r="170" spans="1:17">
      <c r="A170" t="s">
        <v>43</v>
      </c>
      <c r="B170" t="str">
        <f t="shared" si="4"/>
        <v>DALSX</v>
      </c>
      <c r="C170">
        <v>210151</v>
      </c>
      <c r="D170" t="s">
        <v>1507</v>
      </c>
      <c r="E170">
        <v>1346</v>
      </c>
      <c r="F170" t="s">
        <v>24</v>
      </c>
      <c r="G170" t="str">
        <f t="shared" si="5"/>
        <v>SpringHill Suites by Marriott Dallas Central Expressway</v>
      </c>
      <c r="H170" s="18">
        <v>46161</v>
      </c>
      <c r="O170" s="32" t="s">
        <v>1653</v>
      </c>
      <c r="P170" s="32" t="s">
        <v>1654</v>
      </c>
      <c r="Q170" s="32" t="s">
        <v>1653</v>
      </c>
    </row>
    <row r="171" spans="1:17">
      <c r="A171" t="s">
        <v>43</v>
      </c>
      <c r="B171" t="str">
        <f t="shared" si="4"/>
        <v>DFWFI</v>
      </c>
      <c r="C171">
        <v>210153</v>
      </c>
      <c r="D171" t="s">
        <v>1509</v>
      </c>
      <c r="E171">
        <v>1347</v>
      </c>
      <c r="F171" t="s">
        <v>24</v>
      </c>
      <c r="G171" t="str">
        <f t="shared" si="5"/>
        <v>Fairfield by Marriott Inn &amp; Suites Fort Worth Southwest at Cityview</v>
      </c>
      <c r="H171" s="18">
        <v>46161</v>
      </c>
      <c r="O171" s="32" t="s">
        <v>1313</v>
      </c>
      <c r="P171" s="32" t="s">
        <v>1314</v>
      </c>
      <c r="Q171" s="32" t="s">
        <v>1313</v>
      </c>
    </row>
    <row r="172" spans="1:17">
      <c r="A172" t="s">
        <v>43</v>
      </c>
      <c r="B172" t="str">
        <f t="shared" si="4"/>
        <v>DFWFD</v>
      </c>
      <c r="C172">
        <v>210155</v>
      </c>
      <c r="D172" t="s">
        <v>1511</v>
      </c>
      <c r="E172">
        <v>1348</v>
      </c>
      <c r="F172" t="s">
        <v>24</v>
      </c>
      <c r="G172" t="str">
        <f t="shared" si="5"/>
        <v>Fairfield by Marriott Inn &amp; Suites Fort Worth Downtown/Convention Center</v>
      </c>
      <c r="H172" s="18">
        <v>46161</v>
      </c>
      <c r="O172" s="32" t="s">
        <v>1229</v>
      </c>
      <c r="P172" s="32" t="s">
        <v>1230</v>
      </c>
      <c r="Q172" s="32" t="s">
        <v>1229</v>
      </c>
    </row>
    <row r="173" spans="1:17">
      <c r="A173" t="s">
        <v>43</v>
      </c>
      <c r="B173" t="str">
        <f t="shared" si="4"/>
        <v>MCIKW</v>
      </c>
      <c r="C173">
        <v>210157</v>
      </c>
      <c r="D173" t="s">
        <v>1513</v>
      </c>
      <c r="E173">
        <v>1349</v>
      </c>
      <c r="F173" t="s">
        <v>24</v>
      </c>
      <c r="G173" t="str">
        <f t="shared" si="5"/>
        <v>Fairfield by Marriott Inn &amp; Suites Kansas City Shawnee</v>
      </c>
      <c r="H173" s="18">
        <v>46161</v>
      </c>
      <c r="O173" s="32" t="s">
        <v>1193</v>
      </c>
      <c r="P173" s="32" t="s">
        <v>1194</v>
      </c>
      <c r="Q173" s="32" t="s">
        <v>1193</v>
      </c>
    </row>
    <row r="174" spans="1:17">
      <c r="A174" t="s">
        <v>43</v>
      </c>
      <c r="B174" t="str">
        <f t="shared" si="4"/>
        <v>DFWBU</v>
      </c>
      <c r="C174">
        <v>210159</v>
      </c>
      <c r="D174" t="s">
        <v>1515</v>
      </c>
      <c r="E174">
        <v>1350</v>
      </c>
      <c r="F174" t="s">
        <v>24</v>
      </c>
      <c r="G174" t="str">
        <f t="shared" si="5"/>
        <v>Fairfield by Marriott Inn &amp; Suites Fort Worth South/Burleson</v>
      </c>
      <c r="H174" s="18">
        <v>46161</v>
      </c>
      <c r="O174" s="32" t="s">
        <v>1355</v>
      </c>
      <c r="P174" s="32" t="s">
        <v>1356</v>
      </c>
      <c r="Q174" s="32" t="s">
        <v>1355</v>
      </c>
    </row>
    <row r="175" spans="1:17">
      <c r="A175" t="s">
        <v>43</v>
      </c>
      <c r="B175" t="str">
        <f t="shared" si="4"/>
        <v>MCINR</v>
      </c>
      <c r="C175">
        <v>210161</v>
      </c>
      <c r="D175" t="s">
        <v>1517</v>
      </c>
      <c r="E175">
        <v>1351</v>
      </c>
      <c r="F175" t="s">
        <v>24</v>
      </c>
      <c r="G175" t="str">
        <f t="shared" si="5"/>
        <v>SpringHill Suites by Marriott Kansas City Airport</v>
      </c>
      <c r="H175" s="18">
        <v>46161</v>
      </c>
      <c r="O175" s="32" t="s">
        <v>1283</v>
      </c>
      <c r="P175" s="32" t="s">
        <v>1284</v>
      </c>
      <c r="Q175" s="32" t="s">
        <v>1283</v>
      </c>
    </row>
    <row r="176" spans="1:17">
      <c r="A176" t="s">
        <v>43</v>
      </c>
      <c r="B176" t="str">
        <f t="shared" si="4"/>
        <v>DFWSD</v>
      </c>
      <c r="C176">
        <v>210163</v>
      </c>
      <c r="D176" t="s">
        <v>1519</v>
      </c>
      <c r="E176">
        <v>1352</v>
      </c>
      <c r="F176" t="s">
        <v>24</v>
      </c>
      <c r="G176" t="str">
        <f t="shared" si="5"/>
        <v>SpringHill Suites by Marriott Denton</v>
      </c>
      <c r="H176" s="18">
        <v>46161</v>
      </c>
      <c r="O176" s="32" t="s">
        <v>1243</v>
      </c>
      <c r="P176" s="32" t="s">
        <v>1244</v>
      </c>
      <c r="Q176" s="32" t="s">
        <v>1243</v>
      </c>
    </row>
    <row r="177" spans="1:17">
      <c r="A177" t="s">
        <v>43</v>
      </c>
      <c r="B177" t="str">
        <f t="shared" si="4"/>
        <v>DFWDE</v>
      </c>
      <c r="C177">
        <v>210165</v>
      </c>
      <c r="D177" t="s">
        <v>1521</v>
      </c>
      <c r="E177">
        <v>1353</v>
      </c>
      <c r="F177" t="s">
        <v>24</v>
      </c>
      <c r="G177" t="str">
        <f t="shared" si="5"/>
        <v>Courtyard by Marriott Denton</v>
      </c>
      <c r="H177" s="18">
        <v>46161</v>
      </c>
      <c r="O177" s="32" t="s">
        <v>1307</v>
      </c>
      <c r="P177" s="32" t="s">
        <v>1308</v>
      </c>
      <c r="Q177" s="32" t="s">
        <v>1307</v>
      </c>
    </row>
    <row r="178" spans="1:17">
      <c r="A178" t="s">
        <v>43</v>
      </c>
      <c r="B178" t="str">
        <f t="shared" si="4"/>
        <v>HOUSE</v>
      </c>
      <c r="C178">
        <v>210167</v>
      </c>
      <c r="D178" t="s">
        <v>1523</v>
      </c>
      <c r="E178">
        <v>1355</v>
      </c>
      <c r="F178" t="s">
        <v>24</v>
      </c>
      <c r="G178" t="str">
        <f t="shared" si="5"/>
        <v>SpringHill Suites by Marriott Houston NASA/Seabrook</v>
      </c>
      <c r="H178" s="18">
        <v>46161</v>
      </c>
      <c r="O178" s="32" t="s">
        <v>1219</v>
      </c>
      <c r="P178" s="32" t="s">
        <v>1220</v>
      </c>
      <c r="Q178" s="32" t="s">
        <v>1219</v>
      </c>
    </row>
    <row r="179" spans="1:17">
      <c r="A179" t="s">
        <v>43</v>
      </c>
      <c r="B179" t="str">
        <f t="shared" si="4"/>
        <v>HOUNA</v>
      </c>
      <c r="C179">
        <v>210169</v>
      </c>
      <c r="D179" t="s">
        <v>1525</v>
      </c>
      <c r="E179">
        <v>1356</v>
      </c>
      <c r="F179" t="s">
        <v>24</v>
      </c>
      <c r="G179" t="str">
        <f t="shared" si="5"/>
        <v>Fairfield by Marriott Inn &amp; Suites Houston NASA/Webster</v>
      </c>
      <c r="H179" s="18">
        <v>46161</v>
      </c>
      <c r="O179" s="32" t="s">
        <v>1185</v>
      </c>
      <c r="P179" s="32" t="s">
        <v>1186</v>
      </c>
      <c r="Q179" s="32" t="s">
        <v>1185</v>
      </c>
    </row>
    <row r="180" spans="1:17">
      <c r="A180" t="s">
        <v>43</v>
      </c>
      <c r="B180" t="str">
        <f t="shared" si="4"/>
        <v>DFWFR</v>
      </c>
      <c r="C180">
        <v>210171</v>
      </c>
      <c r="D180" t="s">
        <v>1527</v>
      </c>
      <c r="E180">
        <v>1357</v>
      </c>
      <c r="F180" t="s">
        <v>24</v>
      </c>
      <c r="G180" t="str">
        <f t="shared" si="5"/>
        <v>Fairfield by Marriott Inn &amp; Suites Fort Worth Northeast</v>
      </c>
      <c r="H180" s="18">
        <v>46161</v>
      </c>
      <c r="O180" s="32" t="s">
        <v>1333</v>
      </c>
      <c r="P180" s="32" t="s">
        <v>1334</v>
      </c>
      <c r="Q180" s="32" t="s">
        <v>1333</v>
      </c>
    </row>
    <row r="181" spans="1:17">
      <c r="A181" t="s">
        <v>43</v>
      </c>
      <c r="B181" t="str">
        <f t="shared" si="4"/>
        <v>PNCFI</v>
      </c>
      <c r="C181">
        <v>210173</v>
      </c>
      <c r="D181" t="s">
        <v>1529</v>
      </c>
      <c r="E181">
        <v>1358</v>
      </c>
      <c r="F181" t="s">
        <v>24</v>
      </c>
      <c r="G181" t="str">
        <f t="shared" si="5"/>
        <v>Fairfield by Marriott Inn &amp; Suites Ponca City</v>
      </c>
      <c r="H181" s="18">
        <v>46161</v>
      </c>
      <c r="O181" s="32" t="s">
        <v>1311</v>
      </c>
      <c r="P181" s="32" t="s">
        <v>1312</v>
      </c>
      <c r="Q181" s="32" t="s">
        <v>1311</v>
      </c>
    </row>
    <row r="182" spans="1:17">
      <c r="A182" t="s">
        <v>43</v>
      </c>
      <c r="B182" t="str">
        <f t="shared" si="4"/>
        <v>MCIFE</v>
      </c>
      <c r="C182">
        <v>210175</v>
      </c>
      <c r="D182" t="s">
        <v>1531</v>
      </c>
      <c r="E182">
        <v>1360</v>
      </c>
      <c r="F182" t="s">
        <v>24</v>
      </c>
      <c r="G182" t="str">
        <f t="shared" si="5"/>
        <v>Fairfield by Marriott Inn &amp; Suites Kansas City Belton</v>
      </c>
      <c r="H182" s="18">
        <v>46161</v>
      </c>
      <c r="O182" s="32" t="s">
        <v>1245</v>
      </c>
      <c r="P182" s="32" t="s">
        <v>1246</v>
      </c>
      <c r="Q182" s="32" t="s">
        <v>1245</v>
      </c>
    </row>
    <row r="183" spans="1:17">
      <c r="A183" t="s">
        <v>43</v>
      </c>
      <c r="B183" t="str">
        <f t="shared" si="4"/>
        <v>DFWFN</v>
      </c>
      <c r="C183">
        <v>210177</v>
      </c>
      <c r="D183" t="s">
        <v>1533</v>
      </c>
      <c r="E183">
        <v>1361</v>
      </c>
      <c r="F183" t="s">
        <v>24</v>
      </c>
      <c r="G183" t="str">
        <f t="shared" si="5"/>
        <v>Fairfield by Marriott Inn &amp; Suites Dallas DFW Airport North/ Irving</v>
      </c>
      <c r="H183" s="18">
        <v>46161</v>
      </c>
      <c r="O183" s="32" t="s">
        <v>1567</v>
      </c>
      <c r="P183" s="32" t="s">
        <v>1568</v>
      </c>
      <c r="Q183" s="32" t="s">
        <v>1567</v>
      </c>
    </row>
    <row r="184" spans="1:17">
      <c r="A184" t="s">
        <v>43</v>
      </c>
      <c r="B184" t="str">
        <f t="shared" si="4"/>
        <v>HOUFX</v>
      </c>
      <c r="C184">
        <v>210179</v>
      </c>
      <c r="D184" t="s">
        <v>1535</v>
      </c>
      <c r="E184">
        <v>1362</v>
      </c>
      <c r="F184" t="s">
        <v>24</v>
      </c>
      <c r="G184" t="str">
        <f t="shared" si="5"/>
        <v>Fairfield by Marriott Inn &amp; Suites Houston Northwest/Willowbrook</v>
      </c>
      <c r="H184" s="18">
        <v>46161</v>
      </c>
      <c r="O184" s="32" t="s">
        <v>1303</v>
      </c>
      <c r="P184" s="32" t="s">
        <v>1304</v>
      </c>
      <c r="Q184" s="32" t="s">
        <v>1303</v>
      </c>
    </row>
    <row r="185" spans="1:17">
      <c r="A185" t="s">
        <v>43</v>
      </c>
      <c r="B185" t="str">
        <f t="shared" si="4"/>
        <v>LGVCY</v>
      </c>
      <c r="C185">
        <v>210181</v>
      </c>
      <c r="D185" t="s">
        <v>1537</v>
      </c>
      <c r="E185">
        <v>1365</v>
      </c>
      <c r="F185" t="s">
        <v>24</v>
      </c>
      <c r="G185" t="str">
        <f t="shared" si="5"/>
        <v>Courtyard by Marriott Longview North</v>
      </c>
      <c r="H185" s="18">
        <v>46161</v>
      </c>
      <c r="O185" s="32" t="s">
        <v>1189</v>
      </c>
      <c r="P185" s="32" t="s">
        <v>1190</v>
      </c>
      <c r="Q185" s="32" t="s">
        <v>1189</v>
      </c>
    </row>
    <row r="186" spans="1:17">
      <c r="A186" t="s">
        <v>43</v>
      </c>
      <c r="B186" t="str">
        <f t="shared" si="4"/>
        <v>MCIFL</v>
      </c>
      <c r="C186">
        <v>210183</v>
      </c>
      <c r="D186" t="s">
        <v>1539</v>
      </c>
      <c r="E186">
        <v>1366</v>
      </c>
      <c r="F186" t="s">
        <v>24</v>
      </c>
      <c r="G186" t="str">
        <f t="shared" si="5"/>
        <v>Fairfield by Marriott Inn &amp; Suites Kansas City at The Legends</v>
      </c>
      <c r="H186" s="18">
        <v>46161</v>
      </c>
      <c r="O186" s="32" t="s">
        <v>1255</v>
      </c>
      <c r="P186" s="32" t="s">
        <v>1256</v>
      </c>
      <c r="Q186" s="32" t="s">
        <v>1255</v>
      </c>
    </row>
    <row r="187" spans="1:17">
      <c r="A187" t="s">
        <v>43</v>
      </c>
      <c r="B187" t="str">
        <f t="shared" si="4"/>
        <v>DALFA</v>
      </c>
      <c r="C187">
        <v>210185</v>
      </c>
      <c r="D187" t="s">
        <v>1541</v>
      </c>
      <c r="E187">
        <v>1367</v>
      </c>
      <c r="F187" t="s">
        <v>24</v>
      </c>
      <c r="G187" t="str">
        <f t="shared" si="5"/>
        <v>Fairfield by Marriott Inn &amp; Suites Dallas Arlington South</v>
      </c>
      <c r="H187" s="18">
        <v>46161</v>
      </c>
      <c r="O187" s="32" t="s">
        <v>1227</v>
      </c>
      <c r="P187" s="32" t="s">
        <v>1228</v>
      </c>
      <c r="Q187" s="32" t="s">
        <v>1227</v>
      </c>
    </row>
    <row r="188" spans="1:17">
      <c r="A188" t="s">
        <v>43</v>
      </c>
      <c r="B188" t="str">
        <f t="shared" si="4"/>
        <v>ELPFI</v>
      </c>
      <c r="C188">
        <v>210187</v>
      </c>
      <c r="D188" t="s">
        <v>1543</v>
      </c>
      <c r="E188">
        <v>1368</v>
      </c>
      <c r="F188" t="s">
        <v>24</v>
      </c>
      <c r="G188" t="str">
        <f t="shared" si="5"/>
        <v>Fairfield by Marriott Inn &amp; Suites El Paso</v>
      </c>
      <c r="H188" s="18">
        <v>46161</v>
      </c>
      <c r="O188" s="32" t="s">
        <v>1253</v>
      </c>
      <c r="P188" s="32" t="s">
        <v>1254</v>
      </c>
      <c r="Q188" s="32" t="s">
        <v>1253</v>
      </c>
    </row>
    <row r="189" spans="1:17">
      <c r="A189" t="s">
        <v>43</v>
      </c>
      <c r="B189" t="str">
        <f t="shared" si="4"/>
        <v>YYCAD</v>
      </c>
      <c r="C189">
        <v>210189</v>
      </c>
      <c r="D189" t="s">
        <v>1545</v>
      </c>
      <c r="E189">
        <v>1369</v>
      </c>
      <c r="F189" t="s">
        <v>24</v>
      </c>
      <c r="G189" t="str">
        <f t="shared" si="5"/>
        <v>Fairfield by Marriott Inn &amp; Suites Airdrie</v>
      </c>
      <c r="H189" s="18">
        <v>46161</v>
      </c>
      <c r="O189" s="32" t="s">
        <v>1529</v>
      </c>
      <c r="P189" s="32" t="s">
        <v>1530</v>
      </c>
      <c r="Q189" s="32" t="s">
        <v>1529</v>
      </c>
    </row>
    <row r="190" spans="1:17">
      <c r="A190" t="s">
        <v>43</v>
      </c>
      <c r="B190" t="str">
        <f t="shared" si="4"/>
        <v>LRUCY</v>
      </c>
      <c r="C190">
        <v>210191</v>
      </c>
      <c r="D190" t="s">
        <v>1547</v>
      </c>
      <c r="E190">
        <v>1370</v>
      </c>
      <c r="F190" t="s">
        <v>24</v>
      </c>
      <c r="G190" t="str">
        <f t="shared" si="5"/>
        <v>Courtyard by Marriott Las Cruces at NMSU</v>
      </c>
      <c r="H190" s="18">
        <v>46161</v>
      </c>
      <c r="O190" s="32" t="s">
        <v>1435</v>
      </c>
      <c r="P190" s="32" t="s">
        <v>1436</v>
      </c>
      <c r="Q190" s="32" t="s">
        <v>1435</v>
      </c>
    </row>
    <row r="191" spans="1:17">
      <c r="A191" t="s">
        <v>43</v>
      </c>
      <c r="B191" t="str">
        <f t="shared" si="4"/>
        <v>SAFCY</v>
      </c>
      <c r="C191">
        <v>210193</v>
      </c>
      <c r="D191" t="s">
        <v>1549</v>
      </c>
      <c r="E191">
        <v>1371</v>
      </c>
      <c r="F191" t="s">
        <v>24</v>
      </c>
      <c r="G191" t="str">
        <f t="shared" si="5"/>
        <v>Courtyard by Marriott Santa Fe</v>
      </c>
      <c r="H191" s="18">
        <v>46161</v>
      </c>
      <c r="O191" s="32" t="s">
        <v>1571</v>
      </c>
      <c r="P191" s="32" t="s">
        <v>1572</v>
      </c>
      <c r="Q191" s="32" t="s">
        <v>1571</v>
      </c>
    </row>
    <row r="192" spans="1:17">
      <c r="A192" t="s">
        <v>43</v>
      </c>
      <c r="B192" t="str">
        <f t="shared" si="4"/>
        <v>ABQFN</v>
      </c>
      <c r="C192">
        <v>210195</v>
      </c>
      <c r="D192" t="s">
        <v>1551</v>
      </c>
      <c r="E192">
        <v>1372</v>
      </c>
      <c r="F192" t="s">
        <v>24</v>
      </c>
      <c r="G192" t="str">
        <f t="shared" si="5"/>
        <v>Fairfield by Marriott Inn &amp; Suites Albuquerque North</v>
      </c>
      <c r="H192" s="18">
        <v>46161</v>
      </c>
      <c r="O192" s="32" t="s">
        <v>1173</v>
      </c>
      <c r="P192" s="32" t="s">
        <v>1174</v>
      </c>
      <c r="Q192" s="32" t="s">
        <v>1173</v>
      </c>
    </row>
    <row r="193" spans="1:17">
      <c r="A193" t="s">
        <v>43</v>
      </c>
      <c r="B193" t="str">
        <f t="shared" ref="B193:B254" si="6">_xlfn.XLOOKUP(D193,O:O,Q:Q,"Not Found")</f>
        <v>SLCJO</v>
      </c>
      <c r="C193">
        <v>210197</v>
      </c>
      <c r="D193" t="s">
        <v>1553</v>
      </c>
      <c r="E193">
        <v>1373</v>
      </c>
      <c r="F193" t="s">
        <v>24</v>
      </c>
      <c r="G193" t="str">
        <f t="shared" ref="G193:G254" si="7">_xlfn.XLOOKUP(D193,O:O,P:P,"Not Found")</f>
        <v>SpringHill Suites by Marriott Salt Lake City-South Jordan</v>
      </c>
      <c r="H193" s="18">
        <v>46161</v>
      </c>
      <c r="O193" s="32" t="s">
        <v>1561</v>
      </c>
      <c r="P193" s="32" t="s">
        <v>1562</v>
      </c>
      <c r="Q193" s="32" t="s">
        <v>1561</v>
      </c>
    </row>
    <row r="194" spans="1:17">
      <c r="A194" t="s">
        <v>43</v>
      </c>
      <c r="B194" t="str">
        <f t="shared" si="6"/>
        <v>TUSAD</v>
      </c>
      <c r="C194">
        <v>210199</v>
      </c>
      <c r="D194" t="s">
        <v>1555</v>
      </c>
      <c r="E194">
        <v>1374</v>
      </c>
      <c r="F194" t="s">
        <v>24</v>
      </c>
      <c r="G194" t="str">
        <f t="shared" si="7"/>
        <v>AC Hotel Tucson Downtown</v>
      </c>
      <c r="H194" s="18">
        <v>46161</v>
      </c>
      <c r="O194" s="32" t="s">
        <v>1179</v>
      </c>
      <c r="P194" s="32" t="s">
        <v>1180</v>
      </c>
      <c r="Q194" s="32" t="s">
        <v>1179</v>
      </c>
    </row>
    <row r="195" spans="1:17">
      <c r="A195" t="s">
        <v>43</v>
      </c>
      <c r="B195" t="str">
        <f t="shared" si="6"/>
        <v>ALSFI</v>
      </c>
      <c r="C195">
        <v>210201</v>
      </c>
      <c r="D195" t="s">
        <v>1557</v>
      </c>
      <c r="E195">
        <v>1375</v>
      </c>
      <c r="F195" t="s">
        <v>24</v>
      </c>
      <c r="G195" t="str">
        <f t="shared" si="7"/>
        <v>Fairfield by Marriott Inn &amp; Suites Alamosa</v>
      </c>
      <c r="H195" s="18">
        <v>46161</v>
      </c>
      <c r="O195" s="32" t="s">
        <v>1619</v>
      </c>
      <c r="P195" s="32" t="s">
        <v>1620</v>
      </c>
      <c r="Q195" s="32" t="s">
        <v>1619</v>
      </c>
    </row>
    <row r="196" spans="1:17">
      <c r="A196" t="s">
        <v>43</v>
      </c>
      <c r="B196" t="str">
        <f t="shared" si="6"/>
        <v>VBOFI</v>
      </c>
      <c r="C196">
        <v>210203</v>
      </c>
      <c r="D196" t="s">
        <v>1559</v>
      </c>
      <c r="E196">
        <v>1376</v>
      </c>
      <c r="F196" t="s">
        <v>24</v>
      </c>
      <c r="G196" t="str">
        <f t="shared" si="7"/>
        <v>Fairfield by Marriott Inn &amp; Suites Boulder Longmont</v>
      </c>
      <c r="H196" s="18">
        <v>46161</v>
      </c>
      <c r="O196" s="32" t="s">
        <v>1247</v>
      </c>
      <c r="P196" s="32" t="s">
        <v>1248</v>
      </c>
      <c r="Q196" s="32" t="s">
        <v>1247</v>
      </c>
    </row>
    <row r="197" spans="1:17">
      <c r="A197" t="s">
        <v>43</v>
      </c>
      <c r="B197" t="str">
        <f t="shared" si="6"/>
        <v>PUBCY</v>
      </c>
      <c r="C197">
        <v>210205</v>
      </c>
      <c r="D197" t="s">
        <v>1561</v>
      </c>
      <c r="E197">
        <v>1377</v>
      </c>
      <c r="F197" t="s">
        <v>24</v>
      </c>
      <c r="G197" t="str">
        <f t="shared" si="7"/>
        <v>Courtyard by Marriott Pueblo Downtown</v>
      </c>
      <c r="H197" s="18">
        <v>46161</v>
      </c>
      <c r="O197" s="32" t="s">
        <v>1233</v>
      </c>
      <c r="P197" s="32" t="s">
        <v>1234</v>
      </c>
      <c r="Q197" s="32" t="s">
        <v>1233</v>
      </c>
    </row>
    <row r="198" spans="1:17">
      <c r="A198" t="s">
        <v>43</v>
      </c>
      <c r="B198" t="str">
        <f t="shared" si="6"/>
        <v>COSCS</v>
      </c>
      <c r="C198">
        <v>210207</v>
      </c>
      <c r="D198" t="s">
        <v>1563</v>
      </c>
      <c r="E198">
        <v>1378</v>
      </c>
      <c r="F198" t="s">
        <v>24</v>
      </c>
      <c r="G198" t="str">
        <f t="shared" si="7"/>
        <v>Courtyard by Marriott Colorado Springs South</v>
      </c>
      <c r="H198" s="18">
        <v>46161</v>
      </c>
      <c r="O198" s="32" t="s">
        <v>1675</v>
      </c>
      <c r="P198" s="32" t="s">
        <v>1676</v>
      </c>
      <c r="Q198" s="32" t="s">
        <v>1675</v>
      </c>
    </row>
    <row r="199" spans="1:17">
      <c r="A199" t="s">
        <v>43</v>
      </c>
      <c r="B199" t="str">
        <f t="shared" si="6"/>
        <v>RWLFI</v>
      </c>
      <c r="C199">
        <v>210209</v>
      </c>
      <c r="D199" t="s">
        <v>1565</v>
      </c>
      <c r="E199">
        <v>1379</v>
      </c>
      <c r="F199" t="s">
        <v>24</v>
      </c>
      <c r="G199" t="str">
        <f t="shared" si="7"/>
        <v>Fairfield by Marriott Inn &amp; Suites Rawlins</v>
      </c>
      <c r="H199" s="18">
        <v>46161</v>
      </c>
      <c r="O199" s="32" t="s">
        <v>1565</v>
      </c>
      <c r="P199" s="32" t="s">
        <v>1566</v>
      </c>
      <c r="Q199" s="32" t="s">
        <v>1565</v>
      </c>
    </row>
    <row r="200" spans="1:17">
      <c r="A200" t="s">
        <v>43</v>
      </c>
      <c r="B200" t="str">
        <f t="shared" si="6"/>
        <v>PHXAS</v>
      </c>
      <c r="C200">
        <v>210211</v>
      </c>
      <c r="D200" t="s">
        <v>1567</v>
      </c>
      <c r="E200">
        <v>1380</v>
      </c>
      <c r="F200" t="s">
        <v>24</v>
      </c>
      <c r="G200" t="str">
        <f t="shared" si="7"/>
        <v>Fairfield by Marriott Inn &amp; Suites Phoenix Midtown</v>
      </c>
      <c r="H200" s="18">
        <v>46161</v>
      </c>
      <c r="O200" s="32" t="s">
        <v>1665</v>
      </c>
      <c r="P200" s="32" t="s">
        <v>1666</v>
      </c>
      <c r="Q200" s="32" t="s">
        <v>1665</v>
      </c>
    </row>
    <row r="201" spans="1:17">
      <c r="A201" t="s">
        <v>43</v>
      </c>
      <c r="B201" t="str">
        <f t="shared" si="6"/>
        <v>ABQFA</v>
      </c>
      <c r="C201">
        <v>210213</v>
      </c>
      <c r="D201" t="s">
        <v>1569</v>
      </c>
      <c r="E201">
        <v>1381</v>
      </c>
      <c r="F201" t="s">
        <v>24</v>
      </c>
      <c r="G201" t="str">
        <f t="shared" si="7"/>
        <v>Fairfield by Marriott Inn &amp; Suites Albuquerque Airport</v>
      </c>
      <c r="H201" s="18">
        <v>46161</v>
      </c>
      <c r="O201" s="32" t="s">
        <v>1549</v>
      </c>
      <c r="P201" s="32" t="s">
        <v>1550</v>
      </c>
      <c r="Q201" s="32" t="s">
        <v>1549</v>
      </c>
    </row>
    <row r="202" spans="1:17">
      <c r="A202" t="s">
        <v>43</v>
      </c>
      <c r="B202" t="str">
        <f t="shared" si="6"/>
        <v>PRCSH</v>
      </c>
      <c r="C202">
        <v>210215</v>
      </c>
      <c r="D202" t="s">
        <v>1571</v>
      </c>
      <c r="E202">
        <v>1382</v>
      </c>
      <c r="F202" t="s">
        <v>24</v>
      </c>
      <c r="G202" t="str">
        <f t="shared" si="7"/>
        <v>SpringHill Suites by Marriott Prescott</v>
      </c>
      <c r="H202" s="18">
        <v>46161</v>
      </c>
      <c r="O202" s="32" t="s">
        <v>1419</v>
      </c>
      <c r="P202" s="32" t="s">
        <v>1420</v>
      </c>
      <c r="Q202" s="32" t="s">
        <v>1419</v>
      </c>
    </row>
    <row r="203" spans="1:17">
      <c r="A203" t="s">
        <v>43</v>
      </c>
      <c r="B203" t="str">
        <f t="shared" si="6"/>
        <v>DROFI</v>
      </c>
      <c r="C203">
        <v>210217</v>
      </c>
      <c r="D203" t="s">
        <v>1573</v>
      </c>
      <c r="E203">
        <v>1383</v>
      </c>
      <c r="F203" t="s">
        <v>24</v>
      </c>
      <c r="G203" t="str">
        <f t="shared" si="7"/>
        <v>Fairfield by Marriott Inn &amp; Suites Durango</v>
      </c>
      <c r="H203" s="18">
        <v>46161</v>
      </c>
      <c r="O203" s="32" t="s">
        <v>1471</v>
      </c>
      <c r="P203" s="32" t="s">
        <v>1472</v>
      </c>
      <c r="Q203" s="32" t="s">
        <v>1471</v>
      </c>
    </row>
    <row r="204" spans="1:17">
      <c r="A204" t="s">
        <v>43</v>
      </c>
      <c r="B204" t="str">
        <f t="shared" si="6"/>
        <v>LAXCW</v>
      </c>
      <c r="C204">
        <v>210219</v>
      </c>
      <c r="D204" t="s">
        <v>1575</v>
      </c>
      <c r="E204">
        <v>1384</v>
      </c>
      <c r="F204" t="s">
        <v>24</v>
      </c>
      <c r="G204" t="str">
        <f t="shared" si="7"/>
        <v>Courtyard by Marriott Los Angeles Woodland Hills</v>
      </c>
      <c r="H204" s="18">
        <v>46161</v>
      </c>
      <c r="O204" s="32" t="s">
        <v>1469</v>
      </c>
      <c r="P204" s="32" t="s">
        <v>1470</v>
      </c>
      <c r="Q204" s="32" t="s">
        <v>1469</v>
      </c>
    </row>
    <row r="205" spans="1:17">
      <c r="A205" t="s">
        <v>43</v>
      </c>
      <c r="B205" t="str">
        <f t="shared" si="6"/>
        <v>SEADA</v>
      </c>
      <c r="C205">
        <v>210221</v>
      </c>
      <c r="D205" t="s">
        <v>1577</v>
      </c>
      <c r="E205">
        <v>1385</v>
      </c>
      <c r="F205" t="s">
        <v>24</v>
      </c>
      <c r="G205" t="str">
        <f t="shared" si="7"/>
        <v>AC Hotel Seattle Downtown</v>
      </c>
      <c r="H205" s="18">
        <v>46161</v>
      </c>
      <c r="O205" s="32" t="s">
        <v>1363</v>
      </c>
      <c r="P205" s="32" t="s">
        <v>1364</v>
      </c>
      <c r="Q205" s="32" t="s">
        <v>1363</v>
      </c>
    </row>
    <row r="206" spans="1:17">
      <c r="A206" t="s">
        <v>43</v>
      </c>
      <c r="B206" t="str">
        <f t="shared" si="6"/>
        <v>SEAXS</v>
      </c>
      <c r="C206">
        <v>210223</v>
      </c>
      <c r="D206" t="s">
        <v>1579</v>
      </c>
      <c r="E206">
        <v>1386</v>
      </c>
      <c r="F206" t="s">
        <v>24</v>
      </c>
      <c r="G206" t="str">
        <f t="shared" si="7"/>
        <v>SpringHill Suites by Marriott Seattle Issaquah</v>
      </c>
      <c r="H206" s="18">
        <v>46161</v>
      </c>
      <c r="O206" s="32" t="s">
        <v>1305</v>
      </c>
      <c r="P206" s="32" t="s">
        <v>1306</v>
      </c>
      <c r="Q206" s="32" t="s">
        <v>1305</v>
      </c>
    </row>
    <row r="207" spans="1:17">
      <c r="A207" t="s">
        <v>43</v>
      </c>
      <c r="B207" t="str">
        <f t="shared" si="6"/>
        <v>FATHF</v>
      </c>
      <c r="C207">
        <v>210225</v>
      </c>
      <c r="D207" t="s">
        <v>1581</v>
      </c>
      <c r="E207">
        <v>1387</v>
      </c>
      <c r="F207" t="s">
        <v>24</v>
      </c>
      <c r="G207" t="str">
        <f t="shared" si="7"/>
        <v>Fairfield by Marriott Inn &amp; Suites Hanford</v>
      </c>
      <c r="H207" s="18">
        <v>46161</v>
      </c>
      <c r="O207" s="32" t="s">
        <v>1647</v>
      </c>
      <c r="P207" s="32" t="s">
        <v>1648</v>
      </c>
      <c r="Q207" s="32" t="s">
        <v>1647</v>
      </c>
    </row>
    <row r="208" spans="1:17">
      <c r="A208" t="s">
        <v>43</v>
      </c>
      <c r="B208" t="str">
        <f t="shared" si="6"/>
        <v>SNAAD</v>
      </c>
      <c r="C208">
        <v>210227</v>
      </c>
      <c r="D208" t="s">
        <v>1583</v>
      </c>
      <c r="E208">
        <v>1388</v>
      </c>
      <c r="F208" t="s">
        <v>24</v>
      </c>
      <c r="G208" t="str">
        <f t="shared" si="7"/>
        <v>SpringHill Suites by Marriott at Anaheim Resort/Convention Center</v>
      </c>
      <c r="H208" s="18">
        <v>46161</v>
      </c>
      <c r="O208" s="32" t="s">
        <v>1609</v>
      </c>
      <c r="P208" s="32" t="s">
        <v>1610</v>
      </c>
      <c r="Q208" s="32" t="s">
        <v>1609</v>
      </c>
    </row>
    <row r="209" spans="1:17">
      <c r="A209" t="s">
        <v>43</v>
      </c>
      <c r="B209" t="str">
        <f t="shared" si="6"/>
        <v>LGBCL</v>
      </c>
      <c r="C209">
        <v>210229</v>
      </c>
      <c r="D209" t="s">
        <v>1585</v>
      </c>
      <c r="E209">
        <v>1389</v>
      </c>
      <c r="F209" t="s">
        <v>24</v>
      </c>
      <c r="G209" t="str">
        <f t="shared" si="7"/>
        <v>Courtyard by Marriott Long Beach Airport</v>
      </c>
      <c r="H209" s="18">
        <v>46161</v>
      </c>
      <c r="O209" s="32" t="s">
        <v>1577</v>
      </c>
      <c r="P209" s="32" t="s">
        <v>1578</v>
      </c>
      <c r="Q209" s="32" t="s">
        <v>1577</v>
      </c>
    </row>
    <row r="210" spans="1:17">
      <c r="A210" t="s">
        <v>43</v>
      </c>
      <c r="B210" t="str">
        <f t="shared" si="6"/>
        <v>SEADT</v>
      </c>
      <c r="C210">
        <v>210231</v>
      </c>
      <c r="D210" t="s">
        <v>1587</v>
      </c>
      <c r="E210">
        <v>1390</v>
      </c>
      <c r="F210" t="s">
        <v>24</v>
      </c>
      <c r="G210" t="str">
        <f t="shared" si="7"/>
        <v>SpringHill Suites by Marriott Seattle Downtown/South Lake Union</v>
      </c>
      <c r="H210" s="18">
        <v>46161</v>
      </c>
      <c r="O210" s="32" t="s">
        <v>1587</v>
      </c>
      <c r="P210" s="32" t="s">
        <v>1588</v>
      </c>
      <c r="Q210" s="32" t="s">
        <v>1587</v>
      </c>
    </row>
    <row r="211" spans="1:17">
      <c r="A211" t="s">
        <v>43</v>
      </c>
      <c r="B211" t="str">
        <f t="shared" si="6"/>
        <v>SEAOX</v>
      </c>
      <c r="C211">
        <v>210233</v>
      </c>
      <c r="D211" t="s">
        <v>1589</v>
      </c>
      <c r="E211">
        <v>1391</v>
      </c>
      <c r="F211" t="s">
        <v>24</v>
      </c>
      <c r="G211" t="str">
        <f t="shared" si="7"/>
        <v>Moxy Seattle Downtown</v>
      </c>
      <c r="H211" s="18">
        <v>46161</v>
      </c>
      <c r="O211" s="32" t="s">
        <v>1625</v>
      </c>
      <c r="P211" s="32" t="s">
        <v>1626</v>
      </c>
      <c r="Q211" s="32" t="s">
        <v>1625</v>
      </c>
    </row>
    <row r="212" spans="1:17">
      <c r="A212" t="s">
        <v>43</v>
      </c>
      <c r="B212" t="str">
        <f t="shared" si="6"/>
        <v>SFOFA</v>
      </c>
      <c r="C212">
        <v>210235</v>
      </c>
      <c r="D212" t="s">
        <v>1591</v>
      </c>
      <c r="E212">
        <v>1392</v>
      </c>
      <c r="F212" t="s">
        <v>24</v>
      </c>
      <c r="G212" t="str">
        <f t="shared" si="7"/>
        <v>Fairfield by Marriott Inn &amp; Suites San Francisco Airport Oyster Point Area</v>
      </c>
      <c r="H212" s="18">
        <v>46161</v>
      </c>
      <c r="O212" s="32" t="s">
        <v>1663</v>
      </c>
      <c r="P212" s="32" t="s">
        <v>1664</v>
      </c>
      <c r="Q212" s="32" t="s">
        <v>1663</v>
      </c>
    </row>
    <row r="213" spans="1:17">
      <c r="A213" t="s">
        <v>43</v>
      </c>
      <c r="B213" t="str">
        <f t="shared" si="6"/>
        <v>PDXAC</v>
      </c>
      <c r="C213">
        <v>210237</v>
      </c>
      <c r="D213" t="s">
        <v>1593</v>
      </c>
      <c r="E213">
        <v>1393</v>
      </c>
      <c r="F213" t="s">
        <v>24</v>
      </c>
      <c r="G213" t="str">
        <f t="shared" si="7"/>
        <v>AC Hotel Vancouver Waterfront</v>
      </c>
      <c r="H213" s="18">
        <v>46161</v>
      </c>
      <c r="O213" s="32" t="s">
        <v>1671</v>
      </c>
      <c r="P213" s="32" t="s">
        <v>1672</v>
      </c>
      <c r="Q213" s="32" t="s">
        <v>1671</v>
      </c>
    </row>
    <row r="214" spans="1:17">
      <c r="A214" t="s">
        <v>43</v>
      </c>
      <c r="B214" t="str">
        <f t="shared" si="6"/>
        <v>LAXSD</v>
      </c>
      <c r="C214">
        <v>210239</v>
      </c>
      <c r="D214" t="s">
        <v>1595</v>
      </c>
      <c r="E214">
        <v>1394</v>
      </c>
      <c r="F214" t="s">
        <v>24</v>
      </c>
      <c r="G214" t="str">
        <f t="shared" si="7"/>
        <v>SpringHill Suites by Marriott Los Angeles Downey</v>
      </c>
      <c r="H214" s="18">
        <v>46161</v>
      </c>
      <c r="O214" s="32" t="s">
        <v>1633</v>
      </c>
      <c r="P214" s="32" t="s">
        <v>1634</v>
      </c>
      <c r="Q214" s="32" t="s">
        <v>1633</v>
      </c>
    </row>
    <row r="215" spans="1:17">
      <c r="A215" t="s">
        <v>43</v>
      </c>
      <c r="B215" t="str">
        <f t="shared" si="6"/>
        <v>BURPA</v>
      </c>
      <c r="C215">
        <v>210241</v>
      </c>
      <c r="D215" t="s">
        <v>1597</v>
      </c>
      <c r="E215">
        <v>1395</v>
      </c>
      <c r="F215" t="s">
        <v>24</v>
      </c>
      <c r="G215" t="str">
        <f t="shared" si="7"/>
        <v>AC Hotel Pasadena</v>
      </c>
      <c r="H215" s="18">
        <v>46161</v>
      </c>
      <c r="O215" s="32" t="s">
        <v>1643</v>
      </c>
      <c r="P215" s="32" t="s">
        <v>1644</v>
      </c>
      <c r="Q215" s="32" t="s">
        <v>1643</v>
      </c>
    </row>
    <row r="216" spans="1:17">
      <c r="A216" t="s">
        <v>43</v>
      </c>
      <c r="B216" t="str">
        <f t="shared" si="6"/>
        <v>LASHD</v>
      </c>
      <c r="C216">
        <v>210243</v>
      </c>
      <c r="D216" t="s">
        <v>1599</v>
      </c>
      <c r="E216">
        <v>1396</v>
      </c>
      <c r="F216" t="s">
        <v>24</v>
      </c>
      <c r="G216" t="str">
        <f t="shared" si="7"/>
        <v>SpringHill Suites by Marriott Las Vegas Henderson</v>
      </c>
      <c r="H216" s="18">
        <v>46161</v>
      </c>
      <c r="O216" s="32" t="s">
        <v>1629</v>
      </c>
      <c r="P216" s="32" t="s">
        <v>1630</v>
      </c>
      <c r="Q216" s="32" t="s">
        <v>1629</v>
      </c>
    </row>
    <row r="217" spans="1:17">
      <c r="A217" t="s">
        <v>43</v>
      </c>
      <c r="B217" t="str">
        <f t="shared" si="6"/>
        <v>ONTFC</v>
      </c>
      <c r="C217">
        <v>210245</v>
      </c>
      <c r="D217" t="s">
        <v>1601</v>
      </c>
      <c r="E217">
        <v>1397</v>
      </c>
      <c r="F217" t="s">
        <v>24</v>
      </c>
      <c r="G217" t="str">
        <f t="shared" si="7"/>
        <v>Fairfield by Marriott Inn &amp; Suites Chino</v>
      </c>
      <c r="H217" s="18">
        <v>46161</v>
      </c>
      <c r="O217" s="32" t="s">
        <v>1589</v>
      </c>
      <c r="P217" s="32" t="s">
        <v>1590</v>
      </c>
      <c r="Q217" s="32" t="s">
        <v>1589</v>
      </c>
    </row>
    <row r="218" spans="1:17">
      <c r="A218" t="s">
        <v>43</v>
      </c>
      <c r="B218" t="str">
        <f t="shared" si="6"/>
        <v>SEATC</v>
      </c>
      <c r="C218">
        <v>210247</v>
      </c>
      <c r="D218" t="s">
        <v>1603</v>
      </c>
      <c r="E218">
        <v>1398</v>
      </c>
      <c r="F218" t="s">
        <v>24</v>
      </c>
      <c r="G218" t="str">
        <f t="shared" si="7"/>
        <v>Courtyard by Marriott Seattle Kirkland</v>
      </c>
      <c r="H218" s="18">
        <v>46161</v>
      </c>
      <c r="O218" s="32" t="s">
        <v>1623</v>
      </c>
      <c r="P218" s="32" t="s">
        <v>1624</v>
      </c>
      <c r="Q218" s="32" t="s">
        <v>1623</v>
      </c>
    </row>
    <row r="219" spans="1:17">
      <c r="A219" t="s">
        <v>43</v>
      </c>
      <c r="B219" t="str">
        <f t="shared" si="6"/>
        <v>LAXXL</v>
      </c>
      <c r="C219">
        <v>210249</v>
      </c>
      <c r="D219" t="s">
        <v>1605</v>
      </c>
      <c r="E219">
        <v>1399</v>
      </c>
      <c r="F219" t="s">
        <v>24</v>
      </c>
      <c r="G219" t="str">
        <f t="shared" si="7"/>
        <v>Fairfield by Marriott Inn &amp; Suites Los Angeles LAX/El Segundo</v>
      </c>
      <c r="H219" s="18">
        <v>46161</v>
      </c>
      <c r="O219" s="32" t="s">
        <v>1603</v>
      </c>
      <c r="P219" s="32" t="s">
        <v>1604</v>
      </c>
      <c r="Q219" s="32" t="s">
        <v>1603</v>
      </c>
    </row>
    <row r="220" spans="1:17">
      <c r="A220" t="s">
        <v>43</v>
      </c>
      <c r="B220" t="str">
        <f t="shared" si="6"/>
        <v>MFRAP</v>
      </c>
      <c r="C220">
        <v>210251</v>
      </c>
      <c r="D220" t="s">
        <v>1607</v>
      </c>
      <c r="E220">
        <v>1400</v>
      </c>
      <c r="F220" t="s">
        <v>24</v>
      </c>
      <c r="G220" t="str">
        <f t="shared" si="7"/>
        <v>SpringHill Suites by Marriott Medford Airport</v>
      </c>
      <c r="H220" s="18">
        <v>46161</v>
      </c>
      <c r="O220" s="32" t="s">
        <v>1611</v>
      </c>
      <c r="P220" s="32" t="s">
        <v>1612</v>
      </c>
      <c r="Q220" s="32" t="s">
        <v>1611</v>
      </c>
    </row>
    <row r="221" spans="1:17">
      <c r="A221" t="s">
        <v>43</v>
      </c>
      <c r="B221" t="str">
        <f t="shared" si="6"/>
        <v>SEAAR</v>
      </c>
      <c r="C221">
        <v>210253</v>
      </c>
      <c r="D221" t="s">
        <v>1609</v>
      </c>
      <c r="E221">
        <v>1401</v>
      </c>
      <c r="F221" t="s">
        <v>24</v>
      </c>
      <c r="G221" t="str">
        <f t="shared" si="7"/>
        <v>AC Hotel Seattle Bellevue/Downtown</v>
      </c>
      <c r="H221" s="18">
        <v>46161</v>
      </c>
      <c r="O221" s="32" t="s">
        <v>1579</v>
      </c>
      <c r="P221" s="32" t="s">
        <v>1580</v>
      </c>
      <c r="Q221" s="32" t="s">
        <v>1579</v>
      </c>
    </row>
    <row r="222" spans="1:17">
      <c r="A222" t="s">
        <v>43</v>
      </c>
      <c r="B222" t="str">
        <f t="shared" si="6"/>
        <v>SEAWV</v>
      </c>
      <c r="C222">
        <v>210255</v>
      </c>
      <c r="D222" t="s">
        <v>1611</v>
      </c>
      <c r="E222">
        <v>1402</v>
      </c>
      <c r="F222" t="s">
        <v>24</v>
      </c>
      <c r="G222" t="str">
        <f t="shared" si="7"/>
        <v>Courtyard by Marriott Seattle Sea-Tac Area</v>
      </c>
      <c r="H222" s="18">
        <v>46161</v>
      </c>
      <c r="O222" s="32" t="s">
        <v>1637</v>
      </c>
      <c r="P222" s="32" t="s">
        <v>1638</v>
      </c>
      <c r="Q222" s="32" t="s">
        <v>1637</v>
      </c>
    </row>
    <row r="223" spans="1:17">
      <c r="A223" t="s">
        <v>43</v>
      </c>
      <c r="B223" t="str">
        <f t="shared" si="6"/>
        <v>SJCCR</v>
      </c>
      <c r="C223">
        <v>210257</v>
      </c>
      <c r="D223" t="s">
        <v>1613</v>
      </c>
      <c r="E223">
        <v>1403</v>
      </c>
      <c r="F223" t="s">
        <v>24</v>
      </c>
      <c r="G223" t="str">
        <f t="shared" si="7"/>
        <v>Fairfield by Marriott Inn &amp; Suites Santa Cruz</v>
      </c>
      <c r="H223" s="18">
        <v>46161</v>
      </c>
      <c r="O223" s="32" t="s">
        <v>1591</v>
      </c>
      <c r="P223" s="32" t="s">
        <v>1592</v>
      </c>
      <c r="Q223" s="32" t="s">
        <v>1591</v>
      </c>
    </row>
    <row r="224" spans="1:17">
      <c r="A224" t="s">
        <v>43</v>
      </c>
      <c r="B224" t="str">
        <f t="shared" si="6"/>
        <v>SNAFA</v>
      </c>
      <c r="C224">
        <v>210259</v>
      </c>
      <c r="D224" t="s">
        <v>1615</v>
      </c>
      <c r="E224">
        <v>1404</v>
      </c>
      <c r="F224" t="s">
        <v>24</v>
      </c>
      <c r="G224" t="str">
        <f t="shared" si="7"/>
        <v>Fairfield by Marriott Inn &amp; Suites Anaheim Los Alamitos</v>
      </c>
      <c r="H224" s="18">
        <v>46161</v>
      </c>
      <c r="O224" s="32" t="s">
        <v>1667</v>
      </c>
      <c r="P224" s="32" t="s">
        <v>1668</v>
      </c>
      <c r="Q224" s="32" t="s">
        <v>1667</v>
      </c>
    </row>
    <row r="225" spans="1:17">
      <c r="A225" t="s">
        <v>43</v>
      </c>
      <c r="B225" t="str">
        <f t="shared" si="6"/>
        <v>LGBCP</v>
      </c>
      <c r="C225">
        <v>210261</v>
      </c>
      <c r="D225" t="s">
        <v>1617</v>
      </c>
      <c r="E225">
        <v>1405</v>
      </c>
      <c r="F225" t="s">
        <v>24</v>
      </c>
      <c r="G225" t="str">
        <f t="shared" si="7"/>
        <v>Courtyard by Marriott Cypress Anaheim/Orange County</v>
      </c>
      <c r="H225" s="18">
        <v>46161</v>
      </c>
      <c r="O225" s="32" t="s">
        <v>1613</v>
      </c>
      <c r="P225" s="32" t="s">
        <v>1614</v>
      </c>
      <c r="Q225" s="32" t="s">
        <v>1613</v>
      </c>
    </row>
    <row r="226" spans="1:17">
      <c r="A226" t="s">
        <v>43</v>
      </c>
      <c r="B226" t="str">
        <f t="shared" si="6"/>
        <v>RALFM</v>
      </c>
      <c r="C226">
        <v>210263</v>
      </c>
      <c r="D226" t="s">
        <v>1619</v>
      </c>
      <c r="E226">
        <v>1406</v>
      </c>
      <c r="F226" t="s">
        <v>24</v>
      </c>
      <c r="G226" t="str">
        <f t="shared" si="7"/>
        <v>Fairfield by Marriott Inn &amp; Suites Riverside Moreno Valley</v>
      </c>
      <c r="H226" s="18">
        <v>46161</v>
      </c>
      <c r="O226" s="32" t="s">
        <v>1553</v>
      </c>
      <c r="P226" s="32" t="s">
        <v>1554</v>
      </c>
      <c r="Q226" s="32" t="s">
        <v>1553</v>
      </c>
    </row>
    <row r="227" spans="1:17">
      <c r="A227" t="s">
        <v>43</v>
      </c>
      <c r="B227" t="str">
        <f t="shared" si="6"/>
        <v>OAKPS</v>
      </c>
      <c r="C227">
        <v>210265</v>
      </c>
      <c r="D227" t="s">
        <v>1621</v>
      </c>
      <c r="E227">
        <v>1407</v>
      </c>
      <c r="F227" t="s">
        <v>24</v>
      </c>
      <c r="G227" t="str">
        <f t="shared" si="7"/>
        <v>SpringHill Suites by Marriott Pleasanton</v>
      </c>
      <c r="H227" s="18">
        <v>46161</v>
      </c>
      <c r="O227" s="32" t="s">
        <v>1583</v>
      </c>
      <c r="P227" s="32" t="s">
        <v>1584</v>
      </c>
      <c r="Q227" s="32" t="s">
        <v>1583</v>
      </c>
    </row>
    <row r="228" spans="1:17">
      <c r="A228" t="s">
        <v>43</v>
      </c>
      <c r="B228" t="str">
        <f t="shared" si="6"/>
        <v>SEATA</v>
      </c>
      <c r="C228">
        <v>210267</v>
      </c>
      <c r="D228" t="s">
        <v>1623</v>
      </c>
      <c r="E228">
        <v>1408</v>
      </c>
      <c r="F228" t="s">
        <v>24</v>
      </c>
      <c r="G228" t="str">
        <f t="shared" si="7"/>
        <v>Fairfield by Marriott Inn &amp; Suites Seattle Sea-Tac Airport</v>
      </c>
      <c r="H228" s="18">
        <v>46161</v>
      </c>
      <c r="O228" s="32" t="s">
        <v>1631</v>
      </c>
      <c r="P228" s="32" t="s">
        <v>1632</v>
      </c>
      <c r="Q228" s="32" t="s">
        <v>1631</v>
      </c>
    </row>
    <row r="229" spans="1:17">
      <c r="A229" t="s">
        <v>43</v>
      </c>
      <c r="B229" t="str">
        <f t="shared" si="6"/>
        <v>SEAEV</v>
      </c>
      <c r="C229">
        <v>210269</v>
      </c>
      <c r="D229" t="s">
        <v>1625</v>
      </c>
      <c r="E229">
        <v>1409</v>
      </c>
      <c r="F229" t="s">
        <v>24</v>
      </c>
      <c r="G229" t="str">
        <f t="shared" si="7"/>
        <v>Courtyard by Marriott Seattle Everett Downtown</v>
      </c>
      <c r="H229" s="18">
        <v>46161</v>
      </c>
      <c r="O229" s="32" t="s">
        <v>1615</v>
      </c>
      <c r="P229" s="32" t="s">
        <v>1616</v>
      </c>
      <c r="Q229" s="32" t="s">
        <v>1615</v>
      </c>
    </row>
    <row r="230" spans="1:17">
      <c r="A230" t="s">
        <v>43</v>
      </c>
      <c r="B230" t="str">
        <f t="shared" si="6"/>
        <v>FATMD</v>
      </c>
      <c r="C230">
        <v>210271</v>
      </c>
      <c r="D230" t="s">
        <v>1627</v>
      </c>
      <c r="E230">
        <v>1410</v>
      </c>
      <c r="F230" t="s">
        <v>24</v>
      </c>
      <c r="G230" t="str">
        <f t="shared" si="7"/>
        <v>SpringHill Suites by Marriott Madera</v>
      </c>
      <c r="H230" s="18">
        <v>46161</v>
      </c>
      <c r="O230" s="32" t="s">
        <v>1661</v>
      </c>
      <c r="P230" s="32" t="s">
        <v>1662</v>
      </c>
      <c r="Q230" s="32" t="s">
        <v>1661</v>
      </c>
    </row>
    <row r="231" spans="1:17">
      <c r="A231" t="s">
        <v>43</v>
      </c>
      <c r="B231" t="str">
        <f t="shared" si="6"/>
        <v>SEANG</v>
      </c>
      <c r="C231">
        <v>210273</v>
      </c>
      <c r="D231" t="s">
        <v>1629</v>
      </c>
      <c r="E231">
        <v>1411</v>
      </c>
      <c r="F231" t="s">
        <v>24</v>
      </c>
      <c r="G231" t="str">
        <f t="shared" si="7"/>
        <v>Courtyard by Marriott Seattle Northgate</v>
      </c>
      <c r="H231" s="18">
        <v>46161</v>
      </c>
      <c r="O231" s="32" t="s">
        <v>1669</v>
      </c>
      <c r="P231" s="32" t="s">
        <v>1670</v>
      </c>
      <c r="Q231" s="32" t="s">
        <v>1669</v>
      </c>
    </row>
    <row r="232" spans="1:17">
      <c r="A232" t="s">
        <v>43</v>
      </c>
      <c r="B232" t="str">
        <f t="shared" si="6"/>
        <v>SNAAP</v>
      </c>
      <c r="C232">
        <v>210275</v>
      </c>
      <c r="D232" t="s">
        <v>1631</v>
      </c>
      <c r="E232">
        <v>1412</v>
      </c>
      <c r="F232" t="s">
        <v>24</v>
      </c>
      <c r="G232" t="str">
        <f t="shared" si="7"/>
        <v>SpringHill Suites by Marriott Irvine John Wayne Airport/Orange County</v>
      </c>
      <c r="H232" s="18">
        <v>46161</v>
      </c>
      <c r="O232" s="32" t="s">
        <v>1639</v>
      </c>
      <c r="P232" s="32" t="s">
        <v>1640</v>
      </c>
      <c r="Q232" s="32" t="s">
        <v>1639</v>
      </c>
    </row>
    <row r="233" spans="1:17">
      <c r="A233" t="s">
        <v>43</v>
      </c>
      <c r="B233" t="str">
        <f t="shared" si="6"/>
        <v>SEAFQ</v>
      </c>
      <c r="C233">
        <v>210277</v>
      </c>
      <c r="D233" t="s">
        <v>1633</v>
      </c>
      <c r="E233">
        <v>1413</v>
      </c>
      <c r="F233" t="s">
        <v>24</v>
      </c>
      <c r="G233" t="str">
        <f t="shared" si="7"/>
        <v>Fairfield Inn Issaquah</v>
      </c>
      <c r="H233" s="18">
        <v>46161</v>
      </c>
      <c r="O233" s="32" t="s">
        <v>1299</v>
      </c>
      <c r="P233" s="32" t="s">
        <v>1300</v>
      </c>
      <c r="Q233" s="32" t="s">
        <v>1299</v>
      </c>
    </row>
    <row r="234" spans="1:17">
      <c r="A234" t="s">
        <v>43</v>
      </c>
      <c r="B234" t="str">
        <f t="shared" si="6"/>
        <v>LASVN</v>
      </c>
      <c r="C234">
        <v>210279</v>
      </c>
      <c r="D234" t="s">
        <v>1635</v>
      </c>
      <c r="E234">
        <v>1414</v>
      </c>
      <c r="F234" t="s">
        <v>24</v>
      </c>
      <c r="G234" t="str">
        <f t="shared" si="7"/>
        <v>SpringHill Suites by Marriott Las Vegas North Speedway</v>
      </c>
      <c r="H234" s="18">
        <v>46161</v>
      </c>
      <c r="O234" s="32" t="s">
        <v>1371</v>
      </c>
      <c r="P234" s="32" t="s">
        <v>1372</v>
      </c>
      <c r="Q234" s="32" t="s">
        <v>1371</v>
      </c>
    </row>
    <row r="235" spans="1:17">
      <c r="A235" t="s">
        <v>43</v>
      </c>
      <c r="B235" t="str">
        <f t="shared" si="6"/>
        <v>SFOBC</v>
      </c>
      <c r="C235">
        <v>210281</v>
      </c>
      <c r="D235" t="s">
        <v>1637</v>
      </c>
      <c r="E235">
        <v>1415</v>
      </c>
      <c r="F235" t="s">
        <v>24</v>
      </c>
      <c r="G235" t="str">
        <f t="shared" si="7"/>
        <v>Courtyard by Marriott San Francisco Airport Burlingame</v>
      </c>
      <c r="H235" s="18">
        <v>46161</v>
      </c>
      <c r="O235" s="32" t="s">
        <v>1453</v>
      </c>
      <c r="P235" s="32" t="s">
        <v>1454</v>
      </c>
      <c r="Q235" s="32" t="s">
        <v>1453</v>
      </c>
    </row>
    <row r="236" spans="1:17">
      <c r="A236" t="s">
        <v>43</v>
      </c>
      <c r="B236" t="str">
        <f t="shared" si="6"/>
        <v>SNAVO</v>
      </c>
      <c r="C236">
        <v>210283</v>
      </c>
      <c r="D236" t="s">
        <v>1639</v>
      </c>
      <c r="E236">
        <v>1416</v>
      </c>
      <c r="F236" t="s">
        <v>24</v>
      </c>
      <c r="G236" t="str">
        <f t="shared" si="7"/>
        <v>Fairfield Inn Mission Viejo Orange County</v>
      </c>
      <c r="H236" s="18">
        <v>46161</v>
      </c>
      <c r="O236" s="32" t="s">
        <v>1445</v>
      </c>
      <c r="P236" s="32" t="s">
        <v>1446</v>
      </c>
      <c r="Q236" s="32" t="s">
        <v>1445</v>
      </c>
    </row>
    <row r="237" spans="1:17">
      <c r="A237" t="s">
        <v>43</v>
      </c>
      <c r="B237" t="str">
        <f t="shared" si="6"/>
        <v>OAKSP</v>
      </c>
      <c r="C237">
        <v>210285</v>
      </c>
      <c r="D237" t="s">
        <v>1641</v>
      </c>
      <c r="E237">
        <v>1417</v>
      </c>
      <c r="F237" t="s">
        <v>24</v>
      </c>
      <c r="G237" t="str">
        <f t="shared" si="7"/>
        <v>SpringHill Suites by Marriott Oakland Airport</v>
      </c>
      <c r="H237" s="18">
        <v>46161</v>
      </c>
      <c r="O237" s="32" t="s">
        <v>1345</v>
      </c>
      <c r="P237" s="32" t="s">
        <v>1346</v>
      </c>
      <c r="Q237" s="32" t="s">
        <v>1345</v>
      </c>
    </row>
    <row r="238" spans="1:17">
      <c r="A238" t="s">
        <v>43</v>
      </c>
      <c r="B238" t="str">
        <f t="shared" si="6"/>
        <v>SEALN</v>
      </c>
      <c r="C238">
        <v>210287</v>
      </c>
      <c r="D238" t="s">
        <v>1643</v>
      </c>
      <c r="E238">
        <v>1418</v>
      </c>
      <c r="F238" t="s">
        <v>24</v>
      </c>
      <c r="G238" t="str">
        <f t="shared" si="7"/>
        <v>Courtyard by Marriott Seattle North/Lynnwood Everett</v>
      </c>
      <c r="H238" s="18">
        <v>46161</v>
      </c>
      <c r="O238" s="32" t="s">
        <v>1357</v>
      </c>
      <c r="P238" s="32" t="s">
        <v>1358</v>
      </c>
      <c r="Q238" s="32" t="s">
        <v>1357</v>
      </c>
    </row>
    <row r="239" spans="1:17">
      <c r="A239" t="s">
        <v>43</v>
      </c>
      <c r="B239" t="str">
        <f t="shared" si="6"/>
        <v>BURCY</v>
      </c>
      <c r="C239">
        <v>210289</v>
      </c>
      <c r="D239" t="s">
        <v>1645</v>
      </c>
      <c r="E239">
        <v>1419</v>
      </c>
      <c r="F239" t="s">
        <v>24</v>
      </c>
      <c r="G239" t="str">
        <f t="shared" si="7"/>
        <v>Courtyard by Marriott Los Angeles Burbank Airport</v>
      </c>
      <c r="H239" s="18">
        <v>46161</v>
      </c>
      <c r="O239" s="32" t="s">
        <v>1359</v>
      </c>
      <c r="P239" s="32" t="s">
        <v>1360</v>
      </c>
      <c r="Q239" s="32" t="s">
        <v>1359</v>
      </c>
    </row>
    <row r="240" spans="1:17">
      <c r="A240" t="s">
        <v>43</v>
      </c>
      <c r="B240" t="str">
        <f t="shared" si="6"/>
        <v>SEAAA</v>
      </c>
      <c r="C240">
        <v>210291</v>
      </c>
      <c r="D240" t="s">
        <v>1647</v>
      </c>
      <c r="E240">
        <v>1420</v>
      </c>
      <c r="F240" t="s">
        <v>24</v>
      </c>
      <c r="G240" t="str">
        <f t="shared" si="7"/>
        <v>Skybridge Seattle Airport Hotel</v>
      </c>
      <c r="H240" s="18">
        <v>46161</v>
      </c>
      <c r="O240" s="32" t="s">
        <v>1407</v>
      </c>
      <c r="P240" s="32" t="s">
        <v>1408</v>
      </c>
      <c r="Q240" s="32" t="s">
        <v>1407</v>
      </c>
    </row>
    <row r="241" spans="1:17">
      <c r="A241" t="s">
        <v>43</v>
      </c>
      <c r="B241" t="str">
        <f t="shared" si="6"/>
        <v>MFRSH</v>
      </c>
      <c r="C241">
        <v>210293</v>
      </c>
      <c r="D241" t="s">
        <v>1649</v>
      </c>
      <c r="E241">
        <v>1421</v>
      </c>
      <c r="F241" t="s">
        <v>24</v>
      </c>
      <c r="G241" t="str">
        <f t="shared" si="7"/>
        <v>SpringHill Suites by Marriott Medford</v>
      </c>
      <c r="H241" s="18">
        <v>46161</v>
      </c>
      <c r="O241" s="32" t="s">
        <v>1385</v>
      </c>
      <c r="P241" s="32" t="s">
        <v>1386</v>
      </c>
      <c r="Q241" s="32" t="s">
        <v>1385</v>
      </c>
    </row>
    <row r="242" spans="1:17">
      <c r="A242" t="s">
        <v>43</v>
      </c>
      <c r="B242" t="str">
        <f t="shared" si="6"/>
        <v>YLWFE</v>
      </c>
      <c r="C242">
        <v>210295</v>
      </c>
      <c r="D242" t="s">
        <v>1651</v>
      </c>
      <c r="E242">
        <v>1422</v>
      </c>
      <c r="F242" t="s">
        <v>24</v>
      </c>
      <c r="G242" t="str">
        <f t="shared" si="7"/>
        <v>Fairfield by Marriott Inn &amp; Suites Penticton</v>
      </c>
      <c r="H242" s="18">
        <v>46161</v>
      </c>
      <c r="O242" s="32" t="s">
        <v>1349</v>
      </c>
      <c r="P242" s="32" t="s">
        <v>1350</v>
      </c>
      <c r="Q242" s="32" t="s">
        <v>1349</v>
      </c>
    </row>
    <row r="243" spans="1:17">
      <c r="A243" t="s">
        <v>43</v>
      </c>
      <c r="B243" t="str">
        <f t="shared" si="6"/>
        <v>PDXVS</v>
      </c>
      <c r="C243">
        <v>210297</v>
      </c>
      <c r="D243" t="s">
        <v>1653</v>
      </c>
      <c r="E243">
        <v>1423</v>
      </c>
      <c r="F243" t="s">
        <v>24</v>
      </c>
      <c r="G243" t="str">
        <f t="shared" si="7"/>
        <v>SpringHill Suites by Marriott Portland Vancouver</v>
      </c>
      <c r="H243" s="18">
        <v>46161</v>
      </c>
      <c r="O243" s="32" t="s">
        <v>1555</v>
      </c>
      <c r="P243" s="32" t="s">
        <v>1556</v>
      </c>
      <c r="Q243" s="32" t="s">
        <v>1555</v>
      </c>
    </row>
    <row r="244" spans="1:17">
      <c r="A244" t="s">
        <v>43</v>
      </c>
      <c r="B244" t="str">
        <f t="shared" si="6"/>
        <v>LAXCV</v>
      </c>
      <c r="C244">
        <v>210299</v>
      </c>
      <c r="D244" t="s">
        <v>1655</v>
      </c>
      <c r="E244">
        <v>1424</v>
      </c>
      <c r="F244" t="s">
        <v>24</v>
      </c>
      <c r="G244" t="str">
        <f t="shared" si="7"/>
        <v>Courtyard by Marriott Culver City Los Angeles</v>
      </c>
      <c r="H244" s="18">
        <v>46161</v>
      </c>
      <c r="O244" s="32" t="s">
        <v>1191</v>
      </c>
      <c r="P244" s="32" t="s">
        <v>1192</v>
      </c>
      <c r="Q244" s="32" t="s">
        <v>1191</v>
      </c>
    </row>
    <row r="245" spans="1:17">
      <c r="A245" t="s">
        <v>43</v>
      </c>
      <c r="B245" t="str">
        <f t="shared" si="6"/>
        <v>PDXOX</v>
      </c>
      <c r="C245">
        <v>210301</v>
      </c>
      <c r="D245" t="s">
        <v>1657</v>
      </c>
      <c r="E245">
        <v>1425</v>
      </c>
      <c r="F245" t="s">
        <v>24</v>
      </c>
      <c r="G245" t="str">
        <f t="shared" si="7"/>
        <v>Moxy Portland Downtown</v>
      </c>
      <c r="H245" s="18">
        <v>46161</v>
      </c>
      <c r="O245" s="32" t="s">
        <v>1209</v>
      </c>
      <c r="P245" s="32" t="s">
        <v>1210</v>
      </c>
      <c r="Q245" s="32" t="s">
        <v>1209</v>
      </c>
    </row>
    <row r="246" spans="1:17">
      <c r="A246" t="s">
        <v>43</v>
      </c>
      <c r="B246" t="str">
        <f t="shared" si="6"/>
        <v>LAXFR</v>
      </c>
      <c r="C246">
        <v>210303</v>
      </c>
      <c r="D246" t="s">
        <v>1659</v>
      </c>
      <c r="E246">
        <v>1426</v>
      </c>
      <c r="F246" t="s">
        <v>24</v>
      </c>
      <c r="G246" t="str">
        <f t="shared" si="7"/>
        <v>Fairfield by Marriott Inn &amp; Suites Los Angeles Rosemead</v>
      </c>
      <c r="H246" s="18">
        <v>46161</v>
      </c>
      <c r="O246" s="32" t="s">
        <v>1339</v>
      </c>
      <c r="P246" s="32" t="s">
        <v>1340</v>
      </c>
      <c r="Q246" s="32" t="s">
        <v>1339</v>
      </c>
    </row>
    <row r="247" spans="1:17">
      <c r="A247" t="s">
        <v>43</v>
      </c>
      <c r="B247" t="str">
        <f t="shared" si="6"/>
        <v>SNAOG</v>
      </c>
      <c r="C247">
        <v>210305</v>
      </c>
      <c r="D247" t="s">
        <v>1661</v>
      </c>
      <c r="E247">
        <v>1427</v>
      </c>
      <c r="F247" t="s">
        <v>24</v>
      </c>
      <c r="G247" t="str">
        <f t="shared" si="7"/>
        <v>Courtyard by Marriott Santa Ana Orange County</v>
      </c>
      <c r="H247" s="18">
        <v>46161</v>
      </c>
      <c r="O247" s="32" t="s">
        <v>1559</v>
      </c>
      <c r="P247" s="32" t="s">
        <v>1560</v>
      </c>
      <c r="Q247" s="32" t="s">
        <v>1559</v>
      </c>
    </row>
    <row r="248" spans="1:17">
      <c r="A248" t="s">
        <v>43</v>
      </c>
      <c r="B248" t="str">
        <f t="shared" si="6"/>
        <v>SEAFC</v>
      </c>
      <c r="C248">
        <v>210307</v>
      </c>
      <c r="D248" t="s">
        <v>1663</v>
      </c>
      <c r="E248">
        <v>1428</v>
      </c>
      <c r="F248" t="s">
        <v>24</v>
      </c>
      <c r="G248" t="str">
        <f t="shared" si="7"/>
        <v>Fairfield by Marriott Inn &amp; Suites Seattle Downtown/Seattle Center</v>
      </c>
      <c r="H248" s="18">
        <v>46161</v>
      </c>
      <c r="O248" s="32" t="s">
        <v>1369</v>
      </c>
      <c r="P248" s="32" t="s">
        <v>1370</v>
      </c>
      <c r="Q248" s="32" t="s">
        <v>1369</v>
      </c>
    </row>
    <row r="249" spans="1:17">
      <c r="A249" t="s">
        <v>43</v>
      </c>
      <c r="B249" t="str">
        <f t="shared" si="6"/>
        <v>SACWN</v>
      </c>
      <c r="C249">
        <v>210309</v>
      </c>
      <c r="D249" t="s">
        <v>1665</v>
      </c>
      <c r="E249">
        <v>1429</v>
      </c>
      <c r="F249" t="s">
        <v>24</v>
      </c>
      <c r="G249" t="str">
        <f t="shared" si="7"/>
        <v>Fairfield by Marriott Inn &amp; Suites Sacramento Airport Natomas</v>
      </c>
      <c r="H249" s="18">
        <v>46161</v>
      </c>
      <c r="O249" s="32" t="s">
        <v>1439</v>
      </c>
      <c r="P249" s="32" t="s">
        <v>1440</v>
      </c>
      <c r="Q249" s="32" t="s">
        <v>1439</v>
      </c>
    </row>
    <row r="250" spans="1:17">
      <c r="A250" t="s">
        <v>43</v>
      </c>
      <c r="B250" t="str">
        <f t="shared" si="6"/>
        <v>SFOLV</v>
      </c>
      <c r="C250">
        <v>210311</v>
      </c>
      <c r="D250" t="s">
        <v>1667</v>
      </c>
      <c r="E250">
        <v>1430</v>
      </c>
      <c r="F250" t="s">
        <v>24</v>
      </c>
      <c r="G250" t="str">
        <f t="shared" si="7"/>
        <v>Fairfield by Marriott Inn &amp; Suites Livermore</v>
      </c>
      <c r="H250" s="18">
        <v>46161</v>
      </c>
      <c r="O250" s="32" t="s">
        <v>1495</v>
      </c>
      <c r="P250" s="32" t="s">
        <v>1496</v>
      </c>
      <c r="Q250" s="32" t="s">
        <v>1495</v>
      </c>
    </row>
    <row r="251" spans="1:17">
      <c r="A251" t="s">
        <v>43</v>
      </c>
      <c r="B251" t="str">
        <f t="shared" si="6"/>
        <v>SNASF</v>
      </c>
      <c r="C251">
        <v>210313</v>
      </c>
      <c r="D251" t="s">
        <v>1669</v>
      </c>
      <c r="E251">
        <v>1431</v>
      </c>
      <c r="F251" t="s">
        <v>24</v>
      </c>
      <c r="G251" t="str">
        <f t="shared" si="7"/>
        <v>SpringHill Suites by Marriott Irvine Lake Forest</v>
      </c>
      <c r="H251" s="18">
        <v>46161</v>
      </c>
      <c r="O251" s="32" t="s">
        <v>1651</v>
      </c>
      <c r="P251" s="32" t="s">
        <v>1652</v>
      </c>
      <c r="Q251" s="32" t="s">
        <v>1651</v>
      </c>
    </row>
    <row r="252" spans="1:17">
      <c r="A252" t="s">
        <v>43</v>
      </c>
      <c r="B252" t="str">
        <f t="shared" si="6"/>
        <v>SEAFO</v>
      </c>
      <c r="C252">
        <v>210315</v>
      </c>
      <c r="D252" t="s">
        <v>1671</v>
      </c>
      <c r="E252">
        <v>1432</v>
      </c>
      <c r="F252" t="s">
        <v>24</v>
      </c>
      <c r="G252" t="str">
        <f t="shared" si="7"/>
        <v>Fairfield by Marriott Inn &amp; Suites Seattle Poulsbo</v>
      </c>
      <c r="H252" s="18">
        <v>46161</v>
      </c>
      <c r="O252" s="32" t="s">
        <v>1545</v>
      </c>
      <c r="P252" s="32" t="s">
        <v>1546</v>
      </c>
      <c r="Q252" s="32" t="s">
        <v>1545</v>
      </c>
    </row>
    <row r="253" spans="1:17">
      <c r="A253" t="s">
        <v>43</v>
      </c>
      <c r="B253" t="str">
        <f t="shared" si="6"/>
        <v>LASSA</v>
      </c>
      <c r="C253">
        <v>210317</v>
      </c>
      <c r="D253" t="s">
        <v>1673</v>
      </c>
      <c r="E253">
        <v>1433</v>
      </c>
      <c r="F253" t="s">
        <v>24</v>
      </c>
      <c r="G253" t="str">
        <f t="shared" si="7"/>
        <v>SpringHill Suites by Marriott Las Vegas Airport</v>
      </c>
      <c r="H253" s="18">
        <v>46161</v>
      </c>
      <c r="O253" s="32" t="s">
        <v>1269</v>
      </c>
      <c r="P253" s="32" t="s">
        <v>1270</v>
      </c>
      <c r="Q253" s="32" t="s">
        <v>1269</v>
      </c>
    </row>
    <row r="254" spans="1:17">
      <c r="A254" t="s">
        <v>43</v>
      </c>
      <c r="B254" t="str">
        <f t="shared" si="6"/>
        <v>RNODT</v>
      </c>
      <c r="C254">
        <v>210319</v>
      </c>
      <c r="D254" t="s">
        <v>1675</v>
      </c>
      <c r="E254">
        <v>1434</v>
      </c>
      <c r="F254" t="s">
        <v>24</v>
      </c>
      <c r="G254" t="str">
        <f t="shared" si="7"/>
        <v>Courtyard by Marriott Reno Downtown/Riverfront</v>
      </c>
      <c r="H254" s="18">
        <v>46161</v>
      </c>
      <c r="O254" s="32" t="s">
        <v>1291</v>
      </c>
      <c r="P254" s="32" t="s">
        <v>1292</v>
      </c>
      <c r="Q254" s="32" t="s">
        <v>1291</v>
      </c>
    </row>
  </sheetData>
  <conditionalFormatting sqref="C1:D254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E95D-DBEB-4972-94BB-C4A6940894E3}">
  <sheetPr codeName="Sheet3"/>
  <dimension ref="A1:D97"/>
  <sheetViews>
    <sheetView workbookViewId="0">
      <selection activeCell="C98" sqref="C98"/>
    </sheetView>
  </sheetViews>
  <sheetFormatPr defaultColWidth="8.875" defaultRowHeight="15.95"/>
  <cols>
    <col min="1" max="1" width="10.125" bestFit="1" customWidth="1"/>
    <col min="2" max="2" width="14.625" bestFit="1" customWidth="1"/>
    <col min="3" max="3" width="12.625" bestFit="1" customWidth="1"/>
    <col min="4" max="4" width="14.875" bestFit="1" customWidth="1"/>
  </cols>
  <sheetData>
    <row r="1" spans="1:4">
      <c r="A1" s="5" t="s">
        <v>3327</v>
      </c>
      <c r="B1" s="5" t="s">
        <v>3328</v>
      </c>
      <c r="C1" s="5" t="s">
        <v>59</v>
      </c>
      <c r="D1" s="5" t="s">
        <v>3329</v>
      </c>
    </row>
    <row r="2" spans="1:4">
      <c r="A2" t="s">
        <v>3330</v>
      </c>
      <c r="B2">
        <v>27200</v>
      </c>
      <c r="C2" s="6" t="s">
        <v>3331</v>
      </c>
      <c r="D2" s="6" t="s">
        <v>3331</v>
      </c>
    </row>
    <row r="3" spans="1:4">
      <c r="A3" t="s">
        <v>3332</v>
      </c>
      <c r="B3">
        <v>26600</v>
      </c>
      <c r="C3" s="6" t="s">
        <v>3331</v>
      </c>
      <c r="D3" s="6" t="s">
        <v>3331</v>
      </c>
    </row>
    <row r="4" spans="1:4">
      <c r="A4" t="s">
        <v>3333</v>
      </c>
      <c r="B4">
        <v>26600</v>
      </c>
      <c r="C4" s="6" t="s">
        <v>3331</v>
      </c>
      <c r="D4" s="6" t="s">
        <v>3331</v>
      </c>
    </row>
    <row r="5" spans="1:4">
      <c r="A5" t="s">
        <v>3334</v>
      </c>
      <c r="B5">
        <v>26600</v>
      </c>
      <c r="C5" s="6" t="s">
        <v>3331</v>
      </c>
      <c r="D5" s="6" t="s">
        <v>3331</v>
      </c>
    </row>
    <row r="6" spans="1:4">
      <c r="A6" t="s">
        <v>3335</v>
      </c>
      <c r="B6">
        <v>26600</v>
      </c>
      <c r="C6" s="6" t="s">
        <v>3331</v>
      </c>
      <c r="D6" s="6" t="s">
        <v>3331</v>
      </c>
    </row>
    <row r="7" spans="1:4">
      <c r="A7" t="s">
        <v>3336</v>
      </c>
      <c r="B7">
        <v>26600</v>
      </c>
      <c r="C7" s="6" t="s">
        <v>3331</v>
      </c>
      <c r="D7" s="6" t="s">
        <v>3331</v>
      </c>
    </row>
    <row r="8" spans="1:4">
      <c r="A8" t="s">
        <v>3337</v>
      </c>
      <c r="B8">
        <v>27200</v>
      </c>
      <c r="C8" t="s">
        <v>270</v>
      </c>
      <c r="D8">
        <v>27200</v>
      </c>
    </row>
    <row r="9" spans="1:4">
      <c r="A9" t="s">
        <v>3337</v>
      </c>
      <c r="B9">
        <v>27200</v>
      </c>
      <c r="C9" t="s">
        <v>283</v>
      </c>
      <c r="D9">
        <v>27200</v>
      </c>
    </row>
    <row r="10" spans="1:4">
      <c r="A10" t="s">
        <v>3337</v>
      </c>
      <c r="B10">
        <v>27200</v>
      </c>
      <c r="C10" t="s">
        <v>266</v>
      </c>
      <c r="D10">
        <v>27300</v>
      </c>
    </row>
    <row r="11" spans="1:4">
      <c r="A11" t="s">
        <v>3337</v>
      </c>
      <c r="B11">
        <v>27200</v>
      </c>
      <c r="C11" t="s">
        <v>269</v>
      </c>
      <c r="D11">
        <v>27200</v>
      </c>
    </row>
    <row r="12" spans="1:4">
      <c r="A12" t="s">
        <v>3337</v>
      </c>
      <c r="B12">
        <v>27200</v>
      </c>
      <c r="C12" t="s">
        <v>267</v>
      </c>
      <c r="D12">
        <v>27200</v>
      </c>
    </row>
    <row r="13" spans="1:4">
      <c r="A13" t="s">
        <v>3337</v>
      </c>
      <c r="B13">
        <v>27200</v>
      </c>
      <c r="C13" t="s">
        <v>265</v>
      </c>
      <c r="D13">
        <v>27200</v>
      </c>
    </row>
    <row r="14" spans="1:4">
      <c r="A14" t="s">
        <v>3337</v>
      </c>
      <c r="B14">
        <v>27200</v>
      </c>
      <c r="C14" t="s">
        <v>268</v>
      </c>
      <c r="D14">
        <v>27200</v>
      </c>
    </row>
    <row r="15" spans="1:4">
      <c r="A15" t="s">
        <v>3338</v>
      </c>
      <c r="B15">
        <v>26600</v>
      </c>
      <c r="C15" s="6" t="s">
        <v>3331</v>
      </c>
      <c r="D15" s="6" t="s">
        <v>3331</v>
      </c>
    </row>
    <row r="16" spans="1:4">
      <c r="A16" t="s">
        <v>3339</v>
      </c>
      <c r="B16">
        <v>27200</v>
      </c>
      <c r="C16" t="s">
        <v>277</v>
      </c>
      <c r="D16">
        <v>27300</v>
      </c>
    </row>
    <row r="17" spans="1:4">
      <c r="A17" t="s">
        <v>3339</v>
      </c>
      <c r="B17">
        <v>27200</v>
      </c>
      <c r="C17" t="s">
        <v>271</v>
      </c>
      <c r="D17">
        <v>27200</v>
      </c>
    </row>
    <row r="18" spans="1:4">
      <c r="A18" t="s">
        <v>3339</v>
      </c>
      <c r="B18">
        <v>27200</v>
      </c>
      <c r="C18" t="s">
        <v>64</v>
      </c>
      <c r="D18">
        <v>27200</v>
      </c>
    </row>
    <row r="19" spans="1:4">
      <c r="A19" t="s">
        <v>3339</v>
      </c>
      <c r="B19">
        <v>27200</v>
      </c>
      <c r="C19" t="s">
        <v>264</v>
      </c>
      <c r="D19">
        <v>27200</v>
      </c>
    </row>
    <row r="20" spans="1:4">
      <c r="A20" t="s">
        <v>3339</v>
      </c>
      <c r="B20">
        <v>27200</v>
      </c>
      <c r="C20" t="s">
        <v>263</v>
      </c>
      <c r="D20">
        <v>27200</v>
      </c>
    </row>
    <row r="21" spans="1:4">
      <c r="A21" t="s">
        <v>3339</v>
      </c>
      <c r="B21">
        <v>27200</v>
      </c>
      <c r="C21" t="s">
        <v>262</v>
      </c>
      <c r="D21">
        <v>27200</v>
      </c>
    </row>
    <row r="22" spans="1:4">
      <c r="A22" t="s">
        <v>3339</v>
      </c>
      <c r="B22">
        <v>27200</v>
      </c>
      <c r="C22" t="s">
        <v>293</v>
      </c>
      <c r="D22">
        <v>27200</v>
      </c>
    </row>
    <row r="23" spans="1:4">
      <c r="A23" t="s">
        <v>3339</v>
      </c>
      <c r="B23">
        <v>27200</v>
      </c>
      <c r="C23" t="s">
        <v>272</v>
      </c>
      <c r="D23">
        <v>27200</v>
      </c>
    </row>
    <row r="24" spans="1:4">
      <c r="A24" t="s">
        <v>3340</v>
      </c>
      <c r="B24">
        <v>26600</v>
      </c>
      <c r="C24" s="6" t="s">
        <v>3331</v>
      </c>
      <c r="D24" s="6" t="s">
        <v>3331</v>
      </c>
    </row>
    <row r="25" spans="1:4">
      <c r="A25" t="s">
        <v>3341</v>
      </c>
      <c r="B25">
        <v>26600</v>
      </c>
      <c r="C25" s="6" t="s">
        <v>3331</v>
      </c>
      <c r="D25" s="6" t="s">
        <v>3331</v>
      </c>
    </row>
    <row r="26" spans="1:4">
      <c r="A26" t="s">
        <v>3342</v>
      </c>
      <c r="B26">
        <v>26600</v>
      </c>
      <c r="C26" s="6" t="s">
        <v>3331</v>
      </c>
      <c r="D26" s="6" t="s">
        <v>3331</v>
      </c>
    </row>
    <row r="27" spans="1:4">
      <c r="A27" t="s">
        <v>3343</v>
      </c>
      <c r="B27">
        <v>26600</v>
      </c>
      <c r="C27" s="6" t="s">
        <v>3331</v>
      </c>
      <c r="D27" s="6" t="s">
        <v>3331</v>
      </c>
    </row>
    <row r="28" spans="1:4">
      <c r="A28" t="s">
        <v>3344</v>
      </c>
      <c r="B28">
        <v>26600</v>
      </c>
      <c r="C28" s="6" t="s">
        <v>3331</v>
      </c>
      <c r="D28" s="6" t="s">
        <v>3331</v>
      </c>
    </row>
    <row r="29" spans="1:4">
      <c r="A29" t="s">
        <v>3345</v>
      </c>
      <c r="B29">
        <v>26600</v>
      </c>
      <c r="C29" s="6" t="s">
        <v>3331</v>
      </c>
      <c r="D29" s="6" t="s">
        <v>3331</v>
      </c>
    </row>
    <row r="30" spans="1:4">
      <c r="A30" t="s">
        <v>3346</v>
      </c>
      <c r="B30">
        <v>27200</v>
      </c>
      <c r="C30" t="s">
        <v>260</v>
      </c>
      <c r="D30">
        <v>27200</v>
      </c>
    </row>
    <row r="31" spans="1:4">
      <c r="A31" t="s">
        <v>3346</v>
      </c>
      <c r="B31">
        <v>27200</v>
      </c>
      <c r="C31" t="s">
        <v>275</v>
      </c>
      <c r="D31">
        <v>27300</v>
      </c>
    </row>
    <row r="32" spans="1:4">
      <c r="A32" t="s">
        <v>3346</v>
      </c>
      <c r="B32">
        <v>27200</v>
      </c>
      <c r="C32" t="s">
        <v>276</v>
      </c>
      <c r="D32">
        <v>27200</v>
      </c>
    </row>
    <row r="33" spans="1:4">
      <c r="A33" t="s">
        <v>3346</v>
      </c>
      <c r="B33">
        <v>27200</v>
      </c>
      <c r="C33" t="s">
        <v>61</v>
      </c>
      <c r="D33">
        <v>27200</v>
      </c>
    </row>
    <row r="34" spans="1:4">
      <c r="A34" t="s">
        <v>3346</v>
      </c>
      <c r="B34">
        <v>27200</v>
      </c>
      <c r="C34" t="s">
        <v>58</v>
      </c>
      <c r="D34">
        <v>27200</v>
      </c>
    </row>
    <row r="35" spans="1:4">
      <c r="A35" t="s">
        <v>3346</v>
      </c>
      <c r="B35">
        <v>27200</v>
      </c>
      <c r="C35" t="s">
        <v>274</v>
      </c>
      <c r="D35">
        <v>27200</v>
      </c>
    </row>
    <row r="36" spans="1:4">
      <c r="A36" t="s">
        <v>3346</v>
      </c>
      <c r="B36">
        <v>27200</v>
      </c>
      <c r="C36" t="s">
        <v>142</v>
      </c>
      <c r="D36">
        <v>27200</v>
      </c>
    </row>
    <row r="37" spans="1:4">
      <c r="A37" t="s">
        <v>3346</v>
      </c>
      <c r="B37">
        <v>27200</v>
      </c>
      <c r="C37" t="s">
        <v>281</v>
      </c>
      <c r="D37">
        <v>27200</v>
      </c>
    </row>
    <row r="38" spans="1:4">
      <c r="A38" t="s">
        <v>3346</v>
      </c>
      <c r="B38">
        <v>27200</v>
      </c>
      <c r="C38" t="s">
        <v>279</v>
      </c>
      <c r="D38">
        <v>27200</v>
      </c>
    </row>
    <row r="39" spans="1:4">
      <c r="A39" t="s">
        <v>3346</v>
      </c>
      <c r="B39">
        <v>27200</v>
      </c>
      <c r="C39" t="s">
        <v>288</v>
      </c>
      <c r="D39">
        <v>27200</v>
      </c>
    </row>
    <row r="40" spans="1:4">
      <c r="A40" t="s">
        <v>3346</v>
      </c>
      <c r="B40">
        <v>27200</v>
      </c>
      <c r="C40" t="s">
        <v>273</v>
      </c>
      <c r="D40">
        <v>27200</v>
      </c>
    </row>
    <row r="41" spans="1:4">
      <c r="A41" t="s">
        <v>3346</v>
      </c>
      <c r="B41">
        <v>27200</v>
      </c>
      <c r="C41" t="s">
        <v>299</v>
      </c>
      <c r="D41">
        <v>27200</v>
      </c>
    </row>
    <row r="42" spans="1:4">
      <c r="A42" t="s">
        <v>3346</v>
      </c>
      <c r="B42">
        <v>27200</v>
      </c>
      <c r="C42" t="s">
        <v>261</v>
      </c>
      <c r="D42">
        <v>27200</v>
      </c>
    </row>
    <row r="43" spans="1:4">
      <c r="A43" t="s">
        <v>3346</v>
      </c>
      <c r="B43">
        <v>27200</v>
      </c>
      <c r="C43" t="s">
        <v>132</v>
      </c>
      <c r="D43">
        <v>27200</v>
      </c>
    </row>
    <row r="44" spans="1:4">
      <c r="A44" t="s">
        <v>3346</v>
      </c>
      <c r="B44">
        <v>27200</v>
      </c>
      <c r="C44" t="s">
        <v>62</v>
      </c>
      <c r="D44">
        <v>27200</v>
      </c>
    </row>
    <row r="45" spans="1:4">
      <c r="A45" t="s">
        <v>3346</v>
      </c>
      <c r="B45">
        <v>27200</v>
      </c>
      <c r="C45" t="s">
        <v>280</v>
      </c>
      <c r="D45">
        <v>27200</v>
      </c>
    </row>
    <row r="46" spans="1:4">
      <c r="A46" t="s">
        <v>3346</v>
      </c>
      <c r="B46">
        <v>27200</v>
      </c>
      <c r="C46" t="s">
        <v>278</v>
      </c>
      <c r="D46">
        <v>27200</v>
      </c>
    </row>
    <row r="47" spans="1:4">
      <c r="A47" t="s">
        <v>3346</v>
      </c>
      <c r="B47">
        <v>27200</v>
      </c>
      <c r="C47" t="s">
        <v>141</v>
      </c>
      <c r="D47">
        <v>27200</v>
      </c>
    </row>
    <row r="48" spans="1:4">
      <c r="A48" t="s">
        <v>3346</v>
      </c>
      <c r="B48">
        <v>27200</v>
      </c>
      <c r="C48" t="s">
        <v>289</v>
      </c>
      <c r="D48">
        <v>27200</v>
      </c>
    </row>
    <row r="49" spans="1:4">
      <c r="A49" t="s">
        <v>3346</v>
      </c>
      <c r="B49">
        <v>27200</v>
      </c>
      <c r="C49" t="s">
        <v>130</v>
      </c>
      <c r="D49">
        <v>27200</v>
      </c>
    </row>
    <row r="50" spans="1:4">
      <c r="A50" t="s">
        <v>3347</v>
      </c>
      <c r="B50">
        <v>26600</v>
      </c>
      <c r="C50" s="6" t="s">
        <v>3331</v>
      </c>
      <c r="D50" s="6" t="s">
        <v>3331</v>
      </c>
    </row>
    <row r="51" spans="1:4">
      <c r="A51" t="s">
        <v>3348</v>
      </c>
      <c r="B51">
        <v>26600</v>
      </c>
      <c r="C51" s="6" t="s">
        <v>3331</v>
      </c>
      <c r="D51" s="6" t="s">
        <v>3331</v>
      </c>
    </row>
    <row r="52" spans="1:4">
      <c r="A52" t="s">
        <v>3349</v>
      </c>
      <c r="B52">
        <v>26600</v>
      </c>
      <c r="C52" s="6" t="s">
        <v>3331</v>
      </c>
      <c r="D52" s="6" t="s">
        <v>3331</v>
      </c>
    </row>
    <row r="53" spans="1:4">
      <c r="A53" t="s">
        <v>3350</v>
      </c>
      <c r="B53">
        <v>26600</v>
      </c>
      <c r="C53" s="6" t="s">
        <v>3331</v>
      </c>
      <c r="D53" s="6" t="s">
        <v>3331</v>
      </c>
    </row>
    <row r="54" spans="1:4">
      <c r="A54" t="s">
        <v>3351</v>
      </c>
      <c r="B54">
        <v>26600</v>
      </c>
      <c r="C54" s="6" t="s">
        <v>3331</v>
      </c>
      <c r="D54" s="6" t="s">
        <v>3331</v>
      </c>
    </row>
    <row r="55" spans="1:4">
      <c r="A55" t="s">
        <v>3352</v>
      </c>
      <c r="B55">
        <v>26600</v>
      </c>
      <c r="C55" s="6" t="s">
        <v>3331</v>
      </c>
      <c r="D55" s="6" t="s">
        <v>3331</v>
      </c>
    </row>
    <row r="56" spans="1:4">
      <c r="A56" t="s">
        <v>3353</v>
      </c>
      <c r="B56">
        <v>26600</v>
      </c>
      <c r="C56" s="6" t="s">
        <v>3331</v>
      </c>
      <c r="D56" s="6" t="s">
        <v>3331</v>
      </c>
    </row>
    <row r="57" spans="1:4">
      <c r="A57" t="s">
        <v>3354</v>
      </c>
      <c r="B57">
        <v>27200</v>
      </c>
      <c r="C57" t="s">
        <v>118</v>
      </c>
      <c r="D57">
        <v>27300</v>
      </c>
    </row>
    <row r="58" spans="1:4">
      <c r="A58" t="s">
        <v>3354</v>
      </c>
      <c r="B58">
        <v>27200</v>
      </c>
      <c r="C58" t="s">
        <v>89</v>
      </c>
      <c r="D58">
        <v>27200</v>
      </c>
    </row>
    <row r="59" spans="1:4">
      <c r="A59" t="s">
        <v>3354</v>
      </c>
      <c r="B59">
        <v>27200</v>
      </c>
      <c r="C59" t="s">
        <v>104</v>
      </c>
      <c r="D59">
        <v>27200</v>
      </c>
    </row>
    <row r="60" spans="1:4">
      <c r="A60" t="s">
        <v>3354</v>
      </c>
      <c r="B60">
        <v>27200</v>
      </c>
      <c r="C60" t="s">
        <v>121</v>
      </c>
      <c r="D60">
        <v>27200</v>
      </c>
    </row>
    <row r="61" spans="1:4">
      <c r="A61" t="s">
        <v>3354</v>
      </c>
      <c r="B61">
        <v>27200</v>
      </c>
      <c r="C61" t="s">
        <v>68</v>
      </c>
      <c r="D61">
        <v>27200</v>
      </c>
    </row>
    <row r="62" spans="1:4">
      <c r="A62" t="s">
        <v>3355</v>
      </c>
      <c r="B62">
        <v>27200</v>
      </c>
      <c r="C62" t="s">
        <v>3356</v>
      </c>
      <c r="D62">
        <v>27200</v>
      </c>
    </row>
    <row r="63" spans="1:4">
      <c r="A63" t="s">
        <v>3357</v>
      </c>
      <c r="B63">
        <v>27200</v>
      </c>
      <c r="C63" t="s">
        <v>77</v>
      </c>
      <c r="D63">
        <v>27300</v>
      </c>
    </row>
    <row r="64" spans="1:4">
      <c r="A64" t="s">
        <v>3357</v>
      </c>
      <c r="B64">
        <v>27200</v>
      </c>
      <c r="C64" t="s">
        <v>60</v>
      </c>
      <c r="D64">
        <v>27200</v>
      </c>
    </row>
    <row r="65" spans="1:4">
      <c r="A65" t="s">
        <v>3357</v>
      </c>
      <c r="B65">
        <v>27200</v>
      </c>
      <c r="C65" t="s">
        <v>78</v>
      </c>
      <c r="D65">
        <v>27200</v>
      </c>
    </row>
    <row r="66" spans="1:4">
      <c r="A66" t="s">
        <v>3357</v>
      </c>
      <c r="B66">
        <v>27200</v>
      </c>
      <c r="C66" t="s">
        <v>79</v>
      </c>
      <c r="D66">
        <v>27200</v>
      </c>
    </row>
    <row r="67" spans="1:4">
      <c r="A67" t="s">
        <v>3357</v>
      </c>
      <c r="B67">
        <v>27200</v>
      </c>
      <c r="C67" t="s">
        <v>80</v>
      </c>
      <c r="D67">
        <v>27200</v>
      </c>
    </row>
    <row r="68" spans="1:4">
      <c r="A68" t="s">
        <v>3357</v>
      </c>
      <c r="B68">
        <v>27200</v>
      </c>
      <c r="C68" t="s">
        <v>81</v>
      </c>
      <c r="D68">
        <v>27200</v>
      </c>
    </row>
    <row r="69" spans="1:4">
      <c r="A69" t="s">
        <v>3357</v>
      </c>
      <c r="B69">
        <v>27200</v>
      </c>
      <c r="C69" t="s">
        <v>82</v>
      </c>
      <c r="D69">
        <v>27200</v>
      </c>
    </row>
    <row r="70" spans="1:4">
      <c r="A70" t="s">
        <v>3357</v>
      </c>
      <c r="B70">
        <v>27200</v>
      </c>
      <c r="C70" t="s">
        <v>83</v>
      </c>
      <c r="D70">
        <v>27200</v>
      </c>
    </row>
    <row r="71" spans="1:4">
      <c r="A71" t="s">
        <v>3357</v>
      </c>
      <c r="B71">
        <v>27200</v>
      </c>
      <c r="C71" t="s">
        <v>57</v>
      </c>
      <c r="D71">
        <v>27200</v>
      </c>
    </row>
    <row r="72" spans="1:4">
      <c r="A72" t="s">
        <v>3357</v>
      </c>
      <c r="B72">
        <v>27200</v>
      </c>
      <c r="C72" t="s">
        <v>55</v>
      </c>
      <c r="D72">
        <v>27200</v>
      </c>
    </row>
    <row r="73" spans="1:4">
      <c r="A73" t="s">
        <v>3357</v>
      </c>
      <c r="B73">
        <v>27200</v>
      </c>
      <c r="C73" t="s">
        <v>84</v>
      </c>
      <c r="D73">
        <v>27200</v>
      </c>
    </row>
    <row r="74" spans="1:4">
      <c r="A74" t="s">
        <v>3357</v>
      </c>
      <c r="B74">
        <v>27200</v>
      </c>
      <c r="C74" t="s">
        <v>85</v>
      </c>
      <c r="D74">
        <v>27200</v>
      </c>
    </row>
    <row r="75" spans="1:4">
      <c r="A75" t="s">
        <v>3357</v>
      </c>
      <c r="B75">
        <v>27200</v>
      </c>
      <c r="C75" t="s">
        <v>86</v>
      </c>
      <c r="D75">
        <v>27200</v>
      </c>
    </row>
    <row r="76" spans="1:4">
      <c r="A76" t="s">
        <v>3357</v>
      </c>
      <c r="B76">
        <v>27200</v>
      </c>
      <c r="C76" t="s">
        <v>87</v>
      </c>
      <c r="D76">
        <v>27200</v>
      </c>
    </row>
    <row r="77" spans="1:4">
      <c r="A77" t="s">
        <v>3357</v>
      </c>
      <c r="B77">
        <v>27200</v>
      </c>
      <c r="C77" t="s">
        <v>76</v>
      </c>
      <c r="D77">
        <v>27200</v>
      </c>
    </row>
    <row r="78" spans="1:4">
      <c r="A78" t="s">
        <v>3357</v>
      </c>
      <c r="B78">
        <v>27200</v>
      </c>
      <c r="C78" t="s">
        <v>109</v>
      </c>
      <c r="D78">
        <v>27200</v>
      </c>
    </row>
    <row r="79" spans="1:4">
      <c r="A79" t="s">
        <v>3357</v>
      </c>
      <c r="B79">
        <v>27200</v>
      </c>
      <c r="C79" t="s">
        <v>96</v>
      </c>
      <c r="D79">
        <v>27200</v>
      </c>
    </row>
    <row r="80" spans="1:4">
      <c r="A80" t="s">
        <v>3357</v>
      </c>
      <c r="B80">
        <v>27200</v>
      </c>
      <c r="C80" t="s">
        <v>128</v>
      </c>
      <c r="D80">
        <v>27200</v>
      </c>
    </row>
    <row r="81" spans="1:4">
      <c r="A81" t="s">
        <v>3357</v>
      </c>
      <c r="B81">
        <v>27200</v>
      </c>
      <c r="C81" t="s">
        <v>75</v>
      </c>
      <c r="D81">
        <v>27200</v>
      </c>
    </row>
    <row r="82" spans="1:4">
      <c r="A82" t="s">
        <v>3357</v>
      </c>
      <c r="B82">
        <v>27200</v>
      </c>
      <c r="C82" t="s">
        <v>116</v>
      </c>
      <c r="D82">
        <v>27200</v>
      </c>
    </row>
    <row r="83" spans="1:4">
      <c r="A83" t="s">
        <v>3357</v>
      </c>
      <c r="B83">
        <v>27200</v>
      </c>
      <c r="C83" t="s">
        <v>74</v>
      </c>
      <c r="D83">
        <v>27200</v>
      </c>
    </row>
    <row r="84" spans="1:4">
      <c r="A84" t="s">
        <v>3357</v>
      </c>
      <c r="B84">
        <v>27200</v>
      </c>
      <c r="C84" t="s">
        <v>73</v>
      </c>
      <c r="D84">
        <v>27200</v>
      </c>
    </row>
    <row r="85" spans="1:4">
      <c r="A85" t="s">
        <v>3357</v>
      </c>
      <c r="B85">
        <v>27200</v>
      </c>
      <c r="C85" t="s">
        <v>107</v>
      </c>
      <c r="D85">
        <v>27200</v>
      </c>
    </row>
    <row r="86" spans="1:4">
      <c r="A86" t="s">
        <v>3357</v>
      </c>
      <c r="B86">
        <v>27200</v>
      </c>
      <c r="C86" t="s">
        <v>123</v>
      </c>
      <c r="D86">
        <v>27300</v>
      </c>
    </row>
    <row r="87" spans="1:4">
      <c r="A87" t="s">
        <v>3357</v>
      </c>
      <c r="B87">
        <v>27200</v>
      </c>
      <c r="C87" t="s">
        <v>11</v>
      </c>
      <c r="D87">
        <v>27200</v>
      </c>
    </row>
    <row r="88" spans="1:4">
      <c r="A88" t="s">
        <v>3357</v>
      </c>
      <c r="B88">
        <v>27200</v>
      </c>
      <c r="C88" t="s">
        <v>98</v>
      </c>
      <c r="D88">
        <v>27200</v>
      </c>
    </row>
    <row r="89" spans="1:4">
      <c r="A89" t="s">
        <v>3357</v>
      </c>
      <c r="B89">
        <v>27200</v>
      </c>
      <c r="C89" t="s">
        <v>52</v>
      </c>
      <c r="D89">
        <v>27200</v>
      </c>
    </row>
    <row r="90" spans="1:4">
      <c r="A90" t="s">
        <v>3357</v>
      </c>
      <c r="B90">
        <v>27200</v>
      </c>
      <c r="C90" t="s">
        <v>72</v>
      </c>
      <c r="D90">
        <v>27200</v>
      </c>
    </row>
    <row r="91" spans="1:4">
      <c r="A91" t="s">
        <v>3357</v>
      </c>
      <c r="B91">
        <v>27200</v>
      </c>
      <c r="C91" t="s">
        <v>92</v>
      </c>
      <c r="D91">
        <v>27200</v>
      </c>
    </row>
    <row r="92" spans="1:4">
      <c r="A92" t="s">
        <v>3357</v>
      </c>
      <c r="B92">
        <v>27200</v>
      </c>
      <c r="C92" t="s">
        <v>71</v>
      </c>
      <c r="D92">
        <v>27200</v>
      </c>
    </row>
    <row r="93" spans="1:4">
      <c r="A93" t="s">
        <v>3357</v>
      </c>
      <c r="B93">
        <v>27200</v>
      </c>
      <c r="C93" t="s">
        <v>70</v>
      </c>
      <c r="D93">
        <v>27200</v>
      </c>
    </row>
    <row r="94" spans="1:4">
      <c r="A94" t="s">
        <v>3357</v>
      </c>
      <c r="B94">
        <v>27200</v>
      </c>
      <c r="C94" t="s">
        <v>69</v>
      </c>
      <c r="D94">
        <v>27200</v>
      </c>
    </row>
    <row r="95" spans="1:4">
      <c r="A95" t="s">
        <v>3357</v>
      </c>
      <c r="B95">
        <v>27200</v>
      </c>
      <c r="C95" t="s">
        <v>108</v>
      </c>
      <c r="D95">
        <v>27200</v>
      </c>
    </row>
    <row r="96" spans="1:4">
      <c r="A96" t="s">
        <v>3357</v>
      </c>
      <c r="B96">
        <v>27200</v>
      </c>
      <c r="C96" t="s">
        <v>67</v>
      </c>
      <c r="D96">
        <v>27200</v>
      </c>
    </row>
    <row r="97" spans="1:4">
      <c r="A97" t="s">
        <v>3357</v>
      </c>
      <c r="B97">
        <v>27200</v>
      </c>
      <c r="C97" t="s">
        <v>66</v>
      </c>
      <c r="D97">
        <v>27200</v>
      </c>
    </row>
  </sheetData>
  <autoFilter ref="A1:D97" xr:uid="{4353E95D-DBEB-4972-94BB-C4A6940894E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F183-5A34-B648-8479-3F314577C061}">
  <sheetPr codeName="Sheet4"/>
  <dimension ref="A2:I17"/>
  <sheetViews>
    <sheetView topLeftCell="C1" workbookViewId="0">
      <selection activeCell="I8" sqref="I8"/>
    </sheetView>
  </sheetViews>
  <sheetFormatPr defaultColWidth="11" defaultRowHeight="15.95"/>
  <cols>
    <col min="8" max="8" width="22.875" bestFit="1" customWidth="1"/>
    <col min="9" max="9" width="48.625" customWidth="1"/>
  </cols>
  <sheetData>
    <row r="2" spans="1:9" ht="68.099999999999994">
      <c r="A2" t="s">
        <v>59</v>
      </c>
      <c r="B2" t="s">
        <v>3358</v>
      </c>
      <c r="C2" t="s">
        <v>3359</v>
      </c>
      <c r="H2" t="s">
        <v>3360</v>
      </c>
      <c r="I2" s="2" t="s">
        <v>3361</v>
      </c>
    </row>
    <row r="3" spans="1:9">
      <c r="A3">
        <v>9865</v>
      </c>
      <c r="B3">
        <v>100005</v>
      </c>
      <c r="C3">
        <v>27</v>
      </c>
    </row>
    <row r="4" spans="1:9">
      <c r="A4">
        <v>9876</v>
      </c>
      <c r="B4">
        <v>100005</v>
      </c>
      <c r="C4">
        <v>14</v>
      </c>
    </row>
    <row r="5" spans="1:9">
      <c r="A5">
        <v>30024</v>
      </c>
      <c r="B5">
        <v>100003</v>
      </c>
      <c r="C5">
        <v>69</v>
      </c>
    </row>
    <row r="6" spans="1:9">
      <c r="A6">
        <v>34765</v>
      </c>
      <c r="B6">
        <v>100005</v>
      </c>
      <c r="C6">
        <v>29</v>
      </c>
    </row>
    <row r="7" spans="1:9" ht="68.099999999999994">
      <c r="A7">
        <v>89113</v>
      </c>
      <c r="B7">
        <v>200007</v>
      </c>
      <c r="C7">
        <v>70</v>
      </c>
      <c r="H7" t="s">
        <v>3362</v>
      </c>
      <c r="I7" s="2" t="s">
        <v>3363</v>
      </c>
    </row>
    <row r="8" spans="1:9">
      <c r="A8" t="s">
        <v>3364</v>
      </c>
      <c r="B8">
        <v>100011</v>
      </c>
      <c r="C8">
        <v>38</v>
      </c>
    </row>
    <row r="9" spans="1:9" ht="102">
      <c r="A9" t="s">
        <v>3365</v>
      </c>
      <c r="B9">
        <v>100025</v>
      </c>
      <c r="C9">
        <v>51</v>
      </c>
      <c r="H9" t="s">
        <v>3366</v>
      </c>
      <c r="I9" s="2" t="s">
        <v>3367</v>
      </c>
    </row>
    <row r="10" spans="1:9">
      <c r="A10" t="s">
        <v>3368</v>
      </c>
      <c r="B10">
        <v>100017</v>
      </c>
      <c r="C10">
        <v>46</v>
      </c>
    </row>
    <row r="11" spans="1:9">
      <c r="A11" t="s">
        <v>3369</v>
      </c>
      <c r="B11">
        <v>100019</v>
      </c>
      <c r="C11">
        <v>48</v>
      </c>
    </row>
    <row r="12" spans="1:9">
      <c r="A12" t="s">
        <v>3370</v>
      </c>
      <c r="B12">
        <v>200005</v>
      </c>
      <c r="C12">
        <v>66</v>
      </c>
    </row>
    <row r="13" spans="1:9">
      <c r="A13" t="s">
        <v>3356</v>
      </c>
      <c r="B13">
        <v>100017</v>
      </c>
      <c r="C13">
        <v>52</v>
      </c>
    </row>
    <row r="14" spans="1:9">
      <c r="A14" t="s">
        <v>3356</v>
      </c>
      <c r="B14">
        <v>100021</v>
      </c>
      <c r="C14">
        <v>53</v>
      </c>
    </row>
    <row r="15" spans="1:9">
      <c r="A15" t="s">
        <v>3371</v>
      </c>
      <c r="B15">
        <v>100007</v>
      </c>
      <c r="C15">
        <v>68</v>
      </c>
    </row>
    <row r="16" spans="1:9">
      <c r="A16" t="s">
        <v>3372</v>
      </c>
      <c r="B16">
        <v>100001</v>
      </c>
      <c r="C16">
        <v>11</v>
      </c>
    </row>
    <row r="17" spans="1:3">
      <c r="A17" t="s">
        <v>3373</v>
      </c>
      <c r="B17">
        <v>200001</v>
      </c>
      <c r="C17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EB51-2D29-476A-84A6-0A76609BB099}">
  <sheetPr codeName="Sheet5"/>
  <dimension ref="A1:D834"/>
  <sheetViews>
    <sheetView topLeftCell="A826" workbookViewId="0">
      <selection activeCell="A603" sqref="A603:D834"/>
    </sheetView>
  </sheetViews>
  <sheetFormatPr defaultColWidth="8.875" defaultRowHeight="15.95"/>
  <cols>
    <col min="1" max="1" width="12.375" bestFit="1" customWidth="1"/>
    <col min="2" max="2" width="8" bestFit="1" customWidth="1"/>
    <col min="3" max="3" width="66.125" bestFit="1" customWidth="1"/>
    <col min="4" max="4" width="9.625" bestFit="1" customWidth="1"/>
  </cols>
  <sheetData>
    <row r="1" spans="1:4">
      <c r="A1" s="3" t="s">
        <v>3374</v>
      </c>
      <c r="B1" s="3" t="s">
        <v>3375</v>
      </c>
      <c r="C1" s="3" t="s">
        <v>3376</v>
      </c>
      <c r="D1" s="3" t="s">
        <v>3377</v>
      </c>
    </row>
    <row r="2" spans="1:4">
      <c r="A2" s="4" t="s">
        <v>3371</v>
      </c>
      <c r="B2" s="4">
        <v>100007</v>
      </c>
      <c r="C2" s="4" t="s">
        <v>3378</v>
      </c>
      <c r="D2" s="4">
        <v>68</v>
      </c>
    </row>
    <row r="3" spans="1:4">
      <c r="A3" s="4" t="s">
        <v>3356</v>
      </c>
      <c r="B3" s="4">
        <v>100021</v>
      </c>
      <c r="C3" s="4" t="s">
        <v>3379</v>
      </c>
      <c r="D3" s="4">
        <v>53</v>
      </c>
    </row>
    <row r="4" spans="1:4">
      <c r="A4" s="4" t="s">
        <v>52</v>
      </c>
      <c r="B4" s="4">
        <v>100027</v>
      </c>
      <c r="C4" s="4" t="s">
        <v>3380</v>
      </c>
      <c r="D4" s="4">
        <v>57</v>
      </c>
    </row>
    <row r="5" spans="1:4">
      <c r="A5" s="4" t="s">
        <v>55</v>
      </c>
      <c r="B5" s="4">
        <v>100029</v>
      </c>
      <c r="C5" s="4" t="s">
        <v>3381</v>
      </c>
      <c r="D5" s="4">
        <v>58</v>
      </c>
    </row>
    <row r="6" spans="1:4">
      <c r="A6" s="4" t="s">
        <v>57</v>
      </c>
      <c r="B6" s="4">
        <v>100031</v>
      </c>
      <c r="C6" s="4" t="s">
        <v>3382</v>
      </c>
      <c r="D6" s="4">
        <v>59</v>
      </c>
    </row>
    <row r="7" spans="1:4">
      <c r="A7" s="4" t="s">
        <v>11</v>
      </c>
      <c r="B7" s="4">
        <v>100033</v>
      </c>
      <c r="C7" s="4" t="s">
        <v>13</v>
      </c>
      <c r="D7" s="4">
        <v>60</v>
      </c>
    </row>
    <row r="8" spans="1:4">
      <c r="A8" s="4" t="s">
        <v>58</v>
      </c>
      <c r="B8" s="4">
        <v>100035</v>
      </c>
      <c r="C8" s="4" t="s">
        <v>3383</v>
      </c>
      <c r="D8" s="4">
        <v>61</v>
      </c>
    </row>
    <row r="9" spans="1:4">
      <c r="A9" s="4" t="s">
        <v>60</v>
      </c>
      <c r="B9" s="4">
        <v>100037</v>
      </c>
      <c r="C9" s="4" t="s">
        <v>3384</v>
      </c>
      <c r="D9" s="4">
        <v>71</v>
      </c>
    </row>
    <row r="10" spans="1:4">
      <c r="A10" s="4" t="s">
        <v>61</v>
      </c>
      <c r="B10" s="4">
        <v>100039</v>
      </c>
      <c r="C10" s="4" t="s">
        <v>3385</v>
      </c>
      <c r="D10" s="4">
        <v>72</v>
      </c>
    </row>
    <row r="11" spans="1:4">
      <c r="A11" s="4" t="s">
        <v>62</v>
      </c>
      <c r="B11" s="4">
        <v>100041</v>
      </c>
      <c r="C11" s="4" t="s">
        <v>3386</v>
      </c>
      <c r="D11" s="4">
        <v>75</v>
      </c>
    </row>
    <row r="12" spans="1:4">
      <c r="A12" s="4" t="s">
        <v>64</v>
      </c>
      <c r="B12" s="4">
        <v>100043</v>
      </c>
      <c r="C12" s="4" t="s">
        <v>3387</v>
      </c>
      <c r="D12" s="4">
        <v>79</v>
      </c>
    </row>
    <row r="13" spans="1:4">
      <c r="A13" s="4" t="s">
        <v>66</v>
      </c>
      <c r="B13" s="4">
        <v>100045</v>
      </c>
      <c r="C13" s="4" t="s">
        <v>3388</v>
      </c>
      <c r="D13" s="4">
        <v>88</v>
      </c>
    </row>
    <row r="14" spans="1:4">
      <c r="A14" s="4" t="s">
        <v>67</v>
      </c>
      <c r="B14" s="4">
        <v>100047</v>
      </c>
      <c r="C14" s="4" t="s">
        <v>3389</v>
      </c>
      <c r="D14" s="4">
        <v>89</v>
      </c>
    </row>
    <row r="15" spans="1:4">
      <c r="A15" s="4" t="s">
        <v>68</v>
      </c>
      <c r="B15" s="4">
        <v>100049</v>
      </c>
      <c r="C15" s="4" t="s">
        <v>3390</v>
      </c>
      <c r="D15" s="4">
        <v>90</v>
      </c>
    </row>
    <row r="16" spans="1:4">
      <c r="A16" s="4" t="s">
        <v>69</v>
      </c>
      <c r="B16" s="4">
        <v>100051</v>
      </c>
      <c r="C16" s="4" t="s">
        <v>3391</v>
      </c>
      <c r="D16" s="4">
        <v>92</v>
      </c>
    </row>
    <row r="17" spans="1:4">
      <c r="A17" s="4" t="s">
        <v>70</v>
      </c>
      <c r="B17" s="4">
        <v>100053</v>
      </c>
      <c r="C17" s="4" t="s">
        <v>3392</v>
      </c>
      <c r="D17" s="4">
        <v>93</v>
      </c>
    </row>
    <row r="18" spans="1:4">
      <c r="A18" s="4" t="s">
        <v>71</v>
      </c>
      <c r="B18" s="4">
        <v>100055</v>
      </c>
      <c r="C18" s="4" t="s">
        <v>3393</v>
      </c>
      <c r="D18" s="4">
        <v>94</v>
      </c>
    </row>
    <row r="19" spans="1:4">
      <c r="A19" s="4" t="s">
        <v>72</v>
      </c>
      <c r="B19" s="4">
        <v>100057</v>
      </c>
      <c r="C19" s="4" t="s">
        <v>3394</v>
      </c>
      <c r="D19" s="4">
        <v>95</v>
      </c>
    </row>
    <row r="20" spans="1:4">
      <c r="A20" s="4" t="s">
        <v>73</v>
      </c>
      <c r="B20" s="4">
        <v>100059</v>
      </c>
      <c r="C20" s="4" t="s">
        <v>3395</v>
      </c>
      <c r="D20" s="4">
        <v>97</v>
      </c>
    </row>
    <row r="21" spans="1:4">
      <c r="A21" s="4" t="s">
        <v>74</v>
      </c>
      <c r="B21" s="4">
        <v>100061</v>
      </c>
      <c r="C21" s="4" t="s">
        <v>3396</v>
      </c>
      <c r="D21" s="4">
        <v>98</v>
      </c>
    </row>
    <row r="22" spans="1:4">
      <c r="A22" s="4" t="s">
        <v>75</v>
      </c>
      <c r="B22" s="4">
        <v>100063</v>
      </c>
      <c r="C22" s="4" t="s">
        <v>3397</v>
      </c>
      <c r="D22" s="4">
        <v>99</v>
      </c>
    </row>
    <row r="23" spans="1:4">
      <c r="A23" s="4" t="s">
        <v>76</v>
      </c>
      <c r="B23" s="4">
        <v>100065</v>
      </c>
      <c r="C23" s="4" t="s">
        <v>3398</v>
      </c>
      <c r="D23" s="4">
        <v>101</v>
      </c>
    </row>
    <row r="24" spans="1:4">
      <c r="A24" s="4" t="s">
        <v>77</v>
      </c>
      <c r="B24" s="4">
        <v>100067</v>
      </c>
      <c r="C24" s="4" t="s">
        <v>3399</v>
      </c>
      <c r="D24" s="4">
        <v>102</v>
      </c>
    </row>
    <row r="25" spans="1:4">
      <c r="A25" s="4" t="s">
        <v>78</v>
      </c>
      <c r="B25" s="4">
        <v>100069</v>
      </c>
      <c r="C25" s="4" t="s">
        <v>3400</v>
      </c>
      <c r="D25" s="4">
        <v>105</v>
      </c>
    </row>
    <row r="26" spans="1:4">
      <c r="A26" s="4" t="s">
        <v>79</v>
      </c>
      <c r="B26" s="4">
        <v>100071</v>
      </c>
      <c r="C26" s="4" t="s">
        <v>3401</v>
      </c>
      <c r="D26" s="4">
        <v>106</v>
      </c>
    </row>
    <row r="27" spans="1:4">
      <c r="A27" s="4" t="s">
        <v>80</v>
      </c>
      <c r="B27" s="4">
        <v>100073</v>
      </c>
      <c r="C27" s="4" t="s">
        <v>3402</v>
      </c>
      <c r="D27" s="4">
        <v>107</v>
      </c>
    </row>
    <row r="28" spans="1:4">
      <c r="A28" s="4" t="s">
        <v>81</v>
      </c>
      <c r="B28" s="4">
        <v>100075</v>
      </c>
      <c r="C28" s="4" t="s">
        <v>3403</v>
      </c>
      <c r="D28" s="4">
        <v>108</v>
      </c>
    </row>
    <row r="29" spans="1:4">
      <c r="A29" s="4" t="s">
        <v>82</v>
      </c>
      <c r="B29" s="4">
        <v>100077</v>
      </c>
      <c r="C29" s="4" t="s">
        <v>3404</v>
      </c>
      <c r="D29" s="4">
        <v>110</v>
      </c>
    </row>
    <row r="30" spans="1:4">
      <c r="A30" s="4" t="s">
        <v>83</v>
      </c>
      <c r="B30" s="4">
        <v>100079</v>
      </c>
      <c r="C30" s="4" t="s">
        <v>3405</v>
      </c>
      <c r="D30" s="4">
        <v>111</v>
      </c>
    </row>
    <row r="31" spans="1:4">
      <c r="A31" s="4" t="s">
        <v>84</v>
      </c>
      <c r="B31" s="4">
        <v>100081</v>
      </c>
      <c r="C31" s="4" t="s">
        <v>3406</v>
      </c>
      <c r="D31" s="4">
        <v>112</v>
      </c>
    </row>
    <row r="32" spans="1:4">
      <c r="A32" s="4" t="s">
        <v>85</v>
      </c>
      <c r="B32" s="4">
        <v>100083</v>
      </c>
      <c r="C32" s="4" t="s">
        <v>3407</v>
      </c>
      <c r="D32" s="4">
        <v>113</v>
      </c>
    </row>
    <row r="33" spans="1:4">
      <c r="A33" s="4" t="s">
        <v>86</v>
      </c>
      <c r="B33" s="4">
        <v>100085</v>
      </c>
      <c r="C33" s="4" t="s">
        <v>3408</v>
      </c>
      <c r="D33" s="4">
        <v>114</v>
      </c>
    </row>
    <row r="34" spans="1:4">
      <c r="A34" s="4" t="s">
        <v>87</v>
      </c>
      <c r="B34" s="4">
        <v>100087</v>
      </c>
      <c r="C34" s="4" t="s">
        <v>3409</v>
      </c>
      <c r="D34" s="4">
        <v>115</v>
      </c>
    </row>
    <row r="35" spans="1:4">
      <c r="A35" s="4" t="s">
        <v>88</v>
      </c>
      <c r="B35" s="4">
        <v>100089</v>
      </c>
      <c r="C35" s="4" t="s">
        <v>3410</v>
      </c>
      <c r="D35" s="4">
        <v>132</v>
      </c>
    </row>
    <row r="36" spans="1:4">
      <c r="A36" s="4" t="s">
        <v>89</v>
      </c>
      <c r="B36" s="4">
        <v>100091</v>
      </c>
      <c r="C36" s="4" t="s">
        <v>3411</v>
      </c>
      <c r="D36" s="4">
        <v>133</v>
      </c>
    </row>
    <row r="37" spans="1:4">
      <c r="A37" s="4" t="s">
        <v>90</v>
      </c>
      <c r="B37" s="4">
        <v>100093</v>
      </c>
      <c r="C37" s="4" t="s">
        <v>3412</v>
      </c>
      <c r="D37" s="4">
        <v>134</v>
      </c>
    </row>
    <row r="38" spans="1:4">
      <c r="A38" s="4" t="s">
        <v>91</v>
      </c>
      <c r="B38" s="4">
        <v>100095</v>
      </c>
      <c r="C38" s="4" t="s">
        <v>3413</v>
      </c>
      <c r="D38" s="4">
        <v>135</v>
      </c>
    </row>
    <row r="39" spans="1:4">
      <c r="A39" s="4" t="s">
        <v>92</v>
      </c>
      <c r="B39" s="4">
        <v>100097</v>
      </c>
      <c r="C39" s="4" t="s">
        <v>3414</v>
      </c>
      <c r="D39" s="4">
        <v>136</v>
      </c>
    </row>
    <row r="40" spans="1:4">
      <c r="A40" s="4" t="s">
        <v>93</v>
      </c>
      <c r="B40" s="4">
        <v>100099</v>
      </c>
      <c r="C40" s="4" t="s">
        <v>3415</v>
      </c>
      <c r="D40" s="4">
        <v>137</v>
      </c>
    </row>
    <row r="41" spans="1:4">
      <c r="A41" s="4" t="s">
        <v>94</v>
      </c>
      <c r="B41" s="4">
        <v>100101</v>
      </c>
      <c r="C41" s="4" t="s">
        <v>3416</v>
      </c>
      <c r="D41" s="4">
        <v>138</v>
      </c>
    </row>
    <row r="42" spans="1:4">
      <c r="A42" s="4" t="s">
        <v>96</v>
      </c>
      <c r="B42" s="4">
        <v>100103</v>
      </c>
      <c r="C42" s="4" t="s">
        <v>3205</v>
      </c>
      <c r="D42" s="4">
        <v>139</v>
      </c>
    </row>
    <row r="43" spans="1:4">
      <c r="A43" s="4" t="s">
        <v>97</v>
      </c>
      <c r="B43" s="4">
        <v>100105</v>
      </c>
      <c r="C43" s="4" t="s">
        <v>3417</v>
      </c>
      <c r="D43" s="4">
        <v>140</v>
      </c>
    </row>
    <row r="44" spans="1:4">
      <c r="A44" s="4" t="s">
        <v>98</v>
      </c>
      <c r="B44" s="4">
        <v>100107</v>
      </c>
      <c r="C44" s="4" t="s">
        <v>3418</v>
      </c>
      <c r="D44" s="4">
        <v>141</v>
      </c>
    </row>
    <row r="45" spans="1:4">
      <c r="A45" s="4" t="s">
        <v>99</v>
      </c>
      <c r="B45" s="4">
        <v>100109</v>
      </c>
      <c r="C45" s="4" t="s">
        <v>3419</v>
      </c>
      <c r="D45" s="4">
        <v>142</v>
      </c>
    </row>
    <row r="46" spans="1:4">
      <c r="A46" s="4" t="s">
        <v>100</v>
      </c>
      <c r="B46" s="4">
        <v>100111</v>
      </c>
      <c r="C46" s="4" t="s">
        <v>3420</v>
      </c>
      <c r="D46" s="4">
        <v>143</v>
      </c>
    </row>
    <row r="47" spans="1:4">
      <c r="A47" s="4" t="s">
        <v>101</v>
      </c>
      <c r="B47" s="4">
        <v>100113</v>
      </c>
      <c r="C47" s="4" t="s">
        <v>3421</v>
      </c>
      <c r="D47" s="4">
        <v>144</v>
      </c>
    </row>
    <row r="48" spans="1:4">
      <c r="A48" s="4" t="s">
        <v>102</v>
      </c>
      <c r="B48" s="4">
        <v>100115</v>
      </c>
      <c r="C48" s="4" t="s">
        <v>3422</v>
      </c>
      <c r="D48" s="4">
        <v>145</v>
      </c>
    </row>
    <row r="49" spans="1:4">
      <c r="A49" s="4" t="s">
        <v>103</v>
      </c>
      <c r="B49" s="4">
        <v>100117</v>
      </c>
      <c r="C49" s="4" t="s">
        <v>3423</v>
      </c>
      <c r="D49" s="4">
        <v>146</v>
      </c>
    </row>
    <row r="50" spans="1:4">
      <c r="A50" s="4" t="s">
        <v>104</v>
      </c>
      <c r="B50" s="4">
        <v>100119</v>
      </c>
      <c r="C50" s="4" t="s">
        <v>3424</v>
      </c>
      <c r="D50" s="4">
        <v>147</v>
      </c>
    </row>
    <row r="51" spans="1:4">
      <c r="A51" s="4" t="s">
        <v>105</v>
      </c>
      <c r="B51" s="4">
        <v>100121</v>
      </c>
      <c r="C51" s="4" t="s">
        <v>3425</v>
      </c>
      <c r="D51" s="4">
        <v>148</v>
      </c>
    </row>
    <row r="52" spans="1:4">
      <c r="A52" s="4" t="s">
        <v>106</v>
      </c>
      <c r="B52" s="4">
        <v>100123</v>
      </c>
      <c r="C52" s="4" t="s">
        <v>3426</v>
      </c>
      <c r="D52" s="4">
        <v>149</v>
      </c>
    </row>
    <row r="53" spans="1:4">
      <c r="A53" s="4" t="s">
        <v>107</v>
      </c>
      <c r="B53" s="4">
        <v>100125</v>
      </c>
      <c r="C53" s="4" t="s">
        <v>1876</v>
      </c>
      <c r="D53" s="4">
        <v>150</v>
      </c>
    </row>
    <row r="54" spans="1:4">
      <c r="A54" s="4" t="s">
        <v>108</v>
      </c>
      <c r="B54" s="4">
        <v>100127</v>
      </c>
      <c r="C54" s="4" t="s">
        <v>3427</v>
      </c>
      <c r="D54" s="4">
        <v>151</v>
      </c>
    </row>
    <row r="55" spans="1:4">
      <c r="A55" s="4" t="s">
        <v>109</v>
      </c>
      <c r="B55" s="4">
        <v>100129</v>
      </c>
      <c r="C55" s="4" t="s">
        <v>3428</v>
      </c>
      <c r="D55" s="4">
        <v>152</v>
      </c>
    </row>
    <row r="56" spans="1:4">
      <c r="A56" s="4" t="s">
        <v>110</v>
      </c>
      <c r="B56" s="4">
        <v>100131</v>
      </c>
      <c r="C56" s="4" t="s">
        <v>3429</v>
      </c>
      <c r="D56" s="4">
        <v>153</v>
      </c>
    </row>
    <row r="57" spans="1:4">
      <c r="A57" s="4" t="s">
        <v>111</v>
      </c>
      <c r="B57" s="4">
        <v>100133</v>
      </c>
      <c r="C57" s="4" t="s">
        <v>3430</v>
      </c>
      <c r="D57" s="4">
        <v>154</v>
      </c>
    </row>
    <row r="58" spans="1:4">
      <c r="A58" s="4" t="s">
        <v>112</v>
      </c>
      <c r="B58" s="4">
        <v>100135</v>
      </c>
      <c r="C58" s="4" t="s">
        <v>3431</v>
      </c>
      <c r="D58" s="4">
        <v>155</v>
      </c>
    </row>
    <row r="59" spans="1:4">
      <c r="A59" s="4" t="s">
        <v>113</v>
      </c>
      <c r="B59" s="4">
        <v>100137</v>
      </c>
      <c r="C59" s="4" t="s">
        <v>3432</v>
      </c>
      <c r="D59" s="4">
        <v>156</v>
      </c>
    </row>
    <row r="60" spans="1:4">
      <c r="A60" s="4" t="s">
        <v>114</v>
      </c>
      <c r="B60" s="4">
        <v>100139</v>
      </c>
      <c r="C60" s="4" t="s">
        <v>3433</v>
      </c>
      <c r="D60" s="4">
        <v>157</v>
      </c>
    </row>
    <row r="61" spans="1:4">
      <c r="A61" s="4" t="s">
        <v>115</v>
      </c>
      <c r="B61" s="4">
        <v>100141</v>
      </c>
      <c r="C61" s="4" t="s">
        <v>3434</v>
      </c>
      <c r="D61" s="4">
        <v>158</v>
      </c>
    </row>
    <row r="62" spans="1:4">
      <c r="A62" s="4" t="s">
        <v>116</v>
      </c>
      <c r="B62" s="4">
        <v>100143</v>
      </c>
      <c r="C62" s="4" t="s">
        <v>3435</v>
      </c>
      <c r="D62" s="4">
        <v>159</v>
      </c>
    </row>
    <row r="63" spans="1:4">
      <c r="A63" s="4" t="s">
        <v>117</v>
      </c>
      <c r="B63" s="4">
        <v>100145</v>
      </c>
      <c r="C63" s="4" t="s">
        <v>3436</v>
      </c>
      <c r="D63" s="4">
        <v>160</v>
      </c>
    </row>
    <row r="64" spans="1:4">
      <c r="A64" s="4" t="s">
        <v>118</v>
      </c>
      <c r="B64" s="4">
        <v>100147</v>
      </c>
      <c r="C64" s="4" t="s">
        <v>3437</v>
      </c>
      <c r="D64" s="4">
        <v>161</v>
      </c>
    </row>
    <row r="65" spans="1:4">
      <c r="A65" s="4" t="s">
        <v>119</v>
      </c>
      <c r="B65" s="4">
        <v>100149</v>
      </c>
      <c r="C65" s="4" t="s">
        <v>3438</v>
      </c>
      <c r="D65" s="4">
        <v>162</v>
      </c>
    </row>
    <row r="66" spans="1:4">
      <c r="A66" s="4" t="s">
        <v>120</v>
      </c>
      <c r="B66" s="4">
        <v>100151</v>
      </c>
      <c r="C66" s="4" t="s">
        <v>3439</v>
      </c>
      <c r="D66" s="4">
        <v>163</v>
      </c>
    </row>
    <row r="67" spans="1:4">
      <c r="A67" s="4" t="s">
        <v>121</v>
      </c>
      <c r="B67" s="4">
        <v>100153</v>
      </c>
      <c r="C67" s="4" t="s">
        <v>3440</v>
      </c>
      <c r="D67" s="4">
        <v>164</v>
      </c>
    </row>
    <row r="68" spans="1:4">
      <c r="A68" s="4" t="s">
        <v>122</v>
      </c>
      <c r="B68" s="4">
        <v>100155</v>
      </c>
      <c r="C68" s="4" t="s">
        <v>3441</v>
      </c>
      <c r="D68" s="4">
        <v>165</v>
      </c>
    </row>
    <row r="69" spans="1:4">
      <c r="A69" s="4" t="s">
        <v>123</v>
      </c>
      <c r="B69" s="4">
        <v>100157</v>
      </c>
      <c r="C69" s="4" t="s">
        <v>3442</v>
      </c>
      <c r="D69" s="4">
        <v>166</v>
      </c>
    </row>
    <row r="70" spans="1:4">
      <c r="A70" s="4" t="s">
        <v>124</v>
      </c>
      <c r="B70" s="4">
        <v>100159</v>
      </c>
      <c r="C70" s="4" t="s">
        <v>3443</v>
      </c>
      <c r="D70" s="4">
        <v>167</v>
      </c>
    </row>
    <row r="71" spans="1:4">
      <c r="A71" s="4" t="s">
        <v>125</v>
      </c>
      <c r="B71" s="4">
        <v>100161</v>
      </c>
      <c r="C71" s="4" t="s">
        <v>3444</v>
      </c>
      <c r="D71" s="4">
        <v>168</v>
      </c>
    </row>
    <row r="72" spans="1:4">
      <c r="A72" s="4" t="s">
        <v>126</v>
      </c>
      <c r="B72" s="4">
        <v>100163</v>
      </c>
      <c r="C72" s="4" t="s">
        <v>3445</v>
      </c>
      <c r="D72" s="4">
        <v>169</v>
      </c>
    </row>
    <row r="73" spans="1:4">
      <c r="A73" s="4" t="s">
        <v>127</v>
      </c>
      <c r="B73" s="4">
        <v>100165</v>
      </c>
      <c r="C73" s="4" t="s">
        <v>3446</v>
      </c>
      <c r="D73" s="4">
        <v>170</v>
      </c>
    </row>
    <row r="74" spans="1:4">
      <c r="A74" s="4" t="s">
        <v>128</v>
      </c>
      <c r="B74" s="4">
        <v>100167</v>
      </c>
      <c r="C74" s="4" t="s">
        <v>3447</v>
      </c>
      <c r="D74" s="4">
        <v>171</v>
      </c>
    </row>
    <row r="75" spans="1:4">
      <c r="A75" s="4" t="s">
        <v>129</v>
      </c>
      <c r="B75" s="4">
        <v>100169</v>
      </c>
      <c r="C75" s="4" t="s">
        <v>3448</v>
      </c>
      <c r="D75" s="4">
        <v>172</v>
      </c>
    </row>
    <row r="76" spans="1:4">
      <c r="A76" s="4" t="s">
        <v>130</v>
      </c>
      <c r="B76" s="4">
        <v>100171</v>
      </c>
      <c r="C76" s="4" t="s">
        <v>3449</v>
      </c>
      <c r="D76" s="4">
        <v>173</v>
      </c>
    </row>
    <row r="77" spans="1:4">
      <c r="A77" s="4" t="s">
        <v>131</v>
      </c>
      <c r="B77" s="4">
        <v>100173</v>
      </c>
      <c r="C77" s="4" t="s">
        <v>3450</v>
      </c>
      <c r="D77" s="4">
        <v>175</v>
      </c>
    </row>
    <row r="78" spans="1:4">
      <c r="A78" s="4" t="s">
        <v>132</v>
      </c>
      <c r="B78" s="4">
        <v>100175</v>
      </c>
      <c r="C78" s="4" t="s">
        <v>3451</v>
      </c>
      <c r="D78" s="4">
        <v>177</v>
      </c>
    </row>
    <row r="79" spans="1:4">
      <c r="A79" s="4" t="s">
        <v>133</v>
      </c>
      <c r="B79" s="4">
        <v>100177</v>
      </c>
      <c r="C79" s="4" t="s">
        <v>3452</v>
      </c>
      <c r="D79" s="4">
        <v>179</v>
      </c>
    </row>
    <row r="80" spans="1:4">
      <c r="A80" s="4" t="s">
        <v>134</v>
      </c>
      <c r="B80" s="4">
        <v>100179</v>
      </c>
      <c r="C80" s="4" t="s">
        <v>3453</v>
      </c>
      <c r="D80" s="4">
        <v>181</v>
      </c>
    </row>
    <row r="81" spans="1:4">
      <c r="A81" s="4" t="s">
        <v>135</v>
      </c>
      <c r="B81" s="4">
        <v>100181</v>
      </c>
      <c r="C81" s="4" t="s">
        <v>3454</v>
      </c>
      <c r="D81" s="4">
        <v>183</v>
      </c>
    </row>
    <row r="82" spans="1:4">
      <c r="A82" s="4" t="s">
        <v>136</v>
      </c>
      <c r="B82" s="4">
        <v>100183</v>
      </c>
      <c r="C82" s="4" t="s">
        <v>3455</v>
      </c>
      <c r="D82" s="4">
        <v>185</v>
      </c>
    </row>
    <row r="83" spans="1:4">
      <c r="A83" s="4" t="s">
        <v>137</v>
      </c>
      <c r="B83" s="4">
        <v>100185</v>
      </c>
      <c r="C83" s="4" t="s">
        <v>3456</v>
      </c>
      <c r="D83" s="4">
        <v>187</v>
      </c>
    </row>
    <row r="84" spans="1:4">
      <c r="A84" s="4" t="s">
        <v>138</v>
      </c>
      <c r="B84" s="4">
        <v>100187</v>
      </c>
      <c r="C84" s="4" t="s">
        <v>3457</v>
      </c>
      <c r="D84" s="4">
        <v>190</v>
      </c>
    </row>
    <row r="85" spans="1:4">
      <c r="A85" s="4" t="s">
        <v>139</v>
      </c>
      <c r="B85" s="4">
        <v>100189</v>
      </c>
      <c r="C85" s="4" t="s">
        <v>3458</v>
      </c>
      <c r="D85" s="4">
        <v>192</v>
      </c>
    </row>
    <row r="86" spans="1:4">
      <c r="A86" s="4" t="s">
        <v>140</v>
      </c>
      <c r="B86" s="4">
        <v>100191</v>
      </c>
      <c r="C86" s="4" t="s">
        <v>3459</v>
      </c>
      <c r="D86" s="4">
        <v>193</v>
      </c>
    </row>
    <row r="87" spans="1:4">
      <c r="A87" s="4" t="s">
        <v>141</v>
      </c>
      <c r="B87" s="4">
        <v>100193</v>
      </c>
      <c r="C87" s="4" t="s">
        <v>3460</v>
      </c>
      <c r="D87" s="4">
        <v>199</v>
      </c>
    </row>
    <row r="88" spans="1:4">
      <c r="A88" s="4" t="s">
        <v>142</v>
      </c>
      <c r="B88" s="4">
        <v>100195</v>
      </c>
      <c r="C88" s="4" t="s">
        <v>3461</v>
      </c>
      <c r="D88" s="4">
        <v>203</v>
      </c>
    </row>
    <row r="89" spans="1:4">
      <c r="A89" s="4" t="s">
        <v>143</v>
      </c>
      <c r="B89" s="4">
        <v>100197</v>
      </c>
      <c r="C89" s="4" t="s">
        <v>3462</v>
      </c>
      <c r="D89" s="4">
        <v>211</v>
      </c>
    </row>
    <row r="90" spans="1:4">
      <c r="A90" s="4" t="s">
        <v>144</v>
      </c>
      <c r="B90" s="4">
        <v>100199</v>
      </c>
      <c r="C90" s="4" t="s">
        <v>3463</v>
      </c>
      <c r="D90" s="4">
        <v>212</v>
      </c>
    </row>
    <row r="91" spans="1:4">
      <c r="A91" s="4" t="s">
        <v>145</v>
      </c>
      <c r="B91" s="4">
        <v>100201</v>
      </c>
      <c r="C91" s="4" t="s">
        <v>3464</v>
      </c>
      <c r="D91" s="4">
        <v>213</v>
      </c>
    </row>
    <row r="92" spans="1:4">
      <c r="A92" s="4" t="s">
        <v>146</v>
      </c>
      <c r="B92" s="4">
        <v>100203</v>
      </c>
      <c r="C92" s="4" t="s">
        <v>3465</v>
      </c>
      <c r="D92" s="4">
        <v>214</v>
      </c>
    </row>
    <row r="93" spans="1:4">
      <c r="A93" s="4" t="s">
        <v>147</v>
      </c>
      <c r="B93" s="4">
        <v>100205</v>
      </c>
      <c r="C93" s="4" t="s">
        <v>3466</v>
      </c>
      <c r="D93" s="4">
        <v>215</v>
      </c>
    </row>
    <row r="94" spans="1:4">
      <c r="A94" s="4" t="s">
        <v>148</v>
      </c>
      <c r="B94" s="4">
        <v>100207</v>
      </c>
      <c r="C94" s="4" t="s">
        <v>3467</v>
      </c>
      <c r="D94" s="4">
        <v>216</v>
      </c>
    </row>
    <row r="95" spans="1:4">
      <c r="A95" s="4" t="s">
        <v>149</v>
      </c>
      <c r="B95" s="4">
        <v>100209</v>
      </c>
      <c r="C95" s="4" t="s">
        <v>3468</v>
      </c>
      <c r="D95" s="4">
        <v>217</v>
      </c>
    </row>
    <row r="96" spans="1:4">
      <c r="A96" s="4" t="s">
        <v>150</v>
      </c>
      <c r="B96" s="4">
        <v>100211</v>
      </c>
      <c r="C96" s="4" t="s">
        <v>3469</v>
      </c>
      <c r="D96" s="4">
        <v>218</v>
      </c>
    </row>
    <row r="97" spans="1:4">
      <c r="A97" s="4" t="s">
        <v>151</v>
      </c>
      <c r="B97" s="4">
        <v>100213</v>
      </c>
      <c r="C97" s="4" t="s">
        <v>3470</v>
      </c>
      <c r="D97" s="4">
        <v>219</v>
      </c>
    </row>
    <row r="98" spans="1:4">
      <c r="A98" s="4" t="s">
        <v>152</v>
      </c>
      <c r="B98" s="4">
        <v>100215</v>
      </c>
      <c r="C98" s="4" t="s">
        <v>3471</v>
      </c>
      <c r="D98" s="4">
        <v>220</v>
      </c>
    </row>
    <row r="99" spans="1:4">
      <c r="A99" s="4" t="s">
        <v>153</v>
      </c>
      <c r="B99" s="4">
        <v>100217</v>
      </c>
      <c r="C99" s="4" t="s">
        <v>3472</v>
      </c>
      <c r="D99" s="4">
        <v>221</v>
      </c>
    </row>
    <row r="100" spans="1:4">
      <c r="A100" s="4" t="s">
        <v>154</v>
      </c>
      <c r="B100" s="4">
        <v>100219</v>
      </c>
      <c r="C100" s="4" t="s">
        <v>3473</v>
      </c>
      <c r="D100" s="4">
        <v>222</v>
      </c>
    </row>
    <row r="101" spans="1:4">
      <c r="A101" s="4" t="s">
        <v>155</v>
      </c>
      <c r="B101" s="4">
        <v>100221</v>
      </c>
      <c r="C101" s="4" t="s">
        <v>3474</v>
      </c>
      <c r="D101" s="4">
        <v>223</v>
      </c>
    </row>
    <row r="102" spans="1:4">
      <c r="A102" s="4" t="s">
        <v>156</v>
      </c>
      <c r="B102" s="4">
        <v>100223</v>
      </c>
      <c r="C102" s="4" t="s">
        <v>3475</v>
      </c>
      <c r="D102" s="4">
        <v>224</v>
      </c>
    </row>
    <row r="103" spans="1:4">
      <c r="A103" s="4" t="s">
        <v>157</v>
      </c>
      <c r="B103" s="4">
        <v>100225</v>
      </c>
      <c r="C103" s="4" t="s">
        <v>3476</v>
      </c>
      <c r="D103" s="4">
        <v>225</v>
      </c>
    </row>
    <row r="104" spans="1:4">
      <c r="A104" s="4" t="s">
        <v>158</v>
      </c>
      <c r="B104" s="4">
        <v>100227</v>
      </c>
      <c r="C104" s="4" t="s">
        <v>3477</v>
      </c>
      <c r="D104" s="4">
        <v>226</v>
      </c>
    </row>
    <row r="105" spans="1:4">
      <c r="A105" s="4" t="s">
        <v>159</v>
      </c>
      <c r="B105" s="4">
        <v>100229</v>
      </c>
      <c r="C105" s="4" t="s">
        <v>3478</v>
      </c>
      <c r="D105" s="4">
        <v>227</v>
      </c>
    </row>
    <row r="106" spans="1:4">
      <c r="A106" s="4" t="s">
        <v>160</v>
      </c>
      <c r="B106" s="4">
        <v>100231</v>
      </c>
      <c r="C106" s="4" t="s">
        <v>3479</v>
      </c>
      <c r="D106" s="4">
        <v>228</v>
      </c>
    </row>
    <row r="107" spans="1:4">
      <c r="A107" s="4" t="s">
        <v>161</v>
      </c>
      <c r="B107" s="4">
        <v>100233</v>
      </c>
      <c r="C107" s="4" t="s">
        <v>3480</v>
      </c>
      <c r="D107" s="4">
        <v>229</v>
      </c>
    </row>
    <row r="108" spans="1:4">
      <c r="A108" s="4" t="s">
        <v>162</v>
      </c>
      <c r="B108" s="4">
        <v>100235</v>
      </c>
      <c r="C108" s="4" t="s">
        <v>3481</v>
      </c>
      <c r="D108" s="4">
        <v>230</v>
      </c>
    </row>
    <row r="109" spans="1:4">
      <c r="A109" s="4" t="s">
        <v>163</v>
      </c>
      <c r="B109" s="4">
        <v>100237</v>
      </c>
      <c r="C109" s="4" t="s">
        <v>3482</v>
      </c>
      <c r="D109" s="4">
        <v>231</v>
      </c>
    </row>
    <row r="110" spans="1:4">
      <c r="A110" s="4" t="s">
        <v>164</v>
      </c>
      <c r="B110" s="4">
        <v>100239</v>
      </c>
      <c r="C110" s="4" t="s">
        <v>3483</v>
      </c>
      <c r="D110" s="4">
        <v>232</v>
      </c>
    </row>
    <row r="111" spans="1:4">
      <c r="A111" s="4" t="s">
        <v>165</v>
      </c>
      <c r="B111" s="4">
        <v>100241</v>
      </c>
      <c r="C111" s="4" t="s">
        <v>3484</v>
      </c>
      <c r="D111" s="4">
        <v>233</v>
      </c>
    </row>
    <row r="112" spans="1:4">
      <c r="A112" s="4" t="s">
        <v>166</v>
      </c>
      <c r="B112" s="4">
        <v>100243</v>
      </c>
      <c r="C112" s="4" t="s">
        <v>3485</v>
      </c>
      <c r="D112" s="4">
        <v>234</v>
      </c>
    </row>
    <row r="113" spans="1:4">
      <c r="A113" s="4" t="s">
        <v>167</v>
      </c>
      <c r="B113" s="4">
        <v>100245</v>
      </c>
      <c r="C113" s="4" t="s">
        <v>3486</v>
      </c>
      <c r="D113" s="4">
        <v>235</v>
      </c>
    </row>
    <row r="114" spans="1:4">
      <c r="A114" s="4" t="s">
        <v>168</v>
      </c>
      <c r="B114" s="4">
        <v>100247</v>
      </c>
      <c r="C114" s="4" t="s">
        <v>3487</v>
      </c>
      <c r="D114" s="4">
        <v>236</v>
      </c>
    </row>
    <row r="115" spans="1:4">
      <c r="A115" s="4" t="s">
        <v>169</v>
      </c>
      <c r="B115" s="4">
        <v>100249</v>
      </c>
      <c r="C115" s="4" t="s">
        <v>3488</v>
      </c>
      <c r="D115" s="4">
        <v>237</v>
      </c>
    </row>
    <row r="116" spans="1:4">
      <c r="A116" s="4" t="s">
        <v>170</v>
      </c>
      <c r="B116" s="4">
        <v>100251</v>
      </c>
      <c r="C116" s="4" t="s">
        <v>3489</v>
      </c>
      <c r="D116" s="4">
        <v>238</v>
      </c>
    </row>
    <row r="117" spans="1:4">
      <c r="A117" s="4" t="s">
        <v>171</v>
      </c>
      <c r="B117" s="4">
        <v>100253</v>
      </c>
      <c r="C117" s="4" t="s">
        <v>3490</v>
      </c>
      <c r="D117" s="4">
        <v>239</v>
      </c>
    </row>
    <row r="118" spans="1:4">
      <c r="A118" s="4" t="s">
        <v>172</v>
      </c>
      <c r="B118" s="4">
        <v>100255</v>
      </c>
      <c r="C118" s="4" t="s">
        <v>3491</v>
      </c>
      <c r="D118" s="4">
        <v>240</v>
      </c>
    </row>
    <row r="119" spans="1:4">
      <c r="A119" s="4" t="s">
        <v>173</v>
      </c>
      <c r="B119" s="4">
        <v>100257</v>
      </c>
      <c r="C119" s="4" t="s">
        <v>3492</v>
      </c>
      <c r="D119" s="4">
        <v>241</v>
      </c>
    </row>
    <row r="120" spans="1:4">
      <c r="A120" s="4" t="s">
        <v>174</v>
      </c>
      <c r="B120" s="4">
        <v>100259</v>
      </c>
      <c r="C120" s="4" t="s">
        <v>3493</v>
      </c>
      <c r="D120" s="4">
        <v>242</v>
      </c>
    </row>
    <row r="121" spans="1:4">
      <c r="A121" s="4" t="s">
        <v>175</v>
      </c>
      <c r="B121" s="4">
        <v>100261</v>
      </c>
      <c r="C121" s="4" t="s">
        <v>3494</v>
      </c>
      <c r="D121" s="4">
        <v>243</v>
      </c>
    </row>
    <row r="122" spans="1:4">
      <c r="A122" s="4" t="s">
        <v>176</v>
      </c>
      <c r="B122" s="4">
        <v>100263</v>
      </c>
      <c r="C122" s="4" t="s">
        <v>3495</v>
      </c>
      <c r="D122" s="4">
        <v>244</v>
      </c>
    </row>
    <row r="123" spans="1:4">
      <c r="A123" s="4" t="s">
        <v>177</v>
      </c>
      <c r="B123" s="4">
        <v>100265</v>
      </c>
      <c r="C123" s="4" t="s">
        <v>3496</v>
      </c>
      <c r="D123" s="4">
        <v>245</v>
      </c>
    </row>
    <row r="124" spans="1:4">
      <c r="A124" s="4" t="s">
        <v>178</v>
      </c>
      <c r="B124" s="4">
        <v>100267</v>
      </c>
      <c r="C124" s="4" t="s">
        <v>3497</v>
      </c>
      <c r="D124" s="4">
        <v>246</v>
      </c>
    </row>
    <row r="125" spans="1:4">
      <c r="A125" s="4" t="s">
        <v>179</v>
      </c>
      <c r="B125" s="4">
        <v>100269</v>
      </c>
      <c r="C125" s="4" t="s">
        <v>3498</v>
      </c>
      <c r="D125" s="4">
        <v>247</v>
      </c>
    </row>
    <row r="126" spans="1:4">
      <c r="A126" s="4" t="s">
        <v>180</v>
      </c>
      <c r="B126" s="4">
        <v>100271</v>
      </c>
      <c r="C126" s="4" t="s">
        <v>3499</v>
      </c>
      <c r="D126" s="4">
        <v>248</v>
      </c>
    </row>
    <row r="127" spans="1:4">
      <c r="A127" s="4" t="s">
        <v>181</v>
      </c>
      <c r="B127" s="4">
        <v>100273</v>
      </c>
      <c r="C127" s="4" t="s">
        <v>3500</v>
      </c>
      <c r="D127" s="4">
        <v>249</v>
      </c>
    </row>
    <row r="128" spans="1:4">
      <c r="A128" s="4" t="s">
        <v>182</v>
      </c>
      <c r="B128" s="4">
        <v>100275</v>
      </c>
      <c r="C128" s="4" t="s">
        <v>3501</v>
      </c>
      <c r="D128" s="4">
        <v>250</v>
      </c>
    </row>
    <row r="129" spans="1:4">
      <c r="A129" s="4" t="s">
        <v>183</v>
      </c>
      <c r="B129" s="4">
        <v>100277</v>
      </c>
      <c r="C129" s="4" t="s">
        <v>3502</v>
      </c>
      <c r="D129" s="4">
        <v>251</v>
      </c>
    </row>
    <row r="130" spans="1:4">
      <c r="A130" s="4" t="s">
        <v>184</v>
      </c>
      <c r="B130" s="4">
        <v>100279</v>
      </c>
      <c r="C130" s="4" t="s">
        <v>3503</v>
      </c>
      <c r="D130" s="4">
        <v>252</v>
      </c>
    </row>
    <row r="131" spans="1:4">
      <c r="A131" s="4" t="s">
        <v>185</v>
      </c>
      <c r="B131" s="4">
        <v>100281</v>
      </c>
      <c r="C131" s="4" t="s">
        <v>3504</v>
      </c>
      <c r="D131" s="4">
        <v>253</v>
      </c>
    </row>
    <row r="132" spans="1:4">
      <c r="A132" s="4" t="s">
        <v>186</v>
      </c>
      <c r="B132" s="4">
        <v>100283</v>
      </c>
      <c r="C132" s="4" t="s">
        <v>3505</v>
      </c>
      <c r="D132" s="4">
        <v>254</v>
      </c>
    </row>
    <row r="133" spans="1:4">
      <c r="A133" s="4" t="s">
        <v>187</v>
      </c>
      <c r="B133" s="4">
        <v>100285</v>
      </c>
      <c r="C133" s="4" t="s">
        <v>3506</v>
      </c>
      <c r="D133" s="4">
        <v>255</v>
      </c>
    </row>
    <row r="134" spans="1:4">
      <c r="A134" s="4" t="s">
        <v>188</v>
      </c>
      <c r="B134" s="4">
        <v>100287</v>
      </c>
      <c r="C134" s="4" t="s">
        <v>3507</v>
      </c>
      <c r="D134" s="4">
        <v>256</v>
      </c>
    </row>
    <row r="135" spans="1:4">
      <c r="A135" s="4" t="s">
        <v>189</v>
      </c>
      <c r="B135" s="4">
        <v>100289</v>
      </c>
      <c r="C135" s="4" t="s">
        <v>3508</v>
      </c>
      <c r="D135" s="4">
        <v>257</v>
      </c>
    </row>
    <row r="136" spans="1:4">
      <c r="A136" s="4" t="s">
        <v>190</v>
      </c>
      <c r="B136" s="4">
        <v>100291</v>
      </c>
      <c r="C136" s="4" t="s">
        <v>3509</v>
      </c>
      <c r="D136" s="4">
        <v>258</v>
      </c>
    </row>
    <row r="137" spans="1:4">
      <c r="A137" s="4" t="s">
        <v>191</v>
      </c>
      <c r="B137" s="4">
        <v>100293</v>
      </c>
      <c r="C137" s="4" t="s">
        <v>3510</v>
      </c>
      <c r="D137" s="4">
        <v>259</v>
      </c>
    </row>
    <row r="138" spans="1:4">
      <c r="A138" s="4" t="s">
        <v>192</v>
      </c>
      <c r="B138" s="4">
        <v>100295</v>
      </c>
      <c r="C138" s="4" t="s">
        <v>3511</v>
      </c>
      <c r="D138" s="4">
        <v>260</v>
      </c>
    </row>
    <row r="139" spans="1:4">
      <c r="A139" s="4" t="s">
        <v>193</v>
      </c>
      <c r="B139" s="4">
        <v>100297</v>
      </c>
      <c r="C139" s="4" t="s">
        <v>3512</v>
      </c>
      <c r="D139" s="4">
        <v>261</v>
      </c>
    </row>
    <row r="140" spans="1:4">
      <c r="A140" s="4" t="s">
        <v>194</v>
      </c>
      <c r="B140" s="4">
        <v>100299</v>
      </c>
      <c r="C140" s="4" t="s">
        <v>3513</v>
      </c>
      <c r="D140" s="4">
        <v>262</v>
      </c>
    </row>
    <row r="141" spans="1:4">
      <c r="A141" s="4" t="s">
        <v>196</v>
      </c>
      <c r="B141" s="4">
        <v>100301</v>
      </c>
      <c r="C141" s="4" t="s">
        <v>3514</v>
      </c>
      <c r="D141" s="4">
        <v>263</v>
      </c>
    </row>
    <row r="142" spans="1:4">
      <c r="A142" s="4" t="s">
        <v>197</v>
      </c>
      <c r="B142" s="4">
        <v>100303</v>
      </c>
      <c r="C142" s="4" t="s">
        <v>3515</v>
      </c>
      <c r="D142" s="4">
        <v>264</v>
      </c>
    </row>
    <row r="143" spans="1:4">
      <c r="A143" s="4" t="s">
        <v>198</v>
      </c>
      <c r="B143" s="4">
        <v>100305</v>
      </c>
      <c r="C143" s="4" t="s">
        <v>3516</v>
      </c>
      <c r="D143" s="4">
        <v>265</v>
      </c>
    </row>
    <row r="144" spans="1:4">
      <c r="A144" s="4" t="s">
        <v>199</v>
      </c>
      <c r="B144" s="4">
        <v>100307</v>
      </c>
      <c r="C144" s="4" t="s">
        <v>3517</v>
      </c>
      <c r="D144" s="4">
        <v>266</v>
      </c>
    </row>
    <row r="145" spans="1:4">
      <c r="A145" s="4" t="s">
        <v>200</v>
      </c>
      <c r="B145" s="4">
        <v>100309</v>
      </c>
      <c r="C145" s="4" t="s">
        <v>3518</v>
      </c>
      <c r="D145" s="4">
        <v>267</v>
      </c>
    </row>
    <row r="146" spans="1:4">
      <c r="A146" s="4" t="s">
        <v>201</v>
      </c>
      <c r="B146" s="4">
        <v>100311</v>
      </c>
      <c r="C146" s="4" t="s">
        <v>3519</v>
      </c>
      <c r="D146" s="4">
        <v>268</v>
      </c>
    </row>
    <row r="147" spans="1:4">
      <c r="A147" s="4" t="s">
        <v>202</v>
      </c>
      <c r="B147" s="4">
        <v>100313</v>
      </c>
      <c r="C147" s="4" t="s">
        <v>3520</v>
      </c>
      <c r="D147" s="4">
        <v>269</v>
      </c>
    </row>
    <row r="148" spans="1:4">
      <c r="A148" s="4" t="s">
        <v>203</v>
      </c>
      <c r="B148" s="4">
        <v>100315</v>
      </c>
      <c r="C148" s="4" t="s">
        <v>3521</v>
      </c>
      <c r="D148" s="4">
        <v>270</v>
      </c>
    </row>
    <row r="149" spans="1:4">
      <c r="A149" s="4" t="s">
        <v>204</v>
      </c>
      <c r="B149" s="4">
        <v>100317</v>
      </c>
      <c r="C149" s="4" t="s">
        <v>3522</v>
      </c>
      <c r="D149" s="4">
        <v>271</v>
      </c>
    </row>
    <row r="150" spans="1:4">
      <c r="A150" s="4" t="s">
        <v>205</v>
      </c>
      <c r="B150" s="4">
        <v>100319</v>
      </c>
      <c r="C150" s="4" t="s">
        <v>3523</v>
      </c>
      <c r="D150" s="4">
        <v>272</v>
      </c>
    </row>
    <row r="151" spans="1:4">
      <c r="A151" s="4" t="s">
        <v>206</v>
      </c>
      <c r="B151" s="4">
        <v>100321</v>
      </c>
      <c r="C151" s="4" t="s">
        <v>3524</v>
      </c>
      <c r="D151" s="4">
        <v>273</v>
      </c>
    </row>
    <row r="152" spans="1:4">
      <c r="A152" s="4" t="s">
        <v>207</v>
      </c>
      <c r="B152" s="4">
        <v>100323</v>
      </c>
      <c r="C152" s="4" t="s">
        <v>3525</v>
      </c>
      <c r="D152" s="4">
        <v>274</v>
      </c>
    </row>
    <row r="153" spans="1:4">
      <c r="A153" s="4" t="s">
        <v>208</v>
      </c>
      <c r="B153" s="4">
        <v>100325</v>
      </c>
      <c r="C153" s="4" t="s">
        <v>3526</v>
      </c>
      <c r="D153" s="4">
        <v>275</v>
      </c>
    </row>
    <row r="154" spans="1:4">
      <c r="A154" s="4" t="s">
        <v>209</v>
      </c>
      <c r="B154" s="4">
        <v>100327</v>
      </c>
      <c r="C154" s="4" t="s">
        <v>3527</v>
      </c>
      <c r="D154" s="4">
        <v>276</v>
      </c>
    </row>
    <row r="155" spans="1:4">
      <c r="A155" s="4" t="s">
        <v>210</v>
      </c>
      <c r="B155" s="4">
        <v>100329</v>
      </c>
      <c r="C155" s="4" t="s">
        <v>3528</v>
      </c>
      <c r="D155" s="4">
        <v>277</v>
      </c>
    </row>
    <row r="156" spans="1:4">
      <c r="A156" s="4" t="s">
        <v>211</v>
      </c>
      <c r="B156" s="4">
        <v>100331</v>
      </c>
      <c r="C156" s="4" t="s">
        <v>3529</v>
      </c>
      <c r="D156" s="4">
        <v>278</v>
      </c>
    </row>
    <row r="157" spans="1:4">
      <c r="A157" s="4" t="s">
        <v>212</v>
      </c>
      <c r="B157" s="4">
        <v>100333</v>
      </c>
      <c r="C157" s="4" t="s">
        <v>3530</v>
      </c>
      <c r="D157" s="4">
        <v>279</v>
      </c>
    </row>
    <row r="158" spans="1:4">
      <c r="A158" s="4" t="s">
        <v>213</v>
      </c>
      <c r="B158" s="4">
        <v>100335</v>
      </c>
      <c r="C158" s="4" t="s">
        <v>3531</v>
      </c>
      <c r="D158" s="4">
        <v>280</v>
      </c>
    </row>
    <row r="159" spans="1:4">
      <c r="A159" s="4" t="s">
        <v>214</v>
      </c>
      <c r="B159" s="4">
        <v>100337</v>
      </c>
      <c r="C159" s="4" t="s">
        <v>3532</v>
      </c>
      <c r="D159" s="4">
        <v>281</v>
      </c>
    </row>
    <row r="160" spans="1:4">
      <c r="A160" s="4" t="s">
        <v>215</v>
      </c>
      <c r="B160" s="4">
        <v>100339</v>
      </c>
      <c r="C160" s="4" t="s">
        <v>3533</v>
      </c>
      <c r="D160" s="4">
        <v>282</v>
      </c>
    </row>
    <row r="161" spans="1:4">
      <c r="A161" s="4" t="s">
        <v>216</v>
      </c>
      <c r="B161" s="4">
        <v>100341</v>
      </c>
      <c r="C161" s="4" t="s">
        <v>3534</v>
      </c>
      <c r="D161" s="4">
        <v>283</v>
      </c>
    </row>
    <row r="162" spans="1:4">
      <c r="A162" s="4" t="s">
        <v>217</v>
      </c>
      <c r="B162" s="4">
        <v>100343</v>
      </c>
      <c r="C162" s="4" t="s">
        <v>3535</v>
      </c>
      <c r="D162" s="4">
        <v>284</v>
      </c>
    </row>
    <row r="163" spans="1:4">
      <c r="A163" s="4" t="s">
        <v>218</v>
      </c>
      <c r="B163" s="4">
        <v>100345</v>
      </c>
      <c r="C163" s="4" t="s">
        <v>3536</v>
      </c>
      <c r="D163" s="4">
        <v>285</v>
      </c>
    </row>
    <row r="164" spans="1:4">
      <c r="A164" s="4" t="s">
        <v>219</v>
      </c>
      <c r="B164" s="4">
        <v>100347</v>
      </c>
      <c r="C164" s="4" t="s">
        <v>3537</v>
      </c>
      <c r="D164" s="4">
        <v>286</v>
      </c>
    </row>
    <row r="165" spans="1:4">
      <c r="A165" s="4" t="s">
        <v>220</v>
      </c>
      <c r="B165" s="4">
        <v>100349</v>
      </c>
      <c r="C165" s="4" t="s">
        <v>3538</v>
      </c>
      <c r="D165" s="4">
        <v>287</v>
      </c>
    </row>
    <row r="166" spans="1:4">
      <c r="A166" s="4" t="s">
        <v>221</v>
      </c>
      <c r="B166" s="4">
        <v>100351</v>
      </c>
      <c r="C166" s="4" t="s">
        <v>3539</v>
      </c>
      <c r="D166" s="4">
        <v>288</v>
      </c>
    </row>
    <row r="167" spans="1:4">
      <c r="A167" s="4" t="s">
        <v>222</v>
      </c>
      <c r="B167" s="4">
        <v>100353</v>
      </c>
      <c r="C167" s="4" t="s">
        <v>3540</v>
      </c>
      <c r="D167" s="4">
        <v>289</v>
      </c>
    </row>
    <row r="168" spans="1:4">
      <c r="A168" s="4" t="s">
        <v>224</v>
      </c>
      <c r="B168" s="4">
        <v>100355</v>
      </c>
      <c r="C168" s="4" t="s">
        <v>3541</v>
      </c>
      <c r="D168" s="4">
        <v>290</v>
      </c>
    </row>
    <row r="169" spans="1:4">
      <c r="A169" s="4" t="s">
        <v>225</v>
      </c>
      <c r="B169" s="4">
        <v>100357</v>
      </c>
      <c r="C169" s="4" t="s">
        <v>3542</v>
      </c>
      <c r="D169" s="4">
        <v>291</v>
      </c>
    </row>
    <row r="170" spans="1:4">
      <c r="A170" s="4" t="s">
        <v>226</v>
      </c>
      <c r="B170" s="4">
        <v>100359</v>
      </c>
      <c r="C170" s="4" t="s">
        <v>3543</v>
      </c>
      <c r="D170" s="4">
        <v>292</v>
      </c>
    </row>
    <row r="171" spans="1:4">
      <c r="A171" s="4" t="s">
        <v>227</v>
      </c>
      <c r="B171" s="4">
        <v>100361</v>
      </c>
      <c r="C171" s="4" t="s">
        <v>3544</v>
      </c>
      <c r="D171" s="4">
        <v>293</v>
      </c>
    </row>
    <row r="172" spans="1:4">
      <c r="A172" s="4" t="s">
        <v>228</v>
      </c>
      <c r="B172" s="4">
        <v>100363</v>
      </c>
      <c r="C172" s="4" t="s">
        <v>3545</v>
      </c>
      <c r="D172" s="4">
        <v>294</v>
      </c>
    </row>
    <row r="173" spans="1:4">
      <c r="A173" s="4" t="s">
        <v>229</v>
      </c>
      <c r="B173" s="4">
        <v>100365</v>
      </c>
      <c r="C173" s="4" t="s">
        <v>3546</v>
      </c>
      <c r="D173" s="4">
        <v>295</v>
      </c>
    </row>
    <row r="174" spans="1:4">
      <c r="A174" s="4" t="s">
        <v>230</v>
      </c>
      <c r="B174" s="4">
        <v>100367</v>
      </c>
      <c r="C174" s="4" t="s">
        <v>3547</v>
      </c>
      <c r="D174" s="4">
        <v>296</v>
      </c>
    </row>
    <row r="175" spans="1:4">
      <c r="A175" s="4" t="s">
        <v>231</v>
      </c>
      <c r="B175" s="4">
        <v>100369</v>
      </c>
      <c r="C175" s="4" t="s">
        <v>3548</v>
      </c>
      <c r="D175" s="4">
        <v>297</v>
      </c>
    </row>
    <row r="176" spans="1:4">
      <c r="A176" s="4" t="s">
        <v>232</v>
      </c>
      <c r="B176" s="4">
        <v>100371</v>
      </c>
      <c r="C176" s="4" t="s">
        <v>3549</v>
      </c>
      <c r="D176" s="4">
        <v>298</v>
      </c>
    </row>
    <row r="177" spans="1:4">
      <c r="A177" s="4" t="s">
        <v>233</v>
      </c>
      <c r="B177" s="4">
        <v>100373</v>
      </c>
      <c r="C177" s="4" t="s">
        <v>3550</v>
      </c>
      <c r="D177" s="4">
        <v>299</v>
      </c>
    </row>
    <row r="178" spans="1:4">
      <c r="A178" s="4" t="s">
        <v>431</v>
      </c>
      <c r="B178" s="4">
        <v>100375</v>
      </c>
      <c r="C178" s="4" t="s">
        <v>3551</v>
      </c>
      <c r="D178" s="4">
        <v>300</v>
      </c>
    </row>
    <row r="179" spans="1:4">
      <c r="A179" s="4" t="s">
        <v>234</v>
      </c>
      <c r="B179" s="4">
        <v>100377</v>
      </c>
      <c r="C179" s="4" t="s">
        <v>3552</v>
      </c>
      <c r="D179" s="4">
        <v>301</v>
      </c>
    </row>
    <row r="180" spans="1:4">
      <c r="A180" s="4" t="s">
        <v>235</v>
      </c>
      <c r="B180" s="4">
        <v>100379</v>
      </c>
      <c r="C180" s="4" t="s">
        <v>3553</v>
      </c>
      <c r="D180" s="4">
        <v>302</v>
      </c>
    </row>
    <row r="181" spans="1:4">
      <c r="A181" s="4" t="s">
        <v>236</v>
      </c>
      <c r="B181" s="4">
        <v>100381</v>
      </c>
      <c r="C181" s="4" t="s">
        <v>3554</v>
      </c>
      <c r="D181" s="4">
        <v>303</v>
      </c>
    </row>
    <row r="182" spans="1:4">
      <c r="A182" s="4" t="s">
        <v>237</v>
      </c>
      <c r="B182" s="4">
        <v>100383</v>
      </c>
      <c r="C182" s="4" t="s">
        <v>3555</v>
      </c>
      <c r="D182" s="4">
        <v>305</v>
      </c>
    </row>
    <row r="183" spans="1:4">
      <c r="A183" s="4" t="s">
        <v>238</v>
      </c>
      <c r="B183" s="4">
        <v>100385</v>
      </c>
      <c r="C183" s="4" t="s">
        <v>3556</v>
      </c>
      <c r="D183" s="4">
        <v>307</v>
      </c>
    </row>
    <row r="184" spans="1:4">
      <c r="A184" s="4" t="s">
        <v>239</v>
      </c>
      <c r="B184" s="4">
        <v>100387</v>
      </c>
      <c r="C184" s="4" t="s">
        <v>3557</v>
      </c>
      <c r="D184" s="4">
        <v>309</v>
      </c>
    </row>
    <row r="185" spans="1:4">
      <c r="A185" s="4" t="s">
        <v>240</v>
      </c>
      <c r="B185" s="4">
        <v>100389</v>
      </c>
      <c r="C185" s="4" t="s">
        <v>3558</v>
      </c>
      <c r="D185" s="4">
        <v>310</v>
      </c>
    </row>
    <row r="186" spans="1:4">
      <c r="A186" s="4" t="s">
        <v>241</v>
      </c>
      <c r="B186" s="4">
        <v>100391</v>
      </c>
      <c r="C186" s="4" t="s">
        <v>3559</v>
      </c>
      <c r="D186" s="4">
        <v>311</v>
      </c>
    </row>
    <row r="187" spans="1:4">
      <c r="A187" s="4" t="s">
        <v>428</v>
      </c>
      <c r="B187" s="4">
        <v>100393</v>
      </c>
      <c r="C187" s="4" t="s">
        <v>3560</v>
      </c>
      <c r="D187" s="4">
        <v>312</v>
      </c>
    </row>
    <row r="188" spans="1:4">
      <c r="A188" s="4" t="s">
        <v>242</v>
      </c>
      <c r="B188" s="4">
        <v>100395</v>
      </c>
      <c r="C188" s="4" t="s">
        <v>3561</v>
      </c>
      <c r="D188" s="4">
        <v>314</v>
      </c>
    </row>
    <row r="189" spans="1:4">
      <c r="A189" s="4" t="s">
        <v>243</v>
      </c>
      <c r="B189" s="4">
        <v>100397</v>
      </c>
      <c r="C189" s="4" t="s">
        <v>3562</v>
      </c>
      <c r="D189" s="4">
        <v>315</v>
      </c>
    </row>
    <row r="190" spans="1:4">
      <c r="A190" s="4" t="s">
        <v>427</v>
      </c>
      <c r="B190" s="4">
        <v>100399</v>
      </c>
      <c r="C190" s="4" t="s">
        <v>3563</v>
      </c>
      <c r="D190" s="4">
        <v>317</v>
      </c>
    </row>
    <row r="191" spans="1:4">
      <c r="A191" s="4" t="s">
        <v>244</v>
      </c>
      <c r="B191" s="4">
        <v>100401</v>
      </c>
      <c r="C191" s="4" t="s">
        <v>3564</v>
      </c>
      <c r="D191" s="4">
        <v>319</v>
      </c>
    </row>
    <row r="192" spans="1:4">
      <c r="A192" s="4" t="s">
        <v>245</v>
      </c>
      <c r="B192" s="4">
        <v>100403</v>
      </c>
      <c r="C192" s="4" t="s">
        <v>3565</v>
      </c>
      <c r="D192" s="4">
        <v>320</v>
      </c>
    </row>
    <row r="193" spans="1:4">
      <c r="A193" s="4" t="s">
        <v>246</v>
      </c>
      <c r="B193" s="4">
        <v>100405</v>
      </c>
      <c r="C193" s="4" t="s">
        <v>3566</v>
      </c>
      <c r="D193" s="4">
        <v>321</v>
      </c>
    </row>
    <row r="194" spans="1:4">
      <c r="A194" s="4" t="s">
        <v>247</v>
      </c>
      <c r="B194" s="4">
        <v>100407</v>
      </c>
      <c r="C194" s="4" t="s">
        <v>3567</v>
      </c>
      <c r="D194" s="4">
        <v>323</v>
      </c>
    </row>
    <row r="195" spans="1:4">
      <c r="A195" s="4" t="s">
        <v>248</v>
      </c>
      <c r="B195" s="4">
        <v>100409</v>
      </c>
      <c r="C195" s="4" t="s">
        <v>3568</v>
      </c>
      <c r="D195" s="4">
        <v>324</v>
      </c>
    </row>
    <row r="196" spans="1:4">
      <c r="A196" s="4" t="s">
        <v>249</v>
      </c>
      <c r="B196" s="4">
        <v>100411</v>
      </c>
      <c r="C196" s="4" t="s">
        <v>3569</v>
      </c>
      <c r="D196" s="4">
        <v>326</v>
      </c>
    </row>
    <row r="197" spans="1:4">
      <c r="A197" s="4" t="s">
        <v>425</v>
      </c>
      <c r="B197" s="4">
        <v>100413</v>
      </c>
      <c r="C197" s="4" t="s">
        <v>3570</v>
      </c>
      <c r="D197" s="4">
        <v>327</v>
      </c>
    </row>
    <row r="198" spans="1:4">
      <c r="A198" s="4" t="s">
        <v>250</v>
      </c>
      <c r="B198" s="4">
        <v>100415</v>
      </c>
      <c r="C198" s="4" t="s">
        <v>3571</v>
      </c>
      <c r="D198" s="4">
        <v>328</v>
      </c>
    </row>
    <row r="199" spans="1:4">
      <c r="A199" s="4" t="s">
        <v>251</v>
      </c>
      <c r="B199" s="4">
        <v>100417</v>
      </c>
      <c r="C199" s="4" t="s">
        <v>1782</v>
      </c>
      <c r="D199" s="4">
        <v>329</v>
      </c>
    </row>
    <row r="200" spans="1:4">
      <c r="A200" s="4" t="s">
        <v>252</v>
      </c>
      <c r="B200" s="4">
        <v>100419</v>
      </c>
      <c r="C200" s="4" t="s">
        <v>3572</v>
      </c>
      <c r="D200" s="4">
        <v>330</v>
      </c>
    </row>
    <row r="201" spans="1:4">
      <c r="A201" s="4" t="s">
        <v>253</v>
      </c>
      <c r="B201" s="4">
        <v>100421</v>
      </c>
      <c r="C201" s="4" t="s">
        <v>1784</v>
      </c>
      <c r="D201" s="4">
        <v>332</v>
      </c>
    </row>
    <row r="202" spans="1:4">
      <c r="A202" s="4" t="s">
        <v>254</v>
      </c>
      <c r="B202" s="4">
        <v>100423</v>
      </c>
      <c r="C202" s="4" t="s">
        <v>3573</v>
      </c>
      <c r="D202" s="4">
        <v>335</v>
      </c>
    </row>
    <row r="203" spans="1:4">
      <c r="A203" s="4" t="s">
        <v>421</v>
      </c>
      <c r="B203" s="4">
        <v>100425</v>
      </c>
      <c r="C203" s="4" t="s">
        <v>3574</v>
      </c>
      <c r="D203" s="4">
        <v>337</v>
      </c>
    </row>
    <row r="204" spans="1:4">
      <c r="A204" s="4" t="s">
        <v>255</v>
      </c>
      <c r="B204" s="4">
        <v>100427</v>
      </c>
      <c r="C204" s="4" t="s">
        <v>3575</v>
      </c>
      <c r="D204" s="4">
        <v>338</v>
      </c>
    </row>
    <row r="205" spans="1:4">
      <c r="A205" s="4" t="s">
        <v>256</v>
      </c>
      <c r="B205" s="4">
        <v>100429</v>
      </c>
      <c r="C205" s="4" t="s">
        <v>3576</v>
      </c>
      <c r="D205" s="4">
        <v>339</v>
      </c>
    </row>
    <row r="206" spans="1:4">
      <c r="A206" s="4" t="s">
        <v>257</v>
      </c>
      <c r="B206" s="4">
        <v>100431</v>
      </c>
      <c r="C206" s="4" t="s">
        <v>3577</v>
      </c>
      <c r="D206" s="4">
        <v>340</v>
      </c>
    </row>
    <row r="207" spans="1:4">
      <c r="A207" s="4" t="s">
        <v>258</v>
      </c>
      <c r="B207" s="4">
        <v>100433</v>
      </c>
      <c r="C207" s="4" t="s">
        <v>3578</v>
      </c>
      <c r="D207" s="4">
        <v>341</v>
      </c>
    </row>
    <row r="208" spans="1:4">
      <c r="A208" s="4" t="s">
        <v>259</v>
      </c>
      <c r="B208" s="4">
        <v>100435</v>
      </c>
      <c r="C208" s="4" t="s">
        <v>3579</v>
      </c>
      <c r="D208" s="4">
        <v>342</v>
      </c>
    </row>
    <row r="209" spans="1:4">
      <c r="A209" s="4" t="s">
        <v>346</v>
      </c>
      <c r="B209" s="4">
        <v>100437</v>
      </c>
      <c r="C209" s="4" t="s">
        <v>3580</v>
      </c>
      <c r="D209" s="4">
        <v>344</v>
      </c>
    </row>
    <row r="210" spans="1:4">
      <c r="A210" s="4" t="s">
        <v>3581</v>
      </c>
      <c r="B210" s="4">
        <v>100439</v>
      </c>
      <c r="C210" s="4" t="s">
        <v>3582</v>
      </c>
      <c r="D210" s="4">
        <v>345</v>
      </c>
    </row>
    <row r="211" spans="1:4">
      <c r="A211" s="4" t="s">
        <v>432</v>
      </c>
      <c r="B211" s="4">
        <v>100441</v>
      </c>
      <c r="C211" s="4" t="s">
        <v>3583</v>
      </c>
      <c r="D211" s="4">
        <v>346</v>
      </c>
    </row>
    <row r="212" spans="1:4">
      <c r="A212" s="4" t="s">
        <v>356</v>
      </c>
      <c r="B212" s="4">
        <v>100443</v>
      </c>
      <c r="C212" s="4" t="s">
        <v>3584</v>
      </c>
      <c r="D212" s="4">
        <v>347</v>
      </c>
    </row>
    <row r="213" spans="1:4">
      <c r="A213" s="4" t="s">
        <v>650</v>
      </c>
      <c r="B213" s="4">
        <v>100445</v>
      </c>
      <c r="C213" s="4" t="s">
        <v>3585</v>
      </c>
      <c r="D213" s="4">
        <v>348</v>
      </c>
    </row>
    <row r="214" spans="1:4">
      <c r="A214" s="4" t="s">
        <v>378</v>
      </c>
      <c r="B214" s="4">
        <v>100447</v>
      </c>
      <c r="C214" s="4" t="s">
        <v>3586</v>
      </c>
      <c r="D214" s="4">
        <v>349</v>
      </c>
    </row>
    <row r="215" spans="1:4">
      <c r="A215" s="4" t="s">
        <v>349</v>
      </c>
      <c r="B215" s="4">
        <v>100449</v>
      </c>
      <c r="C215" s="4" t="s">
        <v>3587</v>
      </c>
      <c r="D215" s="4">
        <v>350</v>
      </c>
    </row>
    <row r="216" spans="1:4">
      <c r="A216" s="4" t="s">
        <v>323</v>
      </c>
      <c r="B216" s="4">
        <v>100451</v>
      </c>
      <c r="C216" s="4" t="s">
        <v>3588</v>
      </c>
      <c r="D216" s="4">
        <v>351</v>
      </c>
    </row>
    <row r="217" spans="1:4">
      <c r="A217" s="4" t="s">
        <v>329</v>
      </c>
      <c r="B217" s="4">
        <v>100453</v>
      </c>
      <c r="C217" s="4" t="s">
        <v>3589</v>
      </c>
      <c r="D217" s="4">
        <v>352</v>
      </c>
    </row>
    <row r="218" spans="1:4">
      <c r="A218" s="4" t="s">
        <v>381</v>
      </c>
      <c r="B218" s="4">
        <v>100455</v>
      </c>
      <c r="C218" s="4" t="s">
        <v>3590</v>
      </c>
      <c r="D218" s="4">
        <v>353</v>
      </c>
    </row>
    <row r="219" spans="1:4">
      <c r="A219" s="4" t="s">
        <v>331</v>
      </c>
      <c r="B219" s="4">
        <v>100457</v>
      </c>
      <c r="C219" s="4" t="s">
        <v>3591</v>
      </c>
      <c r="D219" s="4">
        <v>354</v>
      </c>
    </row>
    <row r="220" spans="1:4">
      <c r="A220" s="4" t="s">
        <v>316</v>
      </c>
      <c r="B220" s="4">
        <v>100459</v>
      </c>
      <c r="C220" s="4" t="s">
        <v>3592</v>
      </c>
      <c r="D220" s="4">
        <v>355</v>
      </c>
    </row>
    <row r="221" spans="1:4">
      <c r="A221" s="4" t="s">
        <v>375</v>
      </c>
      <c r="B221" s="4">
        <v>100461</v>
      </c>
      <c r="C221" s="4" t="s">
        <v>3593</v>
      </c>
      <c r="D221" s="4">
        <v>356</v>
      </c>
    </row>
    <row r="222" spans="1:4">
      <c r="A222" s="4" t="s">
        <v>328</v>
      </c>
      <c r="B222" s="4">
        <v>100463</v>
      </c>
      <c r="C222" s="4" t="s">
        <v>3594</v>
      </c>
      <c r="D222" s="4">
        <v>357</v>
      </c>
    </row>
    <row r="223" spans="1:4">
      <c r="A223" s="4" t="s">
        <v>326</v>
      </c>
      <c r="B223" s="4">
        <v>100465</v>
      </c>
      <c r="C223" s="4" t="s">
        <v>3595</v>
      </c>
      <c r="D223" s="4">
        <v>358</v>
      </c>
    </row>
    <row r="224" spans="1:4">
      <c r="A224" s="4" t="s">
        <v>310</v>
      </c>
      <c r="B224" s="4">
        <v>100467</v>
      </c>
      <c r="C224" s="4" t="s">
        <v>3596</v>
      </c>
      <c r="D224" s="4">
        <v>359</v>
      </c>
    </row>
    <row r="225" spans="1:4">
      <c r="A225" s="4" t="s">
        <v>365</v>
      </c>
      <c r="B225" s="4">
        <v>100469</v>
      </c>
      <c r="C225" s="4" t="s">
        <v>3597</v>
      </c>
      <c r="D225" s="4">
        <v>360</v>
      </c>
    </row>
    <row r="226" spans="1:4">
      <c r="A226" s="4" t="s">
        <v>651</v>
      </c>
      <c r="B226" s="4">
        <v>100471</v>
      </c>
      <c r="C226" s="4" t="s">
        <v>3598</v>
      </c>
      <c r="D226" s="4">
        <v>361</v>
      </c>
    </row>
    <row r="227" spans="1:4">
      <c r="A227" s="4" t="s">
        <v>319</v>
      </c>
      <c r="B227" s="4">
        <v>100473</v>
      </c>
      <c r="C227" s="4" t="s">
        <v>3599</v>
      </c>
      <c r="D227" s="4">
        <v>362</v>
      </c>
    </row>
    <row r="228" spans="1:4">
      <c r="A228" s="4" t="s">
        <v>399</v>
      </c>
      <c r="B228" s="4">
        <v>100475</v>
      </c>
      <c r="C228" s="4" t="s">
        <v>3600</v>
      </c>
      <c r="D228" s="4">
        <v>363</v>
      </c>
    </row>
    <row r="229" spans="1:4">
      <c r="A229" s="4" t="s">
        <v>652</v>
      </c>
      <c r="B229" s="4">
        <v>100477</v>
      </c>
      <c r="C229" s="4" t="s">
        <v>3601</v>
      </c>
      <c r="D229" s="4">
        <v>364</v>
      </c>
    </row>
    <row r="230" spans="1:4">
      <c r="A230" s="4" t="s">
        <v>433</v>
      </c>
      <c r="B230" s="4">
        <v>100479</v>
      </c>
      <c r="C230" s="4" t="s">
        <v>3602</v>
      </c>
      <c r="D230" s="4">
        <v>365</v>
      </c>
    </row>
    <row r="231" spans="1:4">
      <c r="A231" s="4" t="s">
        <v>384</v>
      </c>
      <c r="B231" s="4">
        <v>100481</v>
      </c>
      <c r="C231" s="4" t="s">
        <v>3603</v>
      </c>
      <c r="D231" s="4">
        <v>366</v>
      </c>
    </row>
    <row r="232" spans="1:4">
      <c r="A232" s="4" t="s">
        <v>344</v>
      </c>
      <c r="B232" s="4">
        <v>100483</v>
      </c>
      <c r="C232" s="4" t="s">
        <v>3604</v>
      </c>
      <c r="D232" s="4">
        <v>367</v>
      </c>
    </row>
    <row r="233" spans="1:4">
      <c r="A233" s="4" t="s">
        <v>434</v>
      </c>
      <c r="B233" s="4">
        <v>100485</v>
      </c>
      <c r="C233" s="4" t="s">
        <v>3605</v>
      </c>
      <c r="D233" s="4">
        <v>368</v>
      </c>
    </row>
    <row r="234" spans="1:4">
      <c r="A234" s="4" t="s">
        <v>435</v>
      </c>
      <c r="B234" s="4">
        <v>100487</v>
      </c>
      <c r="C234" s="4" t="s">
        <v>3606</v>
      </c>
      <c r="D234" s="4">
        <v>369</v>
      </c>
    </row>
    <row r="235" spans="1:4">
      <c r="A235" s="4" t="s">
        <v>321</v>
      </c>
      <c r="B235" s="4">
        <v>100489</v>
      </c>
      <c r="C235" s="4" t="s">
        <v>3607</v>
      </c>
      <c r="D235" s="4">
        <v>370</v>
      </c>
    </row>
    <row r="236" spans="1:4">
      <c r="A236" s="4" t="s">
        <v>383</v>
      </c>
      <c r="B236" s="4">
        <v>100491</v>
      </c>
      <c r="C236" s="4" t="s">
        <v>3608</v>
      </c>
      <c r="D236" s="4">
        <v>371</v>
      </c>
    </row>
    <row r="237" spans="1:4">
      <c r="A237" s="4" t="s">
        <v>386</v>
      </c>
      <c r="B237" s="4">
        <v>100493</v>
      </c>
      <c r="C237" s="4" t="s">
        <v>3609</v>
      </c>
      <c r="D237" s="4">
        <v>372</v>
      </c>
    </row>
    <row r="238" spans="1:4">
      <c r="A238" s="4" t="s">
        <v>653</v>
      </c>
      <c r="B238" s="4">
        <v>100495</v>
      </c>
      <c r="C238" s="4" t="s">
        <v>3610</v>
      </c>
      <c r="D238" s="4">
        <v>373</v>
      </c>
    </row>
    <row r="239" spans="1:4">
      <c r="A239" s="4" t="s">
        <v>315</v>
      </c>
      <c r="B239" s="4">
        <v>100497</v>
      </c>
      <c r="C239" s="4" t="s">
        <v>3611</v>
      </c>
      <c r="D239" s="4">
        <v>374</v>
      </c>
    </row>
    <row r="240" spans="1:4">
      <c r="A240" s="4" t="s">
        <v>343</v>
      </c>
      <c r="B240" s="4">
        <v>100499</v>
      </c>
      <c r="C240" s="4" t="s">
        <v>3612</v>
      </c>
      <c r="D240" s="4">
        <v>375</v>
      </c>
    </row>
    <row r="241" spans="1:4">
      <c r="A241" s="4" t="s">
        <v>351</v>
      </c>
      <c r="B241" s="4">
        <v>100501</v>
      </c>
      <c r="C241" s="4" t="s">
        <v>3613</v>
      </c>
      <c r="D241" s="4">
        <v>376</v>
      </c>
    </row>
    <row r="242" spans="1:4">
      <c r="A242" s="4" t="s">
        <v>361</v>
      </c>
      <c r="B242" s="4">
        <v>100503</v>
      </c>
      <c r="C242" s="4" t="s">
        <v>3614</v>
      </c>
      <c r="D242" s="4">
        <v>377</v>
      </c>
    </row>
    <row r="243" spans="1:4">
      <c r="A243" s="4" t="s">
        <v>313</v>
      </c>
      <c r="B243" s="4">
        <v>100505</v>
      </c>
      <c r="C243" s="4" t="s">
        <v>3615</v>
      </c>
      <c r="D243" s="4">
        <v>378</v>
      </c>
    </row>
    <row r="244" spans="1:4">
      <c r="A244" s="4" t="s">
        <v>382</v>
      </c>
      <c r="B244" s="4">
        <v>100507</v>
      </c>
      <c r="C244" s="4" t="s">
        <v>3616</v>
      </c>
      <c r="D244" s="4">
        <v>379</v>
      </c>
    </row>
    <row r="245" spans="1:4">
      <c r="A245" s="4" t="s">
        <v>436</v>
      </c>
      <c r="B245" s="4">
        <v>100509</v>
      </c>
      <c r="C245" s="4" t="s">
        <v>3617</v>
      </c>
      <c r="D245" s="4">
        <v>380</v>
      </c>
    </row>
    <row r="246" spans="1:4">
      <c r="A246" s="4" t="s">
        <v>394</v>
      </c>
      <c r="B246" s="4">
        <v>100511</v>
      </c>
      <c r="C246" s="4" t="s">
        <v>3618</v>
      </c>
      <c r="D246" s="4">
        <v>381</v>
      </c>
    </row>
    <row r="247" spans="1:4">
      <c r="A247" s="4" t="s">
        <v>654</v>
      </c>
      <c r="B247" s="4">
        <v>100513</v>
      </c>
      <c r="C247" s="4" t="s">
        <v>3619</v>
      </c>
      <c r="D247" s="4">
        <v>382</v>
      </c>
    </row>
    <row r="248" spans="1:4">
      <c r="A248" s="4" t="s">
        <v>400</v>
      </c>
      <c r="B248" s="4">
        <v>100515</v>
      </c>
      <c r="C248" s="4" t="s">
        <v>3620</v>
      </c>
      <c r="D248" s="4">
        <v>383</v>
      </c>
    </row>
    <row r="249" spans="1:4">
      <c r="A249" s="4" t="s">
        <v>398</v>
      </c>
      <c r="B249" s="4">
        <v>100517</v>
      </c>
      <c r="C249" s="4" t="s">
        <v>3621</v>
      </c>
      <c r="D249" s="4">
        <v>384</v>
      </c>
    </row>
    <row r="250" spans="1:4">
      <c r="A250" s="4" t="s">
        <v>317</v>
      </c>
      <c r="B250" s="4">
        <v>100519</v>
      </c>
      <c r="C250" s="4" t="s">
        <v>3622</v>
      </c>
      <c r="D250" s="4">
        <v>385</v>
      </c>
    </row>
    <row r="251" spans="1:4">
      <c r="A251" s="4" t="s">
        <v>437</v>
      </c>
      <c r="B251" s="4">
        <v>100521</v>
      </c>
      <c r="C251" s="4" t="s">
        <v>3623</v>
      </c>
      <c r="D251" s="4">
        <v>386</v>
      </c>
    </row>
    <row r="252" spans="1:4">
      <c r="A252" s="4" t="s">
        <v>348</v>
      </c>
      <c r="B252" s="4">
        <v>100523</v>
      </c>
      <c r="C252" s="4" t="s">
        <v>3624</v>
      </c>
      <c r="D252" s="4">
        <v>387</v>
      </c>
    </row>
    <row r="253" spans="1:4">
      <c r="A253" s="4" t="s">
        <v>409</v>
      </c>
      <c r="B253" s="4">
        <v>100525</v>
      </c>
      <c r="C253" s="4" t="s">
        <v>3625</v>
      </c>
      <c r="D253" s="4">
        <v>388</v>
      </c>
    </row>
    <row r="254" spans="1:4">
      <c r="A254" s="4" t="s">
        <v>377</v>
      </c>
      <c r="B254" s="4">
        <v>100527</v>
      </c>
      <c r="C254" s="4" t="s">
        <v>3626</v>
      </c>
      <c r="D254" s="4">
        <v>389</v>
      </c>
    </row>
    <row r="255" spans="1:4">
      <c r="A255" s="4" t="s">
        <v>311</v>
      </c>
      <c r="B255" s="4">
        <v>100529</v>
      </c>
      <c r="C255" s="4" t="s">
        <v>3627</v>
      </c>
      <c r="D255" s="4">
        <v>390</v>
      </c>
    </row>
    <row r="256" spans="1:4">
      <c r="A256" s="4" t="s">
        <v>342</v>
      </c>
      <c r="B256" s="4">
        <v>100531</v>
      </c>
      <c r="C256" s="4" t="s">
        <v>3628</v>
      </c>
      <c r="D256" s="4">
        <v>391</v>
      </c>
    </row>
    <row r="257" spans="1:4">
      <c r="A257" s="4" t="s">
        <v>438</v>
      </c>
      <c r="B257" s="4">
        <v>100533</v>
      </c>
      <c r="C257" s="4" t="s">
        <v>3629</v>
      </c>
      <c r="D257" s="4">
        <v>392</v>
      </c>
    </row>
    <row r="258" spans="1:4">
      <c r="A258" s="4" t="s">
        <v>402</v>
      </c>
      <c r="B258" s="4">
        <v>100535</v>
      </c>
      <c r="C258" s="4" t="s">
        <v>3630</v>
      </c>
      <c r="D258" s="4">
        <v>393</v>
      </c>
    </row>
    <row r="259" spans="1:4">
      <c r="A259" s="4" t="s">
        <v>54</v>
      </c>
      <c r="B259" s="4">
        <v>100537</v>
      </c>
      <c r="C259" s="4" t="s">
        <v>3631</v>
      </c>
      <c r="D259" s="4">
        <v>394</v>
      </c>
    </row>
    <row r="260" spans="1:4">
      <c r="A260" s="4" t="s">
        <v>395</v>
      </c>
      <c r="B260" s="4">
        <v>100539</v>
      </c>
      <c r="C260" s="4" t="s">
        <v>3632</v>
      </c>
      <c r="D260" s="4">
        <v>395</v>
      </c>
    </row>
    <row r="261" spans="1:4">
      <c r="A261" s="4" t="s">
        <v>439</v>
      </c>
      <c r="B261" s="4">
        <v>100541</v>
      </c>
      <c r="C261" s="4" t="s">
        <v>3633</v>
      </c>
      <c r="D261" s="4">
        <v>396</v>
      </c>
    </row>
    <row r="262" spans="1:4">
      <c r="A262" s="4" t="s">
        <v>345</v>
      </c>
      <c r="B262" s="4">
        <v>100543</v>
      </c>
      <c r="C262" s="4" t="s">
        <v>3634</v>
      </c>
      <c r="D262" s="4">
        <v>397</v>
      </c>
    </row>
    <row r="263" spans="1:4">
      <c r="A263" s="4" t="s">
        <v>440</v>
      </c>
      <c r="B263" s="4">
        <v>100545</v>
      </c>
      <c r="C263" s="4" t="s">
        <v>3635</v>
      </c>
      <c r="D263" s="4">
        <v>398</v>
      </c>
    </row>
    <row r="264" spans="1:4">
      <c r="A264" s="4" t="s">
        <v>370</v>
      </c>
      <c r="B264" s="4">
        <v>100547</v>
      </c>
      <c r="C264" s="4" t="s">
        <v>3636</v>
      </c>
      <c r="D264" s="4">
        <v>399</v>
      </c>
    </row>
    <row r="265" spans="1:4">
      <c r="A265" s="4" t="s">
        <v>373</v>
      </c>
      <c r="B265" s="4">
        <v>100549</v>
      </c>
      <c r="C265" s="4" t="s">
        <v>3637</v>
      </c>
      <c r="D265" s="4">
        <v>400</v>
      </c>
    </row>
    <row r="266" spans="1:4">
      <c r="A266" s="4" t="s">
        <v>401</v>
      </c>
      <c r="B266" s="4">
        <v>100551</v>
      </c>
      <c r="C266" s="4" t="s">
        <v>3638</v>
      </c>
      <c r="D266" s="4">
        <v>401</v>
      </c>
    </row>
    <row r="267" spans="1:4">
      <c r="A267" s="4" t="s">
        <v>333</v>
      </c>
      <c r="B267" s="4">
        <v>100553</v>
      </c>
      <c r="C267" s="4" t="s">
        <v>3639</v>
      </c>
      <c r="D267" s="4">
        <v>402</v>
      </c>
    </row>
    <row r="268" spans="1:4">
      <c r="A268" s="4" t="s">
        <v>441</v>
      </c>
      <c r="B268" s="4">
        <v>100555</v>
      </c>
      <c r="C268" s="4" t="s">
        <v>3640</v>
      </c>
      <c r="D268" s="4">
        <v>403</v>
      </c>
    </row>
    <row r="269" spans="1:4">
      <c r="A269" s="4" t="s">
        <v>442</v>
      </c>
      <c r="B269" s="4">
        <v>100557</v>
      </c>
      <c r="C269" s="4" t="s">
        <v>3641</v>
      </c>
      <c r="D269" s="4">
        <v>404</v>
      </c>
    </row>
    <row r="270" spans="1:4">
      <c r="A270" s="4" t="s">
        <v>318</v>
      </c>
      <c r="B270" s="4">
        <v>100559</v>
      </c>
      <c r="C270" s="4" t="s">
        <v>3642</v>
      </c>
      <c r="D270" s="4">
        <v>405</v>
      </c>
    </row>
    <row r="271" spans="1:4">
      <c r="A271" s="4" t="s">
        <v>358</v>
      </c>
      <c r="B271" s="4">
        <v>100561</v>
      </c>
      <c r="C271" s="4" t="s">
        <v>3643</v>
      </c>
      <c r="D271" s="4">
        <v>406</v>
      </c>
    </row>
    <row r="272" spans="1:4">
      <c r="A272" s="4" t="s">
        <v>332</v>
      </c>
      <c r="B272" s="4">
        <v>100563</v>
      </c>
      <c r="C272" s="4" t="s">
        <v>3644</v>
      </c>
      <c r="D272" s="4">
        <v>407</v>
      </c>
    </row>
    <row r="273" spans="1:4">
      <c r="A273" s="4" t="s">
        <v>327</v>
      </c>
      <c r="B273" s="4">
        <v>100565</v>
      </c>
      <c r="C273" s="4" t="s">
        <v>3645</v>
      </c>
      <c r="D273" s="4">
        <v>408</v>
      </c>
    </row>
    <row r="274" spans="1:4">
      <c r="A274" s="4" t="s">
        <v>360</v>
      </c>
      <c r="B274" s="4">
        <v>100567</v>
      </c>
      <c r="C274" s="4" t="s">
        <v>3646</v>
      </c>
      <c r="D274" s="4">
        <v>409</v>
      </c>
    </row>
    <row r="275" spans="1:4">
      <c r="A275" s="4" t="s">
        <v>314</v>
      </c>
      <c r="B275" s="4">
        <v>100569</v>
      </c>
      <c r="C275" s="4" t="s">
        <v>3647</v>
      </c>
      <c r="D275" s="4">
        <v>410</v>
      </c>
    </row>
    <row r="276" spans="1:4">
      <c r="A276" s="4" t="s">
        <v>656</v>
      </c>
      <c r="B276" s="4">
        <v>100571</v>
      </c>
      <c r="C276" s="4" t="s">
        <v>3648</v>
      </c>
      <c r="D276" s="4">
        <v>411</v>
      </c>
    </row>
    <row r="277" spans="1:4">
      <c r="A277" s="4" t="s">
        <v>374</v>
      </c>
      <c r="B277" s="4">
        <v>100573</v>
      </c>
      <c r="C277" s="4" t="s">
        <v>3649</v>
      </c>
      <c r="D277" s="4">
        <v>412</v>
      </c>
    </row>
    <row r="278" spans="1:4">
      <c r="A278" s="4" t="s">
        <v>372</v>
      </c>
      <c r="B278" s="4">
        <v>100575</v>
      </c>
      <c r="C278" s="4" t="s">
        <v>3650</v>
      </c>
      <c r="D278" s="4">
        <v>413</v>
      </c>
    </row>
    <row r="279" spans="1:4">
      <c r="A279" s="4" t="s">
        <v>443</v>
      </c>
      <c r="B279" s="4">
        <v>100577</v>
      </c>
      <c r="C279" s="4" t="s">
        <v>3651</v>
      </c>
      <c r="D279" s="4">
        <v>414</v>
      </c>
    </row>
    <row r="280" spans="1:4">
      <c r="A280" s="4" t="s">
        <v>338</v>
      </c>
      <c r="B280" s="4">
        <v>100579</v>
      </c>
      <c r="C280" s="4" t="s">
        <v>3652</v>
      </c>
      <c r="D280" s="4">
        <v>415</v>
      </c>
    </row>
    <row r="281" spans="1:4">
      <c r="A281" s="4" t="s">
        <v>657</v>
      </c>
      <c r="B281" s="4">
        <v>100581</v>
      </c>
      <c r="C281" s="4" t="s">
        <v>3653</v>
      </c>
      <c r="D281" s="4">
        <v>416</v>
      </c>
    </row>
    <row r="282" spans="1:4">
      <c r="A282" s="4" t="s">
        <v>352</v>
      </c>
      <c r="B282" s="4">
        <v>100583</v>
      </c>
      <c r="C282" s="4" t="s">
        <v>3654</v>
      </c>
      <c r="D282" s="4">
        <v>417</v>
      </c>
    </row>
    <row r="283" spans="1:4">
      <c r="A283" s="4" t="s">
        <v>444</v>
      </c>
      <c r="B283" s="4">
        <v>100585</v>
      </c>
      <c r="C283" s="4" t="s">
        <v>3655</v>
      </c>
      <c r="D283" s="4">
        <v>418</v>
      </c>
    </row>
    <row r="284" spans="1:4">
      <c r="A284" s="4" t="s">
        <v>339</v>
      </c>
      <c r="B284" s="4">
        <v>100587</v>
      </c>
      <c r="C284" s="4" t="s">
        <v>3656</v>
      </c>
      <c r="D284" s="4">
        <v>419</v>
      </c>
    </row>
    <row r="285" spans="1:4">
      <c r="A285" s="4" t="s">
        <v>658</v>
      </c>
      <c r="B285" s="4">
        <v>100589</v>
      </c>
      <c r="C285" s="4" t="s">
        <v>3657</v>
      </c>
      <c r="D285" s="4">
        <v>420</v>
      </c>
    </row>
    <row r="286" spans="1:4">
      <c r="A286" s="4" t="s">
        <v>445</v>
      </c>
      <c r="B286" s="4">
        <v>100591</v>
      </c>
      <c r="C286" s="4" t="s">
        <v>3658</v>
      </c>
      <c r="D286" s="4">
        <v>421</v>
      </c>
    </row>
    <row r="287" spans="1:4">
      <c r="A287" s="4" t="s">
        <v>406</v>
      </c>
      <c r="B287" s="4">
        <v>100593</v>
      </c>
      <c r="C287" s="4" t="s">
        <v>3659</v>
      </c>
      <c r="D287" s="4">
        <v>422</v>
      </c>
    </row>
    <row r="288" spans="1:4">
      <c r="A288" s="4" t="s">
        <v>385</v>
      </c>
      <c r="B288" s="4">
        <v>100595</v>
      </c>
      <c r="C288" s="4" t="s">
        <v>3660</v>
      </c>
      <c r="D288" s="4">
        <v>423</v>
      </c>
    </row>
    <row r="289" spans="1:4">
      <c r="A289" s="4" t="s">
        <v>312</v>
      </c>
      <c r="B289" s="4">
        <v>100597</v>
      </c>
      <c r="C289" s="4" t="s">
        <v>3661</v>
      </c>
      <c r="D289" s="4">
        <v>424</v>
      </c>
    </row>
    <row r="290" spans="1:4">
      <c r="A290" s="4" t="s">
        <v>407</v>
      </c>
      <c r="B290" s="4">
        <v>100599</v>
      </c>
      <c r="C290" s="4" t="s">
        <v>3662</v>
      </c>
      <c r="D290" s="4">
        <v>425</v>
      </c>
    </row>
    <row r="291" spans="1:4">
      <c r="A291" s="4" t="s">
        <v>355</v>
      </c>
      <c r="B291" s="4">
        <v>100601</v>
      </c>
      <c r="C291" s="4" t="s">
        <v>3663</v>
      </c>
      <c r="D291" s="4">
        <v>426</v>
      </c>
    </row>
    <row r="292" spans="1:4">
      <c r="A292" s="4" t="s">
        <v>336</v>
      </c>
      <c r="B292" s="4">
        <v>100603</v>
      </c>
      <c r="C292" s="4" t="s">
        <v>3664</v>
      </c>
      <c r="D292" s="4">
        <v>427</v>
      </c>
    </row>
    <row r="293" spans="1:4">
      <c r="A293" s="4" t="s">
        <v>347</v>
      </c>
      <c r="B293" s="4">
        <v>100605</v>
      </c>
      <c r="C293" s="4" t="s">
        <v>3665</v>
      </c>
      <c r="D293" s="4">
        <v>428</v>
      </c>
    </row>
    <row r="294" spans="1:4">
      <c r="A294" s="4" t="s">
        <v>371</v>
      </c>
      <c r="B294" s="4">
        <v>100607</v>
      </c>
      <c r="C294" s="4" t="s">
        <v>3666</v>
      </c>
      <c r="D294" s="4">
        <v>429</v>
      </c>
    </row>
    <row r="295" spans="1:4">
      <c r="A295" s="4" t="s">
        <v>320</v>
      </c>
      <c r="B295" s="4">
        <v>100609</v>
      </c>
      <c r="C295" s="4" t="s">
        <v>3667</v>
      </c>
      <c r="D295" s="4">
        <v>430</v>
      </c>
    </row>
    <row r="296" spans="1:4">
      <c r="A296" s="4" t="s">
        <v>353</v>
      </c>
      <c r="B296" s="4">
        <v>100611</v>
      </c>
      <c r="C296" s="4" t="s">
        <v>3668</v>
      </c>
      <c r="D296" s="4">
        <v>431</v>
      </c>
    </row>
    <row r="297" spans="1:4">
      <c r="A297" s="4" t="s">
        <v>354</v>
      </c>
      <c r="B297" s="4">
        <v>100613</v>
      </c>
      <c r="C297" s="4" t="s">
        <v>3669</v>
      </c>
      <c r="D297" s="4">
        <v>432</v>
      </c>
    </row>
    <row r="298" spans="1:4">
      <c r="A298" s="4" t="s">
        <v>357</v>
      </c>
      <c r="B298" s="4">
        <v>100615</v>
      </c>
      <c r="C298" s="4" t="s">
        <v>3670</v>
      </c>
      <c r="D298" s="4">
        <v>433</v>
      </c>
    </row>
    <row r="299" spans="1:4">
      <c r="A299" s="4" t="s">
        <v>350</v>
      </c>
      <c r="B299" s="4">
        <v>100617</v>
      </c>
      <c r="C299" s="4" t="s">
        <v>3671</v>
      </c>
      <c r="D299" s="4">
        <v>434</v>
      </c>
    </row>
    <row r="300" spans="1:4">
      <c r="A300" s="4" t="s">
        <v>337</v>
      </c>
      <c r="B300" s="4">
        <v>100619</v>
      </c>
      <c r="C300" s="4" t="s">
        <v>3672</v>
      </c>
      <c r="D300" s="4">
        <v>435</v>
      </c>
    </row>
    <row r="301" spans="1:4">
      <c r="A301" s="4" t="s">
        <v>408</v>
      </c>
      <c r="B301" s="4">
        <v>100621</v>
      </c>
      <c r="C301" s="4" t="s">
        <v>1826</v>
      </c>
      <c r="D301" s="4">
        <v>436</v>
      </c>
    </row>
    <row r="302" spans="1:4">
      <c r="A302" s="4" t="s">
        <v>659</v>
      </c>
      <c r="B302" s="4">
        <v>100623</v>
      </c>
      <c r="C302" s="4" t="s">
        <v>3673</v>
      </c>
      <c r="D302" s="4">
        <v>437</v>
      </c>
    </row>
    <row r="303" spans="1:4">
      <c r="A303" s="4" t="s">
        <v>446</v>
      </c>
      <c r="B303" s="4">
        <v>100625</v>
      </c>
      <c r="C303" s="4" t="s">
        <v>3674</v>
      </c>
      <c r="D303" s="4">
        <v>438</v>
      </c>
    </row>
    <row r="304" spans="1:4">
      <c r="A304" s="4" t="s">
        <v>359</v>
      </c>
      <c r="B304" s="4">
        <v>100627</v>
      </c>
      <c r="C304" s="4" t="s">
        <v>3675</v>
      </c>
      <c r="D304" s="4">
        <v>439</v>
      </c>
    </row>
    <row r="305" spans="1:4">
      <c r="A305" s="4" t="s">
        <v>376</v>
      </c>
      <c r="B305" s="4">
        <v>100629</v>
      </c>
      <c r="C305" s="4" t="s">
        <v>3676</v>
      </c>
      <c r="D305" s="4">
        <v>440</v>
      </c>
    </row>
    <row r="306" spans="1:4">
      <c r="A306" s="4" t="s">
        <v>340</v>
      </c>
      <c r="B306" s="4">
        <v>100631</v>
      </c>
      <c r="C306" s="4" t="s">
        <v>3677</v>
      </c>
      <c r="D306" s="4">
        <v>441</v>
      </c>
    </row>
    <row r="307" spans="1:4">
      <c r="A307" s="4" t="s">
        <v>660</v>
      </c>
      <c r="B307" s="4">
        <v>100633</v>
      </c>
      <c r="C307" s="4" t="s">
        <v>3678</v>
      </c>
      <c r="D307" s="4">
        <v>442</v>
      </c>
    </row>
    <row r="308" spans="1:4">
      <c r="A308" s="4" t="s">
        <v>379</v>
      </c>
      <c r="B308" s="4">
        <v>100635</v>
      </c>
      <c r="C308" s="4" t="s">
        <v>3679</v>
      </c>
      <c r="D308" s="4">
        <v>443</v>
      </c>
    </row>
    <row r="309" spans="1:4">
      <c r="A309" s="4" t="s">
        <v>330</v>
      </c>
      <c r="B309" s="4">
        <v>100637</v>
      </c>
      <c r="C309" s="4" t="s">
        <v>3680</v>
      </c>
      <c r="D309" s="4">
        <v>444</v>
      </c>
    </row>
    <row r="310" spans="1:4">
      <c r="A310" s="4" t="s">
        <v>341</v>
      </c>
      <c r="B310" s="4">
        <v>100639</v>
      </c>
      <c r="C310" s="4" t="s">
        <v>3681</v>
      </c>
      <c r="D310" s="4">
        <v>445</v>
      </c>
    </row>
    <row r="311" spans="1:4">
      <c r="A311" s="4" t="s">
        <v>366</v>
      </c>
      <c r="B311" s="4">
        <v>100641</v>
      </c>
      <c r="C311" s="4" t="s">
        <v>3682</v>
      </c>
      <c r="D311" s="4">
        <v>446</v>
      </c>
    </row>
    <row r="312" spans="1:4">
      <c r="A312" s="4" t="s">
        <v>324</v>
      </c>
      <c r="B312" s="4">
        <v>100643</v>
      </c>
      <c r="C312" s="4" t="s">
        <v>3683</v>
      </c>
      <c r="D312" s="4">
        <v>447</v>
      </c>
    </row>
    <row r="313" spans="1:4">
      <c r="A313" s="4" t="s">
        <v>447</v>
      </c>
      <c r="B313" s="4">
        <v>100645</v>
      </c>
      <c r="C313" s="4" t="s">
        <v>3684</v>
      </c>
      <c r="D313" s="4">
        <v>448</v>
      </c>
    </row>
    <row r="314" spans="1:4">
      <c r="A314" s="4" t="s">
        <v>449</v>
      </c>
      <c r="B314" s="4">
        <v>100647</v>
      </c>
      <c r="C314" s="4" t="s">
        <v>3685</v>
      </c>
      <c r="D314" s="4">
        <v>449</v>
      </c>
    </row>
    <row r="315" spans="1:4">
      <c r="A315" s="4" t="s">
        <v>397</v>
      </c>
      <c r="B315" s="4">
        <v>100649</v>
      </c>
      <c r="C315" s="4" t="s">
        <v>3686</v>
      </c>
      <c r="D315" s="4">
        <v>450</v>
      </c>
    </row>
    <row r="316" spans="1:4">
      <c r="A316" s="4" t="s">
        <v>363</v>
      </c>
      <c r="B316" s="4">
        <v>100651</v>
      </c>
      <c r="C316" s="4" t="s">
        <v>3687</v>
      </c>
      <c r="D316" s="4">
        <v>451</v>
      </c>
    </row>
    <row r="317" spans="1:4">
      <c r="A317" s="4" t="s">
        <v>451</v>
      </c>
      <c r="B317" s="4">
        <v>100653</v>
      </c>
      <c r="C317" s="4" t="s">
        <v>3688</v>
      </c>
      <c r="D317" s="4">
        <v>453</v>
      </c>
    </row>
    <row r="318" spans="1:4">
      <c r="A318" s="4" t="s">
        <v>661</v>
      </c>
      <c r="B318" s="4">
        <v>100655</v>
      </c>
      <c r="C318" s="4" t="s">
        <v>3689</v>
      </c>
      <c r="D318" s="4">
        <v>454</v>
      </c>
    </row>
    <row r="319" spans="1:4">
      <c r="A319" s="4" t="s">
        <v>452</v>
      </c>
      <c r="B319" s="4">
        <v>100657</v>
      </c>
      <c r="C319" s="4" t="s">
        <v>3690</v>
      </c>
      <c r="D319" s="4">
        <v>455</v>
      </c>
    </row>
    <row r="320" spans="1:4">
      <c r="A320" s="4" t="s">
        <v>362</v>
      </c>
      <c r="B320" s="4">
        <v>100659</v>
      </c>
      <c r="C320" s="4" t="s">
        <v>3691</v>
      </c>
      <c r="D320" s="4">
        <v>457</v>
      </c>
    </row>
    <row r="321" spans="1:4">
      <c r="A321" s="4" t="s">
        <v>325</v>
      </c>
      <c r="B321" s="4">
        <v>100661</v>
      </c>
      <c r="C321" s="4" t="s">
        <v>3692</v>
      </c>
      <c r="D321" s="4">
        <v>458</v>
      </c>
    </row>
    <row r="322" spans="1:4">
      <c r="A322" s="4" t="s">
        <v>662</v>
      </c>
      <c r="B322" s="4">
        <v>100663</v>
      </c>
      <c r="C322" s="4" t="s">
        <v>3693</v>
      </c>
      <c r="D322" s="4">
        <v>461</v>
      </c>
    </row>
    <row r="323" spans="1:4">
      <c r="A323" s="4" t="s">
        <v>455</v>
      </c>
      <c r="B323" s="4">
        <v>100665</v>
      </c>
      <c r="C323" s="4" t="s">
        <v>3694</v>
      </c>
      <c r="D323" s="4">
        <v>462</v>
      </c>
    </row>
    <row r="324" spans="1:4">
      <c r="A324" s="4" t="s">
        <v>663</v>
      </c>
      <c r="B324" s="4">
        <v>100667</v>
      </c>
      <c r="C324" s="4" t="s">
        <v>3695</v>
      </c>
      <c r="D324" s="4">
        <v>467</v>
      </c>
    </row>
    <row r="325" spans="1:4">
      <c r="A325" s="4" t="s">
        <v>664</v>
      </c>
      <c r="B325" s="4">
        <v>100669</v>
      </c>
      <c r="C325" s="4" t="s">
        <v>3696</v>
      </c>
      <c r="D325" s="4">
        <v>468</v>
      </c>
    </row>
    <row r="326" spans="1:4">
      <c r="A326" s="4" t="s">
        <v>404</v>
      </c>
      <c r="B326" s="4">
        <v>100671</v>
      </c>
      <c r="C326" s="4" t="s">
        <v>3697</v>
      </c>
      <c r="D326" s="4">
        <v>470</v>
      </c>
    </row>
    <row r="327" spans="1:4">
      <c r="A327" s="4" t="s">
        <v>403</v>
      </c>
      <c r="B327" s="4">
        <v>100673</v>
      </c>
      <c r="C327" s="4" t="s">
        <v>3698</v>
      </c>
      <c r="D327" s="4">
        <v>471</v>
      </c>
    </row>
    <row r="328" spans="1:4">
      <c r="A328" s="4" t="s">
        <v>665</v>
      </c>
      <c r="B328" s="4">
        <v>100675</v>
      </c>
      <c r="C328" s="4" t="s">
        <v>3699</v>
      </c>
      <c r="D328" s="4">
        <v>472</v>
      </c>
    </row>
    <row r="329" spans="1:4">
      <c r="A329" s="4" t="s">
        <v>459</v>
      </c>
      <c r="B329" s="4">
        <v>100677</v>
      </c>
      <c r="C329" s="4" t="s">
        <v>3700</v>
      </c>
      <c r="D329" s="4">
        <v>473</v>
      </c>
    </row>
    <row r="330" spans="1:4">
      <c r="A330" s="4" t="s">
        <v>405</v>
      </c>
      <c r="B330" s="4">
        <v>100679</v>
      </c>
      <c r="C330" s="4" t="s">
        <v>3701</v>
      </c>
      <c r="D330" s="4">
        <v>474</v>
      </c>
    </row>
    <row r="331" spans="1:4">
      <c r="A331" s="4" t="s">
        <v>460</v>
      </c>
      <c r="B331" s="4">
        <v>100681</v>
      </c>
      <c r="C331" s="4" t="s">
        <v>3702</v>
      </c>
      <c r="D331" s="4">
        <v>475</v>
      </c>
    </row>
    <row r="332" spans="1:4">
      <c r="A332" s="4" t="s">
        <v>461</v>
      </c>
      <c r="B332" s="4">
        <v>100683</v>
      </c>
      <c r="C332" s="4" t="s">
        <v>3703</v>
      </c>
      <c r="D332" s="4">
        <v>476</v>
      </c>
    </row>
    <row r="333" spans="1:4">
      <c r="A333" s="4" t="s">
        <v>462</v>
      </c>
      <c r="B333" s="4">
        <v>100685</v>
      </c>
      <c r="C333" s="4" t="s">
        <v>3704</v>
      </c>
      <c r="D333" s="4">
        <v>477</v>
      </c>
    </row>
    <row r="334" spans="1:4">
      <c r="A334" s="4" t="s">
        <v>367</v>
      </c>
      <c r="B334" s="4">
        <v>100687</v>
      </c>
      <c r="C334" s="4" t="s">
        <v>3705</v>
      </c>
      <c r="D334" s="4">
        <v>479</v>
      </c>
    </row>
    <row r="335" spans="1:4">
      <c r="A335" s="4" t="s">
        <v>465</v>
      </c>
      <c r="B335" s="4">
        <v>100689</v>
      </c>
      <c r="C335" s="4" t="s">
        <v>3706</v>
      </c>
      <c r="D335" s="4">
        <v>483</v>
      </c>
    </row>
    <row r="336" spans="1:4">
      <c r="A336" s="4" t="s">
        <v>467</v>
      </c>
      <c r="B336" s="4">
        <v>100691</v>
      </c>
      <c r="C336" s="4" t="s">
        <v>3707</v>
      </c>
      <c r="D336" s="4">
        <v>485</v>
      </c>
    </row>
    <row r="337" spans="1:4">
      <c r="A337" s="4" t="s">
        <v>649</v>
      </c>
      <c r="B337" s="4">
        <v>100695</v>
      </c>
      <c r="C337" s="4" t="s">
        <v>3708</v>
      </c>
      <c r="D337" s="4">
        <v>498</v>
      </c>
    </row>
    <row r="338" spans="1:4">
      <c r="A338" s="4" t="s">
        <v>648</v>
      </c>
      <c r="B338" s="4">
        <v>100697</v>
      </c>
      <c r="C338" s="4" t="s">
        <v>3709</v>
      </c>
      <c r="D338" s="4">
        <v>499</v>
      </c>
    </row>
    <row r="339" spans="1:4">
      <c r="A339" s="4" t="s">
        <v>647</v>
      </c>
      <c r="B339" s="4">
        <v>100699</v>
      </c>
      <c r="C339" s="4" t="s">
        <v>3710</v>
      </c>
      <c r="D339" s="4">
        <v>500</v>
      </c>
    </row>
    <row r="340" spans="1:4">
      <c r="A340" s="4" t="s">
        <v>585</v>
      </c>
      <c r="B340" s="4">
        <v>100701</v>
      </c>
      <c r="C340" s="4" t="s">
        <v>3711</v>
      </c>
      <c r="D340" s="4">
        <v>564</v>
      </c>
    </row>
    <row r="341" spans="1:4">
      <c r="A341" s="4" t="s">
        <v>584</v>
      </c>
      <c r="B341" s="4">
        <v>100703</v>
      </c>
      <c r="C341" s="4" t="s">
        <v>3712</v>
      </c>
      <c r="D341" s="4">
        <v>565</v>
      </c>
    </row>
    <row r="342" spans="1:4">
      <c r="A342" s="4" t="s">
        <v>583</v>
      </c>
      <c r="B342" s="4">
        <v>100705</v>
      </c>
      <c r="C342" s="4" t="s">
        <v>3713</v>
      </c>
      <c r="D342" s="4">
        <v>566</v>
      </c>
    </row>
    <row r="343" spans="1:4">
      <c r="A343" s="4" t="s">
        <v>582</v>
      </c>
      <c r="B343" s="4">
        <v>100707</v>
      </c>
      <c r="C343" s="4" t="s">
        <v>3714</v>
      </c>
      <c r="D343" s="4">
        <v>567</v>
      </c>
    </row>
    <row r="344" spans="1:4">
      <c r="A344" s="4" t="s">
        <v>581</v>
      </c>
      <c r="B344" s="4">
        <v>100709</v>
      </c>
      <c r="C344" s="4" t="s">
        <v>3715</v>
      </c>
      <c r="D344" s="4">
        <v>568</v>
      </c>
    </row>
    <row r="345" spans="1:4">
      <c r="A345" s="4" t="s">
        <v>580</v>
      </c>
      <c r="B345" s="4">
        <v>100711</v>
      </c>
      <c r="C345" s="4" t="s">
        <v>3716</v>
      </c>
      <c r="D345" s="4">
        <v>569</v>
      </c>
    </row>
    <row r="346" spans="1:4">
      <c r="A346" s="4" t="s">
        <v>579</v>
      </c>
      <c r="B346" s="4">
        <v>100713</v>
      </c>
      <c r="C346" s="4" t="s">
        <v>3717</v>
      </c>
      <c r="D346" s="4">
        <v>570</v>
      </c>
    </row>
    <row r="347" spans="1:4">
      <c r="A347" s="4" t="s">
        <v>578</v>
      </c>
      <c r="B347" s="4">
        <v>100715</v>
      </c>
      <c r="C347" s="4" t="s">
        <v>3718</v>
      </c>
      <c r="D347" s="4">
        <v>571</v>
      </c>
    </row>
    <row r="348" spans="1:4">
      <c r="A348" s="4" t="s">
        <v>577</v>
      </c>
      <c r="B348" s="4">
        <v>100717</v>
      </c>
      <c r="C348" s="4" t="s">
        <v>3719</v>
      </c>
      <c r="D348" s="4">
        <v>572</v>
      </c>
    </row>
    <row r="349" spans="1:4">
      <c r="A349" s="4" t="s">
        <v>576</v>
      </c>
      <c r="B349" s="4">
        <v>100719</v>
      </c>
      <c r="C349" s="4" t="s">
        <v>3720</v>
      </c>
      <c r="D349" s="4">
        <v>573</v>
      </c>
    </row>
    <row r="350" spans="1:4">
      <c r="A350" s="4" t="s">
        <v>575</v>
      </c>
      <c r="B350" s="4">
        <v>100721</v>
      </c>
      <c r="C350" s="4" t="s">
        <v>3721</v>
      </c>
      <c r="D350" s="4">
        <v>574</v>
      </c>
    </row>
    <row r="351" spans="1:4">
      <c r="A351" s="4" t="s">
        <v>574</v>
      </c>
      <c r="B351" s="4">
        <v>100723</v>
      </c>
      <c r="C351" s="4" t="s">
        <v>3722</v>
      </c>
      <c r="D351" s="4">
        <v>575</v>
      </c>
    </row>
    <row r="352" spans="1:4">
      <c r="A352" s="4" t="s">
        <v>414</v>
      </c>
      <c r="B352" s="4">
        <v>100725</v>
      </c>
      <c r="C352" s="4" t="s">
        <v>3723</v>
      </c>
      <c r="D352" s="4">
        <v>576</v>
      </c>
    </row>
    <row r="353" spans="1:4">
      <c r="A353" s="4" t="s">
        <v>573</v>
      </c>
      <c r="B353" s="4">
        <v>100727</v>
      </c>
      <c r="C353" s="4" t="s">
        <v>3724</v>
      </c>
      <c r="D353" s="4">
        <v>577</v>
      </c>
    </row>
    <row r="354" spans="1:4">
      <c r="A354" s="4" t="s">
        <v>572</v>
      </c>
      <c r="B354" s="4">
        <v>100729</v>
      </c>
      <c r="C354" s="4" t="s">
        <v>3725</v>
      </c>
      <c r="D354" s="4">
        <v>578</v>
      </c>
    </row>
    <row r="355" spans="1:4">
      <c r="A355" s="4" t="s">
        <v>571</v>
      </c>
      <c r="B355" s="4">
        <v>100731</v>
      </c>
      <c r="C355" s="4" t="s">
        <v>3726</v>
      </c>
      <c r="D355" s="4">
        <v>579</v>
      </c>
    </row>
    <row r="356" spans="1:4">
      <c r="A356" s="4" t="s">
        <v>570</v>
      </c>
      <c r="B356" s="4">
        <v>100733</v>
      </c>
      <c r="C356" s="4" t="s">
        <v>3727</v>
      </c>
      <c r="D356" s="4">
        <v>580</v>
      </c>
    </row>
    <row r="357" spans="1:4">
      <c r="A357" s="4" t="s">
        <v>569</v>
      </c>
      <c r="B357" s="4">
        <v>100735</v>
      </c>
      <c r="C357" s="4" t="s">
        <v>3728</v>
      </c>
      <c r="D357" s="4">
        <v>581</v>
      </c>
    </row>
    <row r="358" spans="1:4">
      <c r="A358" s="4" t="s">
        <v>413</v>
      </c>
      <c r="B358" s="4">
        <v>100737</v>
      </c>
      <c r="C358" s="4" t="s">
        <v>3729</v>
      </c>
      <c r="D358" s="4">
        <v>582</v>
      </c>
    </row>
    <row r="359" spans="1:4">
      <c r="A359" s="4" t="s">
        <v>568</v>
      </c>
      <c r="B359" s="4">
        <v>100739</v>
      </c>
      <c r="C359" s="4" t="s">
        <v>3730</v>
      </c>
      <c r="D359" s="4">
        <v>583</v>
      </c>
    </row>
    <row r="360" spans="1:4">
      <c r="A360" s="4" t="s">
        <v>567</v>
      </c>
      <c r="B360" s="4">
        <v>100741</v>
      </c>
      <c r="C360" s="4" t="s">
        <v>3731</v>
      </c>
      <c r="D360" s="4">
        <v>584</v>
      </c>
    </row>
    <row r="361" spans="1:4">
      <c r="A361" s="4" t="s">
        <v>566</v>
      </c>
      <c r="B361" s="4">
        <v>100743</v>
      </c>
      <c r="C361" s="4" t="s">
        <v>3732</v>
      </c>
      <c r="D361" s="4">
        <v>585</v>
      </c>
    </row>
    <row r="362" spans="1:4">
      <c r="A362" s="4" t="s">
        <v>565</v>
      </c>
      <c r="B362" s="4">
        <v>100745</v>
      </c>
      <c r="C362" s="4" t="s">
        <v>3733</v>
      </c>
      <c r="D362" s="4">
        <v>586</v>
      </c>
    </row>
    <row r="363" spans="1:4">
      <c r="A363" s="4" t="s">
        <v>411</v>
      </c>
      <c r="B363" s="4">
        <v>100747</v>
      </c>
      <c r="C363" s="4" t="s">
        <v>3734</v>
      </c>
      <c r="D363" s="4">
        <v>587</v>
      </c>
    </row>
    <row r="364" spans="1:4">
      <c r="A364" s="4" t="s">
        <v>564</v>
      </c>
      <c r="B364" s="4">
        <v>100749</v>
      </c>
      <c r="C364" s="4" t="s">
        <v>3735</v>
      </c>
      <c r="D364" s="4">
        <v>588</v>
      </c>
    </row>
    <row r="365" spans="1:4">
      <c r="A365" s="4" t="s">
        <v>563</v>
      </c>
      <c r="B365" s="4">
        <v>100751</v>
      </c>
      <c r="C365" s="4" t="s">
        <v>3736</v>
      </c>
      <c r="D365" s="4">
        <v>589</v>
      </c>
    </row>
    <row r="366" spans="1:4">
      <c r="A366" s="4" t="s">
        <v>562</v>
      </c>
      <c r="B366" s="4">
        <v>100753</v>
      </c>
      <c r="C366" s="4" t="s">
        <v>3737</v>
      </c>
      <c r="D366" s="4">
        <v>590</v>
      </c>
    </row>
    <row r="367" spans="1:4">
      <c r="A367" s="4" t="s">
        <v>561</v>
      </c>
      <c r="B367" s="4">
        <v>100755</v>
      </c>
      <c r="C367" s="4" t="s">
        <v>3738</v>
      </c>
      <c r="D367" s="4">
        <v>591</v>
      </c>
    </row>
    <row r="368" spans="1:4">
      <c r="A368" s="4" t="s">
        <v>560</v>
      </c>
      <c r="B368" s="4">
        <v>100757</v>
      </c>
      <c r="C368" s="4" t="s">
        <v>3739</v>
      </c>
      <c r="D368" s="4">
        <v>592</v>
      </c>
    </row>
    <row r="369" spans="1:4">
      <c r="A369" s="4" t="s">
        <v>559</v>
      </c>
      <c r="B369" s="4">
        <v>100759</v>
      </c>
      <c r="C369" s="4" t="s">
        <v>3740</v>
      </c>
      <c r="D369" s="4">
        <v>593</v>
      </c>
    </row>
    <row r="370" spans="1:4">
      <c r="A370" s="4" t="s">
        <v>558</v>
      </c>
      <c r="B370" s="4">
        <v>100761</v>
      </c>
      <c r="C370" s="4" t="s">
        <v>3741</v>
      </c>
      <c r="D370" s="4">
        <v>594</v>
      </c>
    </row>
    <row r="371" spans="1:4">
      <c r="A371" s="4" t="s">
        <v>557</v>
      </c>
      <c r="B371" s="4">
        <v>100763</v>
      </c>
      <c r="C371" s="4" t="s">
        <v>3742</v>
      </c>
      <c r="D371" s="4">
        <v>595</v>
      </c>
    </row>
    <row r="372" spans="1:4">
      <c r="A372" s="4" t="s">
        <v>556</v>
      </c>
      <c r="B372" s="4">
        <v>100765</v>
      </c>
      <c r="C372" s="4" t="s">
        <v>3743</v>
      </c>
      <c r="D372" s="4">
        <v>596</v>
      </c>
    </row>
    <row r="373" spans="1:4">
      <c r="A373" s="4" t="s">
        <v>555</v>
      </c>
      <c r="B373" s="4">
        <v>100767</v>
      </c>
      <c r="C373" s="4" t="s">
        <v>3744</v>
      </c>
      <c r="D373" s="4">
        <v>597</v>
      </c>
    </row>
    <row r="374" spans="1:4">
      <c r="A374" s="4" t="s">
        <v>554</v>
      </c>
      <c r="B374" s="4">
        <v>100769</v>
      </c>
      <c r="C374" s="4" t="s">
        <v>3745</v>
      </c>
      <c r="D374" s="4">
        <v>598</v>
      </c>
    </row>
    <row r="375" spans="1:4">
      <c r="A375" s="4" t="s">
        <v>553</v>
      </c>
      <c r="B375" s="4">
        <v>100771</v>
      </c>
      <c r="C375" s="4" t="s">
        <v>3746</v>
      </c>
      <c r="D375" s="4">
        <v>599</v>
      </c>
    </row>
    <row r="376" spans="1:4">
      <c r="A376" s="4" t="s">
        <v>552</v>
      </c>
      <c r="B376" s="4">
        <v>100773</v>
      </c>
      <c r="C376" s="4" t="s">
        <v>3747</v>
      </c>
      <c r="D376" s="4">
        <v>600</v>
      </c>
    </row>
    <row r="377" spans="1:4">
      <c r="A377" s="4" t="s">
        <v>551</v>
      </c>
      <c r="B377" s="4">
        <v>100775</v>
      </c>
      <c r="C377" s="4" t="s">
        <v>3748</v>
      </c>
      <c r="D377" s="4">
        <v>601</v>
      </c>
    </row>
    <row r="378" spans="1:4">
      <c r="A378" s="4" t="s">
        <v>550</v>
      </c>
      <c r="B378" s="4">
        <v>100777</v>
      </c>
      <c r="C378" s="4" t="s">
        <v>3749</v>
      </c>
      <c r="D378" s="4">
        <v>602</v>
      </c>
    </row>
    <row r="379" spans="1:4">
      <c r="A379" s="4" t="s">
        <v>549</v>
      </c>
      <c r="B379" s="4">
        <v>100779</v>
      </c>
      <c r="C379" s="4" t="s">
        <v>3750</v>
      </c>
      <c r="D379" s="4">
        <v>603</v>
      </c>
    </row>
    <row r="380" spans="1:4">
      <c r="A380" s="4" t="s">
        <v>548</v>
      </c>
      <c r="B380" s="4">
        <v>100781</v>
      </c>
      <c r="C380" s="4" t="s">
        <v>3751</v>
      </c>
      <c r="D380" s="4">
        <v>604</v>
      </c>
    </row>
    <row r="381" spans="1:4">
      <c r="A381" s="4" t="s">
        <v>547</v>
      </c>
      <c r="B381" s="4">
        <v>100783</v>
      </c>
      <c r="C381" s="4" t="s">
        <v>3752</v>
      </c>
      <c r="D381" s="4">
        <v>605</v>
      </c>
    </row>
    <row r="382" spans="1:4">
      <c r="A382" s="4" t="s">
        <v>546</v>
      </c>
      <c r="B382" s="4">
        <v>100785</v>
      </c>
      <c r="C382" s="4" t="s">
        <v>3753</v>
      </c>
      <c r="D382" s="4">
        <v>606</v>
      </c>
    </row>
    <row r="383" spans="1:4">
      <c r="A383" s="4" t="s">
        <v>545</v>
      </c>
      <c r="B383" s="4">
        <v>100787</v>
      </c>
      <c r="C383" s="4" t="s">
        <v>3754</v>
      </c>
      <c r="D383" s="4">
        <v>607</v>
      </c>
    </row>
    <row r="384" spans="1:4">
      <c r="A384" s="4" t="s">
        <v>544</v>
      </c>
      <c r="B384" s="4">
        <v>100789</v>
      </c>
      <c r="C384" s="4" t="s">
        <v>3755</v>
      </c>
      <c r="D384" s="4">
        <v>608</v>
      </c>
    </row>
    <row r="385" spans="1:4">
      <c r="A385" s="4" t="s">
        <v>543</v>
      </c>
      <c r="B385" s="4">
        <v>100791</v>
      </c>
      <c r="C385" s="4" t="s">
        <v>3756</v>
      </c>
      <c r="D385" s="4">
        <v>609</v>
      </c>
    </row>
    <row r="386" spans="1:4">
      <c r="A386" s="4" t="s">
        <v>542</v>
      </c>
      <c r="B386" s="4">
        <v>100793</v>
      </c>
      <c r="C386" s="4" t="s">
        <v>3757</v>
      </c>
      <c r="D386" s="4">
        <v>610</v>
      </c>
    </row>
    <row r="387" spans="1:4">
      <c r="A387" s="4" t="s">
        <v>541</v>
      </c>
      <c r="B387" s="4">
        <v>100795</v>
      </c>
      <c r="C387" s="4" t="s">
        <v>3758</v>
      </c>
      <c r="D387" s="4">
        <v>611</v>
      </c>
    </row>
    <row r="388" spans="1:4">
      <c r="A388" s="4" t="s">
        <v>540</v>
      </c>
      <c r="B388" s="4">
        <v>100797</v>
      </c>
      <c r="C388" s="4" t="s">
        <v>3759</v>
      </c>
      <c r="D388" s="4">
        <v>612</v>
      </c>
    </row>
    <row r="389" spans="1:4">
      <c r="A389" s="4" t="s">
        <v>539</v>
      </c>
      <c r="B389" s="4">
        <v>100799</v>
      </c>
      <c r="C389" s="4" t="s">
        <v>3760</v>
      </c>
      <c r="D389" s="4">
        <v>613</v>
      </c>
    </row>
    <row r="390" spans="1:4">
      <c r="A390" s="4" t="s">
        <v>538</v>
      </c>
      <c r="B390" s="4">
        <v>100801</v>
      </c>
      <c r="C390" s="4" t="s">
        <v>3761</v>
      </c>
      <c r="D390" s="4">
        <v>614</v>
      </c>
    </row>
    <row r="391" spans="1:4">
      <c r="A391" s="4" t="s">
        <v>537</v>
      </c>
      <c r="B391" s="4">
        <v>100803</v>
      </c>
      <c r="C391" s="4" t="s">
        <v>3762</v>
      </c>
      <c r="D391" s="4">
        <v>615</v>
      </c>
    </row>
    <row r="392" spans="1:4">
      <c r="A392" s="4" t="s">
        <v>536</v>
      </c>
      <c r="B392" s="4">
        <v>100805</v>
      </c>
      <c r="C392" s="4" t="s">
        <v>3763</v>
      </c>
      <c r="D392" s="4">
        <v>616</v>
      </c>
    </row>
    <row r="393" spans="1:4">
      <c r="A393" s="4" t="s">
        <v>535</v>
      </c>
      <c r="B393" s="4">
        <v>100807</v>
      </c>
      <c r="C393" s="4" t="s">
        <v>3764</v>
      </c>
      <c r="D393" s="4">
        <v>617</v>
      </c>
    </row>
    <row r="394" spans="1:4">
      <c r="A394" s="4" t="s">
        <v>534</v>
      </c>
      <c r="B394" s="4">
        <v>100809</v>
      </c>
      <c r="C394" s="4" t="s">
        <v>3765</v>
      </c>
      <c r="D394" s="4">
        <v>618</v>
      </c>
    </row>
    <row r="395" spans="1:4">
      <c r="A395" s="4" t="s">
        <v>533</v>
      </c>
      <c r="B395" s="4">
        <v>100811</v>
      </c>
      <c r="C395" s="4" t="s">
        <v>3766</v>
      </c>
      <c r="D395" s="4">
        <v>619</v>
      </c>
    </row>
    <row r="396" spans="1:4">
      <c r="A396" s="4" t="s">
        <v>532</v>
      </c>
      <c r="B396" s="4">
        <v>100813</v>
      </c>
      <c r="C396" s="4" t="s">
        <v>3767</v>
      </c>
      <c r="D396" s="4">
        <v>620</v>
      </c>
    </row>
    <row r="397" spans="1:4">
      <c r="A397" s="4" t="s">
        <v>531</v>
      </c>
      <c r="B397" s="4">
        <v>100815</v>
      </c>
      <c r="C397" s="4" t="s">
        <v>3768</v>
      </c>
      <c r="D397" s="4">
        <v>621</v>
      </c>
    </row>
    <row r="398" spans="1:4">
      <c r="A398" s="4" t="s">
        <v>530</v>
      </c>
      <c r="B398" s="4">
        <v>100817</v>
      </c>
      <c r="C398" s="4" t="s">
        <v>3769</v>
      </c>
      <c r="D398" s="4">
        <v>622</v>
      </c>
    </row>
    <row r="399" spans="1:4">
      <c r="A399" s="4" t="s">
        <v>529</v>
      </c>
      <c r="B399" s="4">
        <v>100819</v>
      </c>
      <c r="C399" s="4" t="s">
        <v>3770</v>
      </c>
      <c r="D399" s="4">
        <v>623</v>
      </c>
    </row>
    <row r="400" spans="1:4">
      <c r="A400" s="4" t="s">
        <v>528</v>
      </c>
      <c r="B400" s="4">
        <v>100821</v>
      </c>
      <c r="C400" s="4" t="s">
        <v>3771</v>
      </c>
      <c r="D400" s="4">
        <v>624</v>
      </c>
    </row>
    <row r="401" spans="1:4">
      <c r="A401" s="4" t="s">
        <v>527</v>
      </c>
      <c r="B401" s="4">
        <v>100823</v>
      </c>
      <c r="C401" s="4" t="s">
        <v>3772</v>
      </c>
      <c r="D401" s="4">
        <v>625</v>
      </c>
    </row>
    <row r="402" spans="1:4">
      <c r="A402" s="4" t="s">
        <v>526</v>
      </c>
      <c r="B402" s="4">
        <v>100825</v>
      </c>
      <c r="C402" s="4" t="s">
        <v>3773</v>
      </c>
      <c r="D402" s="4">
        <v>626</v>
      </c>
    </row>
    <row r="403" spans="1:4">
      <c r="A403" s="4" t="s">
        <v>525</v>
      </c>
      <c r="B403" s="4">
        <v>100827</v>
      </c>
      <c r="C403" s="4" t="s">
        <v>3774</v>
      </c>
      <c r="D403" s="4">
        <v>627</v>
      </c>
    </row>
    <row r="404" spans="1:4">
      <c r="A404" s="4" t="s">
        <v>410</v>
      </c>
      <c r="B404" s="4">
        <v>100829</v>
      </c>
      <c r="C404" s="4" t="s">
        <v>3775</v>
      </c>
      <c r="D404" s="4">
        <v>628</v>
      </c>
    </row>
    <row r="405" spans="1:4">
      <c r="A405" s="4" t="s">
        <v>524</v>
      </c>
      <c r="B405" s="4">
        <v>100831</v>
      </c>
      <c r="C405" s="4" t="s">
        <v>3776</v>
      </c>
      <c r="D405" s="4">
        <v>629</v>
      </c>
    </row>
    <row r="406" spans="1:4">
      <c r="A406" s="4" t="s">
        <v>523</v>
      </c>
      <c r="B406" s="4">
        <v>100833</v>
      </c>
      <c r="C406" s="4" t="s">
        <v>3777</v>
      </c>
      <c r="D406" s="4">
        <v>630</v>
      </c>
    </row>
    <row r="407" spans="1:4">
      <c r="A407" s="4" t="s">
        <v>522</v>
      </c>
      <c r="B407" s="4">
        <v>100835</v>
      </c>
      <c r="C407" s="4" t="s">
        <v>3778</v>
      </c>
      <c r="D407" s="4">
        <v>631</v>
      </c>
    </row>
    <row r="408" spans="1:4">
      <c r="A408" s="4" t="s">
        <v>521</v>
      </c>
      <c r="B408" s="4">
        <v>100837</v>
      </c>
      <c r="C408" s="4" t="s">
        <v>3779</v>
      </c>
      <c r="D408" s="4">
        <v>632</v>
      </c>
    </row>
    <row r="409" spans="1:4">
      <c r="A409" s="4" t="s">
        <v>520</v>
      </c>
      <c r="B409" s="4">
        <v>100839</v>
      </c>
      <c r="C409" s="4" t="s">
        <v>3780</v>
      </c>
      <c r="D409" s="4">
        <v>633</v>
      </c>
    </row>
    <row r="410" spans="1:4">
      <c r="A410" s="4" t="s">
        <v>519</v>
      </c>
      <c r="B410" s="4">
        <v>100841</v>
      </c>
      <c r="C410" s="4" t="s">
        <v>3781</v>
      </c>
      <c r="D410" s="4">
        <v>634</v>
      </c>
    </row>
    <row r="411" spans="1:4">
      <c r="A411" s="4" t="s">
        <v>518</v>
      </c>
      <c r="B411" s="4">
        <v>100843</v>
      </c>
      <c r="C411" s="4" t="s">
        <v>3782</v>
      </c>
      <c r="D411" s="4">
        <v>635</v>
      </c>
    </row>
    <row r="412" spans="1:4">
      <c r="A412" s="4" t="s">
        <v>517</v>
      </c>
      <c r="B412" s="4">
        <v>100845</v>
      </c>
      <c r="C412" s="4" t="s">
        <v>3783</v>
      </c>
      <c r="D412" s="4">
        <v>636</v>
      </c>
    </row>
    <row r="413" spans="1:4">
      <c r="A413" s="4" t="s">
        <v>516</v>
      </c>
      <c r="B413" s="4">
        <v>100847</v>
      </c>
      <c r="C413" s="4" t="s">
        <v>3625</v>
      </c>
      <c r="D413" s="4">
        <v>637</v>
      </c>
    </row>
    <row r="414" spans="1:4">
      <c r="A414" s="4" t="s">
        <v>515</v>
      </c>
      <c r="B414" s="4">
        <v>100849</v>
      </c>
      <c r="C414" s="4" t="s">
        <v>3784</v>
      </c>
      <c r="D414" s="4">
        <v>638</v>
      </c>
    </row>
    <row r="415" spans="1:4">
      <c r="A415" s="4" t="s">
        <v>514</v>
      </c>
      <c r="B415" s="4">
        <v>100851</v>
      </c>
      <c r="C415" s="4" t="s">
        <v>3785</v>
      </c>
      <c r="D415" s="4">
        <v>639</v>
      </c>
    </row>
    <row r="416" spans="1:4">
      <c r="A416" s="4" t="s">
        <v>513</v>
      </c>
      <c r="B416" s="4">
        <v>100853</v>
      </c>
      <c r="C416" s="4" t="s">
        <v>3786</v>
      </c>
      <c r="D416" s="4">
        <v>640</v>
      </c>
    </row>
    <row r="417" spans="1:4">
      <c r="A417" s="4" t="s">
        <v>512</v>
      </c>
      <c r="B417" s="4">
        <v>100855</v>
      </c>
      <c r="C417" s="4" t="s">
        <v>3787</v>
      </c>
      <c r="D417" s="4">
        <v>641</v>
      </c>
    </row>
    <row r="418" spans="1:4">
      <c r="A418" s="4" t="s">
        <v>511</v>
      </c>
      <c r="B418" s="4">
        <v>100857</v>
      </c>
      <c r="C418" s="4" t="s">
        <v>3788</v>
      </c>
      <c r="D418" s="4">
        <v>642</v>
      </c>
    </row>
    <row r="419" spans="1:4">
      <c r="A419" s="4" t="s">
        <v>510</v>
      </c>
      <c r="B419" s="4">
        <v>100859</v>
      </c>
      <c r="C419" s="4" t="s">
        <v>3789</v>
      </c>
      <c r="D419" s="4">
        <v>643</v>
      </c>
    </row>
    <row r="420" spans="1:4">
      <c r="A420" s="4" t="s">
        <v>509</v>
      </c>
      <c r="B420" s="4">
        <v>100861</v>
      </c>
      <c r="C420" s="4" t="s">
        <v>3790</v>
      </c>
      <c r="D420" s="4">
        <v>644</v>
      </c>
    </row>
    <row r="421" spans="1:4">
      <c r="A421" s="4" t="s">
        <v>508</v>
      </c>
      <c r="B421" s="4">
        <v>100863</v>
      </c>
      <c r="C421" s="4" t="s">
        <v>3791</v>
      </c>
      <c r="D421" s="4">
        <v>645</v>
      </c>
    </row>
    <row r="422" spans="1:4">
      <c r="A422" s="4" t="s">
        <v>507</v>
      </c>
      <c r="B422" s="4">
        <v>100865</v>
      </c>
      <c r="C422" s="4" t="s">
        <v>3792</v>
      </c>
      <c r="D422" s="4">
        <v>646</v>
      </c>
    </row>
    <row r="423" spans="1:4">
      <c r="A423" s="4" t="s">
        <v>506</v>
      </c>
      <c r="B423" s="4">
        <v>100867</v>
      </c>
      <c r="C423" s="4" t="s">
        <v>3793</v>
      </c>
      <c r="D423" s="4">
        <v>647</v>
      </c>
    </row>
    <row r="424" spans="1:4">
      <c r="A424" s="4" t="s">
        <v>505</v>
      </c>
      <c r="B424" s="4">
        <v>100869</v>
      </c>
      <c r="C424" s="4" t="s">
        <v>3794</v>
      </c>
      <c r="D424" s="4">
        <v>648</v>
      </c>
    </row>
    <row r="425" spans="1:4">
      <c r="A425" s="4" t="s">
        <v>504</v>
      </c>
      <c r="B425" s="4">
        <v>100871</v>
      </c>
      <c r="C425" s="4" t="s">
        <v>3795</v>
      </c>
      <c r="D425" s="4">
        <v>649</v>
      </c>
    </row>
    <row r="426" spans="1:4">
      <c r="A426" s="4" t="s">
        <v>503</v>
      </c>
      <c r="B426" s="4">
        <v>100873</v>
      </c>
      <c r="C426" s="4" t="s">
        <v>3796</v>
      </c>
      <c r="D426" s="4">
        <v>650</v>
      </c>
    </row>
    <row r="427" spans="1:4">
      <c r="A427" s="4" t="s">
        <v>502</v>
      </c>
      <c r="B427" s="4">
        <v>100875</v>
      </c>
      <c r="C427" s="4" t="s">
        <v>3797</v>
      </c>
      <c r="D427" s="4">
        <v>651</v>
      </c>
    </row>
    <row r="428" spans="1:4">
      <c r="A428" s="4" t="s">
        <v>501</v>
      </c>
      <c r="B428" s="4">
        <v>100877</v>
      </c>
      <c r="C428" s="4" t="s">
        <v>3798</v>
      </c>
      <c r="D428" s="4">
        <v>652</v>
      </c>
    </row>
    <row r="429" spans="1:4">
      <c r="A429" s="4" t="s">
        <v>500</v>
      </c>
      <c r="B429" s="4">
        <v>100879</v>
      </c>
      <c r="C429" s="4" t="s">
        <v>3799</v>
      </c>
      <c r="D429" s="4">
        <v>653</v>
      </c>
    </row>
    <row r="430" spans="1:4">
      <c r="A430" s="4" t="s">
        <v>499</v>
      </c>
      <c r="B430" s="4">
        <v>100881</v>
      </c>
      <c r="C430" s="4" t="s">
        <v>3800</v>
      </c>
      <c r="D430" s="4">
        <v>654</v>
      </c>
    </row>
    <row r="431" spans="1:4">
      <c r="A431" s="4" t="s">
        <v>498</v>
      </c>
      <c r="B431" s="4">
        <v>100883</v>
      </c>
      <c r="C431" s="4" t="s">
        <v>3801</v>
      </c>
      <c r="D431" s="4">
        <v>655</v>
      </c>
    </row>
    <row r="432" spans="1:4">
      <c r="A432" s="4" t="s">
        <v>497</v>
      </c>
      <c r="B432" s="4">
        <v>100885</v>
      </c>
      <c r="C432" s="4" t="s">
        <v>3802</v>
      </c>
      <c r="D432" s="4">
        <v>656</v>
      </c>
    </row>
    <row r="433" spans="1:4">
      <c r="A433" s="4" t="s">
        <v>496</v>
      </c>
      <c r="B433" s="4">
        <v>100887</v>
      </c>
      <c r="C433" s="4" t="s">
        <v>3803</v>
      </c>
      <c r="D433" s="4">
        <v>657</v>
      </c>
    </row>
    <row r="434" spans="1:4">
      <c r="A434" s="4" t="s">
        <v>495</v>
      </c>
      <c r="B434" s="4">
        <v>100889</v>
      </c>
      <c r="C434" s="4" t="s">
        <v>3804</v>
      </c>
      <c r="D434" s="4">
        <v>658</v>
      </c>
    </row>
    <row r="435" spans="1:4">
      <c r="A435" s="4" t="s">
        <v>494</v>
      </c>
      <c r="B435" s="4">
        <v>100891</v>
      </c>
      <c r="C435" s="4" t="s">
        <v>3805</v>
      </c>
      <c r="D435" s="4">
        <v>659</v>
      </c>
    </row>
    <row r="436" spans="1:4">
      <c r="A436" s="4" t="s">
        <v>493</v>
      </c>
      <c r="B436" s="4">
        <v>100893</v>
      </c>
      <c r="C436" s="4" t="s">
        <v>3806</v>
      </c>
      <c r="D436" s="4">
        <v>660</v>
      </c>
    </row>
    <row r="437" spans="1:4">
      <c r="A437" s="4" t="s">
        <v>492</v>
      </c>
      <c r="B437" s="4">
        <v>100895</v>
      </c>
      <c r="C437" s="4" t="s">
        <v>3807</v>
      </c>
      <c r="D437" s="4">
        <v>661</v>
      </c>
    </row>
    <row r="438" spans="1:4">
      <c r="A438" s="4" t="s">
        <v>491</v>
      </c>
      <c r="B438" s="4">
        <v>100897</v>
      </c>
      <c r="C438" s="4" t="s">
        <v>3808</v>
      </c>
      <c r="D438" s="4">
        <v>662</v>
      </c>
    </row>
    <row r="439" spans="1:4">
      <c r="A439" s="4" t="s">
        <v>490</v>
      </c>
      <c r="B439" s="4">
        <v>100899</v>
      </c>
      <c r="C439" s="4" t="s">
        <v>3809</v>
      </c>
      <c r="D439" s="4">
        <v>663</v>
      </c>
    </row>
    <row r="440" spans="1:4">
      <c r="A440" s="4" t="s">
        <v>489</v>
      </c>
      <c r="B440" s="4">
        <v>100901</v>
      </c>
      <c r="C440" s="4" t="s">
        <v>3810</v>
      </c>
      <c r="D440" s="4">
        <v>664</v>
      </c>
    </row>
    <row r="441" spans="1:4">
      <c r="A441" s="4" t="s">
        <v>488</v>
      </c>
      <c r="B441" s="4">
        <v>100903</v>
      </c>
      <c r="C441" s="4" t="s">
        <v>3811</v>
      </c>
      <c r="D441" s="4">
        <v>665</v>
      </c>
    </row>
    <row r="442" spans="1:4">
      <c r="A442" s="4" t="s">
        <v>487</v>
      </c>
      <c r="B442" s="4">
        <v>100905</v>
      </c>
      <c r="C442" s="4" t="s">
        <v>3812</v>
      </c>
      <c r="D442" s="4">
        <v>666</v>
      </c>
    </row>
    <row r="443" spans="1:4">
      <c r="A443" s="4" t="s">
        <v>486</v>
      </c>
      <c r="B443" s="4">
        <v>100907</v>
      </c>
      <c r="C443" s="4" t="s">
        <v>3813</v>
      </c>
      <c r="D443" s="4">
        <v>667</v>
      </c>
    </row>
    <row r="444" spans="1:4">
      <c r="A444" s="4" t="s">
        <v>485</v>
      </c>
      <c r="B444" s="4">
        <v>100909</v>
      </c>
      <c r="C444" s="4" t="s">
        <v>3814</v>
      </c>
      <c r="D444" s="4">
        <v>668</v>
      </c>
    </row>
    <row r="445" spans="1:4">
      <c r="A445" s="4" t="s">
        <v>484</v>
      </c>
      <c r="B445" s="4">
        <v>100911</v>
      </c>
      <c r="C445" s="4" t="s">
        <v>3815</v>
      </c>
      <c r="D445" s="4">
        <v>669</v>
      </c>
    </row>
    <row r="446" spans="1:4">
      <c r="A446" s="4" t="s">
        <v>483</v>
      </c>
      <c r="B446" s="4">
        <v>100913</v>
      </c>
      <c r="C446" s="4" t="s">
        <v>3816</v>
      </c>
      <c r="D446" s="4">
        <v>670</v>
      </c>
    </row>
    <row r="447" spans="1:4">
      <c r="A447" s="4" t="s">
        <v>482</v>
      </c>
      <c r="B447" s="4">
        <v>100915</v>
      </c>
      <c r="C447" s="4" t="s">
        <v>3817</v>
      </c>
      <c r="D447" s="4">
        <v>671</v>
      </c>
    </row>
    <row r="448" spans="1:4">
      <c r="A448" s="4" t="s">
        <v>481</v>
      </c>
      <c r="B448" s="4">
        <v>100917</v>
      </c>
      <c r="C448" s="4" t="s">
        <v>3818</v>
      </c>
      <c r="D448" s="4">
        <v>672</v>
      </c>
    </row>
    <row r="449" spans="1:4">
      <c r="A449" s="4" t="s">
        <v>480</v>
      </c>
      <c r="B449" s="4">
        <v>100919</v>
      </c>
      <c r="C449" s="4" t="s">
        <v>3819</v>
      </c>
      <c r="D449" s="4">
        <v>673</v>
      </c>
    </row>
    <row r="450" spans="1:4">
      <c r="A450" s="4" t="s">
        <v>479</v>
      </c>
      <c r="B450" s="4">
        <v>100921</v>
      </c>
      <c r="C450" s="4" t="s">
        <v>3820</v>
      </c>
      <c r="D450" s="4">
        <v>674</v>
      </c>
    </row>
    <row r="451" spans="1:4">
      <c r="A451" s="4" t="s">
        <v>478</v>
      </c>
      <c r="B451" s="4">
        <v>100923</v>
      </c>
      <c r="C451" s="4" t="s">
        <v>3821</v>
      </c>
      <c r="D451" s="4">
        <v>675</v>
      </c>
    </row>
    <row r="452" spans="1:4">
      <c r="A452" s="4" t="s">
        <v>477</v>
      </c>
      <c r="B452" s="4">
        <v>100925</v>
      </c>
      <c r="C452" s="4" t="s">
        <v>3822</v>
      </c>
      <c r="D452" s="4">
        <v>676</v>
      </c>
    </row>
    <row r="453" spans="1:4">
      <c r="A453" s="4" t="s">
        <v>476</v>
      </c>
      <c r="B453" s="4">
        <v>100927</v>
      </c>
      <c r="C453" s="4" t="s">
        <v>3823</v>
      </c>
      <c r="D453" s="4">
        <v>677</v>
      </c>
    </row>
    <row r="454" spans="1:4">
      <c r="A454" s="4" t="s">
        <v>475</v>
      </c>
      <c r="B454" s="4">
        <v>100929</v>
      </c>
      <c r="C454" s="4" t="s">
        <v>3824</v>
      </c>
      <c r="D454" s="4">
        <v>678</v>
      </c>
    </row>
    <row r="455" spans="1:4">
      <c r="A455" s="4" t="s">
        <v>474</v>
      </c>
      <c r="B455" s="4">
        <v>100931</v>
      </c>
      <c r="C455" s="4" t="s">
        <v>3825</v>
      </c>
      <c r="D455" s="4">
        <v>679</v>
      </c>
    </row>
    <row r="456" spans="1:4">
      <c r="A456" s="4" t="s">
        <v>473</v>
      </c>
      <c r="B456" s="4">
        <v>100933</v>
      </c>
      <c r="C456" s="4" t="s">
        <v>3826</v>
      </c>
      <c r="D456" s="4">
        <v>680</v>
      </c>
    </row>
    <row r="457" spans="1:4">
      <c r="A457" s="4" t="s">
        <v>472</v>
      </c>
      <c r="B457" s="4">
        <v>100935</v>
      </c>
      <c r="C457" s="4" t="s">
        <v>3205</v>
      </c>
      <c r="D457" s="4">
        <v>681</v>
      </c>
    </row>
    <row r="458" spans="1:4">
      <c r="A458" s="4" t="s">
        <v>471</v>
      </c>
      <c r="B458" s="4">
        <v>100937</v>
      </c>
      <c r="C458" s="4" t="s">
        <v>3827</v>
      </c>
      <c r="D458" s="4">
        <v>682</v>
      </c>
    </row>
    <row r="459" spans="1:4">
      <c r="A459" s="4" t="s">
        <v>470</v>
      </c>
      <c r="B459" s="4">
        <v>100939</v>
      </c>
      <c r="C459" s="4" t="s">
        <v>3828</v>
      </c>
      <c r="D459" s="4">
        <v>683</v>
      </c>
    </row>
    <row r="460" spans="1:4">
      <c r="A460" s="4" t="s">
        <v>260</v>
      </c>
      <c r="B460" s="4">
        <v>200009</v>
      </c>
      <c r="C460" s="4" t="s">
        <v>3829</v>
      </c>
      <c r="D460" s="4">
        <v>73</v>
      </c>
    </row>
    <row r="461" spans="1:4">
      <c r="A461" s="4" t="s">
        <v>261</v>
      </c>
      <c r="B461" s="4">
        <v>200011</v>
      </c>
      <c r="C461" s="4" t="s">
        <v>3830</v>
      </c>
      <c r="D461" s="4">
        <v>74</v>
      </c>
    </row>
    <row r="462" spans="1:4">
      <c r="A462" s="4" t="s">
        <v>262</v>
      </c>
      <c r="B462" s="4">
        <v>200013</v>
      </c>
      <c r="C462" s="4" t="s">
        <v>3831</v>
      </c>
      <c r="D462" s="4">
        <v>76</v>
      </c>
    </row>
    <row r="463" spans="1:4">
      <c r="A463" s="4" t="s">
        <v>263</v>
      </c>
      <c r="B463" s="4">
        <v>200015</v>
      </c>
      <c r="C463" s="4" t="s">
        <v>3832</v>
      </c>
      <c r="D463" s="4">
        <v>77</v>
      </c>
    </row>
    <row r="464" spans="1:4">
      <c r="A464" s="4" t="s">
        <v>264</v>
      </c>
      <c r="B464" s="4">
        <v>200017</v>
      </c>
      <c r="C464" s="4" t="s">
        <v>3833</v>
      </c>
      <c r="D464" s="4">
        <v>78</v>
      </c>
    </row>
    <row r="465" spans="1:4">
      <c r="A465" s="4" t="s">
        <v>265</v>
      </c>
      <c r="B465" s="4">
        <v>200019</v>
      </c>
      <c r="C465" s="4" t="s">
        <v>3834</v>
      </c>
      <c r="D465" s="4">
        <v>80</v>
      </c>
    </row>
    <row r="466" spans="1:4">
      <c r="A466" s="4" t="s">
        <v>266</v>
      </c>
      <c r="B466" s="4">
        <v>200021</v>
      </c>
      <c r="C466" s="4" t="s">
        <v>3835</v>
      </c>
      <c r="D466" s="4">
        <v>81</v>
      </c>
    </row>
    <row r="467" spans="1:4">
      <c r="A467" s="4" t="s">
        <v>267</v>
      </c>
      <c r="B467" s="4">
        <v>200023</v>
      </c>
      <c r="C467" s="4" t="s">
        <v>3836</v>
      </c>
      <c r="D467" s="4">
        <v>82</v>
      </c>
    </row>
    <row r="468" spans="1:4">
      <c r="A468" s="4" t="s">
        <v>268</v>
      </c>
      <c r="B468" s="4">
        <v>200025</v>
      </c>
      <c r="C468" s="4" t="s">
        <v>3837</v>
      </c>
      <c r="D468" s="4">
        <v>83</v>
      </c>
    </row>
    <row r="469" spans="1:4">
      <c r="A469" s="4" t="s">
        <v>269</v>
      </c>
      <c r="B469" s="4">
        <v>200027</v>
      </c>
      <c r="C469" s="4" t="s">
        <v>3838</v>
      </c>
      <c r="D469" s="4">
        <v>84</v>
      </c>
    </row>
    <row r="470" spans="1:4">
      <c r="A470" s="4" t="s">
        <v>270</v>
      </c>
      <c r="B470" s="4">
        <v>200029</v>
      </c>
      <c r="C470" s="4" t="s">
        <v>3839</v>
      </c>
      <c r="D470" s="4">
        <v>85</v>
      </c>
    </row>
    <row r="471" spans="1:4">
      <c r="A471" s="4" t="s">
        <v>271</v>
      </c>
      <c r="B471" s="4">
        <v>200031</v>
      </c>
      <c r="C471" s="4" t="s">
        <v>3840</v>
      </c>
      <c r="D471" s="4">
        <v>87</v>
      </c>
    </row>
    <row r="472" spans="1:4">
      <c r="A472" s="4" t="s">
        <v>272</v>
      </c>
      <c r="B472" s="4">
        <v>200033</v>
      </c>
      <c r="C472" s="4" t="s">
        <v>3841</v>
      </c>
      <c r="D472" s="4">
        <v>91</v>
      </c>
    </row>
    <row r="473" spans="1:4">
      <c r="A473" s="4" t="s">
        <v>273</v>
      </c>
      <c r="B473" s="4">
        <v>200035</v>
      </c>
      <c r="C473" s="4" t="s">
        <v>3842</v>
      </c>
      <c r="D473" s="4">
        <v>96</v>
      </c>
    </row>
    <row r="474" spans="1:4">
      <c r="A474" s="4" t="s">
        <v>274</v>
      </c>
      <c r="B474" s="4">
        <v>200037</v>
      </c>
      <c r="C474" s="4" t="s">
        <v>3843</v>
      </c>
      <c r="D474" s="4">
        <v>100</v>
      </c>
    </row>
    <row r="475" spans="1:4">
      <c r="A475" s="4" t="s">
        <v>275</v>
      </c>
      <c r="B475" s="4">
        <v>200039</v>
      </c>
      <c r="C475" s="4" t="s">
        <v>3844</v>
      </c>
      <c r="D475" s="4">
        <v>103</v>
      </c>
    </row>
    <row r="476" spans="1:4">
      <c r="A476" s="4" t="s">
        <v>276</v>
      </c>
      <c r="B476" s="4">
        <v>200041</v>
      </c>
      <c r="C476" s="4" t="s">
        <v>3845</v>
      </c>
      <c r="D476" s="4">
        <v>104</v>
      </c>
    </row>
    <row r="477" spans="1:4">
      <c r="A477" s="4" t="s">
        <v>277</v>
      </c>
      <c r="B477" s="4">
        <v>200043</v>
      </c>
      <c r="C477" s="4" t="s">
        <v>3846</v>
      </c>
      <c r="D477" s="4">
        <v>109</v>
      </c>
    </row>
    <row r="478" spans="1:4">
      <c r="A478" s="4" t="s">
        <v>278</v>
      </c>
      <c r="B478" s="4">
        <v>200045</v>
      </c>
      <c r="C478" s="4" t="s">
        <v>3847</v>
      </c>
      <c r="D478" s="4">
        <v>174</v>
      </c>
    </row>
    <row r="479" spans="1:4">
      <c r="A479" s="4" t="s">
        <v>279</v>
      </c>
      <c r="B479" s="4">
        <v>200047</v>
      </c>
      <c r="C479" s="4" t="s">
        <v>3848</v>
      </c>
      <c r="D479" s="4">
        <v>176</v>
      </c>
    </row>
    <row r="480" spans="1:4">
      <c r="A480" s="4" t="s">
        <v>280</v>
      </c>
      <c r="B480" s="4">
        <v>200049</v>
      </c>
      <c r="C480" s="4" t="s">
        <v>3849</v>
      </c>
      <c r="D480" s="4">
        <v>178</v>
      </c>
    </row>
    <row r="481" spans="1:4">
      <c r="A481" s="4" t="s">
        <v>281</v>
      </c>
      <c r="B481" s="4">
        <v>200051</v>
      </c>
      <c r="C481" s="4" t="s">
        <v>3850</v>
      </c>
      <c r="D481" s="4">
        <v>180</v>
      </c>
    </row>
    <row r="482" spans="1:4">
      <c r="A482" s="4" t="s">
        <v>282</v>
      </c>
      <c r="B482" s="4">
        <v>200053</v>
      </c>
      <c r="C482" s="4" t="s">
        <v>3851</v>
      </c>
      <c r="D482" s="4">
        <v>182</v>
      </c>
    </row>
    <row r="483" spans="1:4">
      <c r="A483" s="4" t="s">
        <v>283</v>
      </c>
      <c r="B483" s="4">
        <v>200055</v>
      </c>
      <c r="C483" s="4" t="s">
        <v>3852</v>
      </c>
      <c r="D483" s="4">
        <v>184</v>
      </c>
    </row>
    <row r="484" spans="1:4">
      <c r="A484" s="4" t="s">
        <v>284</v>
      </c>
      <c r="B484" s="4">
        <v>200057</v>
      </c>
      <c r="C484" s="4" t="s">
        <v>3853</v>
      </c>
      <c r="D484" s="4">
        <v>186</v>
      </c>
    </row>
    <row r="485" spans="1:4">
      <c r="A485" s="4" t="s">
        <v>285</v>
      </c>
      <c r="B485" s="4">
        <v>200059</v>
      </c>
      <c r="C485" s="4" t="s">
        <v>3854</v>
      </c>
      <c r="D485" s="4">
        <v>188</v>
      </c>
    </row>
    <row r="486" spans="1:4">
      <c r="A486" s="4" t="s">
        <v>286</v>
      </c>
      <c r="B486" s="4">
        <v>200061</v>
      </c>
      <c r="C486" s="4" t="s">
        <v>3855</v>
      </c>
      <c r="D486" s="4">
        <v>189</v>
      </c>
    </row>
    <row r="487" spans="1:4">
      <c r="A487" s="4" t="s">
        <v>287</v>
      </c>
      <c r="B487" s="4">
        <v>200063</v>
      </c>
      <c r="C487" s="4" t="s">
        <v>3856</v>
      </c>
      <c r="D487" s="4">
        <v>191</v>
      </c>
    </row>
    <row r="488" spans="1:4">
      <c r="A488" s="4" t="s">
        <v>288</v>
      </c>
      <c r="B488" s="4">
        <v>200065</v>
      </c>
      <c r="C488" s="4" t="s">
        <v>3857</v>
      </c>
      <c r="D488" s="4">
        <v>194</v>
      </c>
    </row>
    <row r="489" spans="1:4">
      <c r="A489" s="4" t="s">
        <v>289</v>
      </c>
      <c r="B489" s="4">
        <v>200067</v>
      </c>
      <c r="C489" s="4" t="s">
        <v>3858</v>
      </c>
      <c r="D489" s="4">
        <v>195</v>
      </c>
    </row>
    <row r="490" spans="1:4">
      <c r="A490" s="4" t="s">
        <v>290</v>
      </c>
      <c r="B490" s="4">
        <v>200069</v>
      </c>
      <c r="C490" s="4" t="s">
        <v>3859</v>
      </c>
      <c r="D490" s="4">
        <v>196</v>
      </c>
    </row>
    <row r="491" spans="1:4">
      <c r="A491" s="4" t="s">
        <v>291</v>
      </c>
      <c r="B491" s="4">
        <v>200071</v>
      </c>
      <c r="C491" s="4" t="s">
        <v>3860</v>
      </c>
      <c r="D491" s="4">
        <v>197</v>
      </c>
    </row>
    <row r="492" spans="1:4">
      <c r="A492" s="4" t="s">
        <v>292</v>
      </c>
      <c r="B492" s="4">
        <v>200073</v>
      </c>
      <c r="C492" s="4" t="s">
        <v>3861</v>
      </c>
      <c r="D492" s="4">
        <v>198</v>
      </c>
    </row>
    <row r="493" spans="1:4">
      <c r="A493" s="4" t="s">
        <v>293</v>
      </c>
      <c r="B493" s="4">
        <v>200075</v>
      </c>
      <c r="C493" s="4" t="s">
        <v>3862</v>
      </c>
      <c r="D493" s="4">
        <v>200</v>
      </c>
    </row>
    <row r="494" spans="1:4">
      <c r="A494" s="4" t="s">
        <v>294</v>
      </c>
      <c r="B494" s="4">
        <v>200077</v>
      </c>
      <c r="C494" s="4" t="s">
        <v>3863</v>
      </c>
      <c r="D494" s="4">
        <v>201</v>
      </c>
    </row>
    <row r="495" spans="1:4">
      <c r="A495" s="4" t="s">
        <v>295</v>
      </c>
      <c r="B495" s="4">
        <v>200079</v>
      </c>
      <c r="C495" s="4" t="s">
        <v>3864</v>
      </c>
      <c r="D495" s="4">
        <v>202</v>
      </c>
    </row>
    <row r="496" spans="1:4">
      <c r="A496" s="4" t="s">
        <v>296</v>
      </c>
      <c r="B496" s="4">
        <v>200081</v>
      </c>
      <c r="C496" s="4" t="s">
        <v>3865</v>
      </c>
      <c r="D496" s="4">
        <v>204</v>
      </c>
    </row>
    <row r="497" spans="1:4">
      <c r="A497" s="4" t="s">
        <v>297</v>
      </c>
      <c r="B497" s="4">
        <v>200083</v>
      </c>
      <c r="C497" s="4" t="s">
        <v>3866</v>
      </c>
      <c r="D497" s="4">
        <v>205</v>
      </c>
    </row>
    <row r="498" spans="1:4">
      <c r="A498" s="4" t="s">
        <v>298</v>
      </c>
      <c r="B498" s="4">
        <v>200085</v>
      </c>
      <c r="C498" s="4" t="s">
        <v>3867</v>
      </c>
      <c r="D498" s="4">
        <v>206</v>
      </c>
    </row>
    <row r="499" spans="1:4">
      <c r="A499" s="4" t="s">
        <v>299</v>
      </c>
      <c r="B499" s="4">
        <v>200087</v>
      </c>
      <c r="C499" s="4" t="s">
        <v>3868</v>
      </c>
      <c r="D499" s="4">
        <v>207</v>
      </c>
    </row>
    <row r="500" spans="1:4">
      <c r="A500" s="4" t="s">
        <v>300</v>
      </c>
      <c r="B500" s="4">
        <v>200089</v>
      </c>
      <c r="C500" s="4" t="s">
        <v>3869</v>
      </c>
      <c r="D500" s="4">
        <v>208</v>
      </c>
    </row>
    <row r="501" spans="1:4">
      <c r="A501" s="4" t="s">
        <v>301</v>
      </c>
      <c r="B501" s="4">
        <v>200091</v>
      </c>
      <c r="C501" s="4" t="s">
        <v>3870</v>
      </c>
      <c r="D501" s="4">
        <v>209</v>
      </c>
    </row>
    <row r="502" spans="1:4">
      <c r="A502" s="4" t="s">
        <v>302</v>
      </c>
      <c r="B502" s="4">
        <v>200093</v>
      </c>
      <c r="C502" s="4" t="s">
        <v>3871</v>
      </c>
      <c r="D502" s="4">
        <v>210</v>
      </c>
    </row>
    <row r="503" spans="1:4">
      <c r="A503" s="4" t="s">
        <v>430</v>
      </c>
      <c r="B503" s="4">
        <v>200095</v>
      </c>
      <c r="C503" s="4" t="s">
        <v>3872</v>
      </c>
      <c r="D503" s="4">
        <v>304</v>
      </c>
    </row>
    <row r="504" spans="1:4">
      <c r="A504" s="4" t="s">
        <v>303</v>
      </c>
      <c r="B504" s="4">
        <v>200097</v>
      </c>
      <c r="C504" s="4" t="s">
        <v>3873</v>
      </c>
      <c r="D504" s="4">
        <v>306</v>
      </c>
    </row>
    <row r="505" spans="1:4">
      <c r="A505" s="4" t="s">
        <v>429</v>
      </c>
      <c r="B505" s="4">
        <v>200099</v>
      </c>
      <c r="C505" s="4" t="s">
        <v>3874</v>
      </c>
      <c r="D505" s="4">
        <v>308</v>
      </c>
    </row>
    <row r="506" spans="1:4">
      <c r="A506" s="4" t="s">
        <v>304</v>
      </c>
      <c r="B506" s="4">
        <v>200101</v>
      </c>
      <c r="C506" s="4" t="s">
        <v>3875</v>
      </c>
      <c r="D506" s="4">
        <v>313</v>
      </c>
    </row>
    <row r="507" spans="1:4">
      <c r="A507" s="4" t="s">
        <v>305</v>
      </c>
      <c r="B507" s="4">
        <v>200103</v>
      </c>
      <c r="C507" s="4" t="s">
        <v>3876</v>
      </c>
      <c r="D507" s="4">
        <v>316</v>
      </c>
    </row>
    <row r="508" spans="1:4">
      <c r="A508" s="4" t="s">
        <v>306</v>
      </c>
      <c r="B508" s="4">
        <v>200105</v>
      </c>
      <c r="C508" s="4" t="s">
        <v>3877</v>
      </c>
      <c r="D508" s="4">
        <v>318</v>
      </c>
    </row>
    <row r="509" spans="1:4">
      <c r="A509" s="4" t="s">
        <v>307</v>
      </c>
      <c r="B509" s="4">
        <v>200107</v>
      </c>
      <c r="C509" s="4" t="s">
        <v>3878</v>
      </c>
      <c r="D509" s="4">
        <v>322</v>
      </c>
    </row>
    <row r="510" spans="1:4">
      <c r="A510" s="4" t="s">
        <v>426</v>
      </c>
      <c r="B510" s="4">
        <v>200109</v>
      </c>
      <c r="C510" s="4" t="s">
        <v>3879</v>
      </c>
      <c r="D510" s="4">
        <v>325</v>
      </c>
    </row>
    <row r="511" spans="1:4">
      <c r="A511" s="4" t="s">
        <v>424</v>
      </c>
      <c r="B511" s="4">
        <v>200111</v>
      </c>
      <c r="C511" s="4" t="s">
        <v>3880</v>
      </c>
      <c r="D511" s="4">
        <v>331</v>
      </c>
    </row>
    <row r="512" spans="1:4">
      <c r="A512" s="4" t="s">
        <v>422</v>
      </c>
      <c r="B512" s="4">
        <v>200113</v>
      </c>
      <c r="C512" s="4" t="s">
        <v>3881</v>
      </c>
      <c r="D512" s="4">
        <v>333</v>
      </c>
    </row>
    <row r="513" spans="1:4">
      <c r="A513" s="4" t="s">
        <v>308</v>
      </c>
      <c r="B513" s="4">
        <v>200115</v>
      </c>
      <c r="C513" s="4" t="s">
        <v>3882</v>
      </c>
      <c r="D513" s="4">
        <v>334</v>
      </c>
    </row>
    <row r="514" spans="1:4">
      <c r="A514" s="4" t="s">
        <v>309</v>
      </c>
      <c r="B514" s="4">
        <v>200117</v>
      </c>
      <c r="C514" s="4" t="s">
        <v>3883</v>
      </c>
      <c r="D514" s="4">
        <v>336</v>
      </c>
    </row>
    <row r="515" spans="1:4">
      <c r="A515" s="4" t="s">
        <v>450</v>
      </c>
      <c r="B515" s="4">
        <v>200119</v>
      </c>
      <c r="C515" s="4" t="s">
        <v>3884</v>
      </c>
      <c r="D515" s="4">
        <v>452</v>
      </c>
    </row>
    <row r="516" spans="1:4">
      <c r="A516" s="4" t="s">
        <v>335</v>
      </c>
      <c r="B516" s="4">
        <v>200121</v>
      </c>
      <c r="C516" s="4" t="s">
        <v>3885</v>
      </c>
      <c r="D516" s="4">
        <v>456</v>
      </c>
    </row>
    <row r="517" spans="1:4">
      <c r="A517" s="4" t="s">
        <v>453</v>
      </c>
      <c r="B517" s="4">
        <v>200123</v>
      </c>
      <c r="C517" s="4" t="s">
        <v>3886</v>
      </c>
      <c r="D517" s="4">
        <v>459</v>
      </c>
    </row>
    <row r="518" spans="1:4">
      <c r="A518" s="4" t="s">
        <v>454</v>
      </c>
      <c r="B518" s="4">
        <v>200125</v>
      </c>
      <c r="C518" s="4" t="s">
        <v>3887</v>
      </c>
      <c r="D518" s="4">
        <v>460</v>
      </c>
    </row>
    <row r="519" spans="1:4">
      <c r="A519" s="4" t="s">
        <v>456</v>
      </c>
      <c r="B519" s="4">
        <v>200127</v>
      </c>
      <c r="C519" s="4" t="s">
        <v>3888</v>
      </c>
      <c r="D519" s="4">
        <v>463</v>
      </c>
    </row>
    <row r="520" spans="1:4">
      <c r="A520" s="4" t="s">
        <v>380</v>
      </c>
      <c r="B520" s="4">
        <v>200129</v>
      </c>
      <c r="C520" s="4" t="s">
        <v>3889</v>
      </c>
      <c r="D520" s="4">
        <v>464</v>
      </c>
    </row>
    <row r="521" spans="1:4">
      <c r="A521" s="4" t="s">
        <v>457</v>
      </c>
      <c r="B521" s="4">
        <v>200131</v>
      </c>
      <c r="C521" s="4" t="s">
        <v>3890</v>
      </c>
      <c r="D521" s="4">
        <v>465</v>
      </c>
    </row>
    <row r="522" spans="1:4">
      <c r="A522" s="4" t="s">
        <v>396</v>
      </c>
      <c r="B522" s="4">
        <v>200133</v>
      </c>
      <c r="C522" s="4" t="s">
        <v>3891</v>
      </c>
      <c r="D522" s="4">
        <v>466</v>
      </c>
    </row>
    <row r="523" spans="1:4">
      <c r="A523" s="4" t="s">
        <v>458</v>
      </c>
      <c r="B523" s="4">
        <v>200135</v>
      </c>
      <c r="C523" s="4" t="s">
        <v>3892</v>
      </c>
      <c r="D523" s="4">
        <v>469</v>
      </c>
    </row>
    <row r="524" spans="1:4">
      <c r="A524" s="4" t="s">
        <v>463</v>
      </c>
      <c r="B524" s="4">
        <v>200137</v>
      </c>
      <c r="C524" s="4" t="s">
        <v>3893</v>
      </c>
      <c r="D524" s="4">
        <v>478</v>
      </c>
    </row>
    <row r="525" spans="1:4">
      <c r="A525" s="4" t="s">
        <v>334</v>
      </c>
      <c r="B525" s="4">
        <v>200139</v>
      </c>
      <c r="C525" s="4" t="s">
        <v>3894</v>
      </c>
      <c r="D525" s="4">
        <v>480</v>
      </c>
    </row>
    <row r="526" spans="1:4">
      <c r="A526" s="4" t="s">
        <v>464</v>
      </c>
      <c r="B526" s="4">
        <v>200141</v>
      </c>
      <c r="C526" s="4" t="s">
        <v>3895</v>
      </c>
      <c r="D526" s="4">
        <v>481</v>
      </c>
    </row>
    <row r="527" spans="1:4">
      <c r="A527" s="4" t="s">
        <v>364</v>
      </c>
      <c r="B527" s="4">
        <v>200143</v>
      </c>
      <c r="C527" s="4" t="s">
        <v>3896</v>
      </c>
      <c r="D527" s="4">
        <v>482</v>
      </c>
    </row>
    <row r="528" spans="1:4">
      <c r="A528" s="4" t="s">
        <v>391</v>
      </c>
      <c r="B528" s="4">
        <v>200145</v>
      </c>
      <c r="C528" s="4" t="s">
        <v>3897</v>
      </c>
      <c r="D528" s="4">
        <v>484</v>
      </c>
    </row>
    <row r="529" spans="1:4">
      <c r="A529" s="4" t="s">
        <v>393</v>
      </c>
      <c r="B529" s="4">
        <v>200147</v>
      </c>
      <c r="C529" s="4" t="s">
        <v>3898</v>
      </c>
      <c r="D529" s="4">
        <v>486</v>
      </c>
    </row>
    <row r="530" spans="1:4">
      <c r="A530" s="4" t="s">
        <v>389</v>
      </c>
      <c r="B530" s="4">
        <v>200149</v>
      </c>
      <c r="C530" s="4" t="s">
        <v>3899</v>
      </c>
      <c r="D530" s="4">
        <v>487</v>
      </c>
    </row>
    <row r="531" spans="1:4">
      <c r="A531" s="4" t="s">
        <v>387</v>
      </c>
      <c r="B531" s="4">
        <v>200151</v>
      </c>
      <c r="C531" s="4" t="s">
        <v>3900</v>
      </c>
      <c r="D531" s="4">
        <v>488</v>
      </c>
    </row>
    <row r="532" spans="1:4">
      <c r="A532" s="4" t="s">
        <v>388</v>
      </c>
      <c r="B532" s="4">
        <v>200153</v>
      </c>
      <c r="C532" s="4" t="s">
        <v>3901</v>
      </c>
      <c r="D532" s="4">
        <v>489</v>
      </c>
    </row>
    <row r="533" spans="1:4">
      <c r="A533" s="4" t="s">
        <v>392</v>
      </c>
      <c r="B533" s="4">
        <v>200155</v>
      </c>
      <c r="C533" s="4" t="s">
        <v>3902</v>
      </c>
      <c r="D533" s="4">
        <v>490</v>
      </c>
    </row>
    <row r="534" spans="1:4">
      <c r="A534" s="4" t="s">
        <v>368</v>
      </c>
      <c r="B534" s="4">
        <v>200157</v>
      </c>
      <c r="C534" s="4" t="s">
        <v>3903</v>
      </c>
      <c r="D534" s="4">
        <v>491</v>
      </c>
    </row>
    <row r="535" spans="1:4">
      <c r="A535" s="4" t="s">
        <v>369</v>
      </c>
      <c r="B535" s="4">
        <v>200159</v>
      </c>
      <c r="C535" s="4" t="s">
        <v>3904</v>
      </c>
      <c r="D535" s="4">
        <v>492</v>
      </c>
    </row>
    <row r="536" spans="1:4">
      <c r="A536" s="4" t="s">
        <v>468</v>
      </c>
      <c r="B536" s="4">
        <v>200161</v>
      </c>
      <c r="C536" s="4" t="s">
        <v>3905</v>
      </c>
      <c r="D536" s="4">
        <v>493</v>
      </c>
    </row>
    <row r="537" spans="1:4">
      <c r="A537" s="4" t="s">
        <v>390</v>
      </c>
      <c r="B537" s="4">
        <v>200163</v>
      </c>
      <c r="C537" s="4" t="s">
        <v>3906</v>
      </c>
      <c r="D537" s="4">
        <v>494</v>
      </c>
    </row>
    <row r="538" spans="1:4">
      <c r="A538" s="4" t="s">
        <v>666</v>
      </c>
      <c r="B538" s="4">
        <v>200165</v>
      </c>
      <c r="C538" s="4" t="s">
        <v>3907</v>
      </c>
      <c r="D538" s="4">
        <v>495</v>
      </c>
    </row>
    <row r="539" spans="1:4">
      <c r="A539" s="4" t="s">
        <v>469</v>
      </c>
      <c r="B539" s="4">
        <v>200167</v>
      </c>
      <c r="C539" s="4" t="s">
        <v>3908</v>
      </c>
      <c r="D539" s="4">
        <v>496</v>
      </c>
    </row>
    <row r="540" spans="1:4">
      <c r="A540" s="4" t="s">
        <v>646</v>
      </c>
      <c r="B540" s="4">
        <v>200171</v>
      </c>
      <c r="C540" s="4" t="s">
        <v>3909</v>
      </c>
      <c r="D540" s="4">
        <v>501</v>
      </c>
    </row>
    <row r="541" spans="1:4">
      <c r="A541" s="4" t="s">
        <v>645</v>
      </c>
      <c r="B541" s="4">
        <v>200173</v>
      </c>
      <c r="C541" s="4" t="s">
        <v>3910</v>
      </c>
      <c r="D541" s="4">
        <v>502</v>
      </c>
    </row>
    <row r="542" spans="1:4">
      <c r="A542" s="4" t="s">
        <v>644</v>
      </c>
      <c r="B542" s="4">
        <v>200175</v>
      </c>
      <c r="C542" s="4" t="s">
        <v>3911</v>
      </c>
      <c r="D542" s="4">
        <v>503</v>
      </c>
    </row>
    <row r="543" spans="1:4">
      <c r="A543" s="4" t="s">
        <v>643</v>
      </c>
      <c r="B543" s="4">
        <v>200177</v>
      </c>
      <c r="C543" s="4" t="s">
        <v>3912</v>
      </c>
      <c r="D543" s="4">
        <v>504</v>
      </c>
    </row>
    <row r="544" spans="1:4">
      <c r="A544" s="4" t="s">
        <v>642</v>
      </c>
      <c r="B544" s="4">
        <v>200179</v>
      </c>
      <c r="C544" s="4" t="s">
        <v>3913</v>
      </c>
      <c r="D544" s="4">
        <v>505</v>
      </c>
    </row>
    <row r="545" spans="1:4">
      <c r="A545" s="4" t="s">
        <v>641</v>
      </c>
      <c r="B545" s="4">
        <v>200181</v>
      </c>
      <c r="C545" s="4" t="s">
        <v>3914</v>
      </c>
      <c r="D545" s="4">
        <v>506</v>
      </c>
    </row>
    <row r="546" spans="1:4">
      <c r="A546" s="4" t="s">
        <v>640</v>
      </c>
      <c r="B546" s="4">
        <v>200183</v>
      </c>
      <c r="C546" s="4" t="s">
        <v>3915</v>
      </c>
      <c r="D546" s="4">
        <v>507</v>
      </c>
    </row>
    <row r="547" spans="1:4">
      <c r="A547" s="4" t="s">
        <v>639</v>
      </c>
      <c r="B547" s="4">
        <v>200185</v>
      </c>
      <c r="C547" s="4" t="s">
        <v>3916</v>
      </c>
      <c r="D547" s="4">
        <v>508</v>
      </c>
    </row>
    <row r="548" spans="1:4">
      <c r="A548" s="4" t="s">
        <v>638</v>
      </c>
      <c r="B548" s="4">
        <v>200187</v>
      </c>
      <c r="C548" s="4" t="s">
        <v>3917</v>
      </c>
      <c r="D548" s="4">
        <v>509</v>
      </c>
    </row>
    <row r="549" spans="1:4">
      <c r="A549" s="4" t="s">
        <v>637</v>
      </c>
      <c r="B549" s="4">
        <v>200189</v>
      </c>
      <c r="C549" s="4" t="s">
        <v>3918</v>
      </c>
      <c r="D549" s="4">
        <v>510</v>
      </c>
    </row>
    <row r="550" spans="1:4">
      <c r="A550" s="4" t="s">
        <v>636</v>
      </c>
      <c r="B550" s="4">
        <v>200191</v>
      </c>
      <c r="C550" s="4" t="s">
        <v>3919</v>
      </c>
      <c r="D550" s="4">
        <v>511</v>
      </c>
    </row>
    <row r="551" spans="1:4">
      <c r="A551" s="4" t="s">
        <v>635</v>
      </c>
      <c r="B551" s="4">
        <v>200193</v>
      </c>
      <c r="C551" s="4" t="s">
        <v>3920</v>
      </c>
      <c r="D551" s="4">
        <v>512</v>
      </c>
    </row>
    <row r="552" spans="1:4">
      <c r="A552" s="4" t="s">
        <v>634</v>
      </c>
      <c r="B552" s="4">
        <v>200195</v>
      </c>
      <c r="C552" s="4" t="s">
        <v>3921</v>
      </c>
      <c r="D552" s="4">
        <v>513</v>
      </c>
    </row>
    <row r="553" spans="1:4">
      <c r="A553" s="4" t="s">
        <v>633</v>
      </c>
      <c r="B553" s="4">
        <v>200197</v>
      </c>
      <c r="C553" s="4" t="s">
        <v>3922</v>
      </c>
      <c r="D553" s="4">
        <v>514</v>
      </c>
    </row>
    <row r="554" spans="1:4">
      <c r="A554" s="4" t="s">
        <v>632</v>
      </c>
      <c r="B554" s="4">
        <v>200199</v>
      </c>
      <c r="C554" s="4" t="s">
        <v>3923</v>
      </c>
      <c r="D554" s="4">
        <v>515</v>
      </c>
    </row>
    <row r="555" spans="1:4">
      <c r="A555" s="4" t="s">
        <v>631</v>
      </c>
      <c r="B555" s="4">
        <v>200201</v>
      </c>
      <c r="C555" s="4" t="s">
        <v>3924</v>
      </c>
      <c r="D555" s="4">
        <v>516</v>
      </c>
    </row>
    <row r="556" spans="1:4">
      <c r="A556" s="4" t="s">
        <v>630</v>
      </c>
      <c r="B556" s="4">
        <v>200203</v>
      </c>
      <c r="C556" s="4" t="s">
        <v>3925</v>
      </c>
      <c r="D556" s="4">
        <v>517</v>
      </c>
    </row>
    <row r="557" spans="1:4">
      <c r="A557" s="4" t="s">
        <v>629</v>
      </c>
      <c r="B557" s="4">
        <v>200205</v>
      </c>
      <c r="C557" s="4" t="s">
        <v>3926</v>
      </c>
      <c r="D557" s="4">
        <v>518</v>
      </c>
    </row>
    <row r="558" spans="1:4">
      <c r="A558" s="4" t="s">
        <v>628</v>
      </c>
      <c r="B558" s="4">
        <v>200207</v>
      </c>
      <c r="C558" s="4" t="s">
        <v>3927</v>
      </c>
      <c r="D558" s="4">
        <v>519</v>
      </c>
    </row>
    <row r="559" spans="1:4">
      <c r="A559" s="4" t="s">
        <v>627</v>
      </c>
      <c r="B559" s="4">
        <v>200209</v>
      </c>
      <c r="C559" s="4" t="s">
        <v>3928</v>
      </c>
      <c r="D559" s="4">
        <v>520</v>
      </c>
    </row>
    <row r="560" spans="1:4">
      <c r="A560" s="4" t="s">
        <v>626</v>
      </c>
      <c r="B560" s="4">
        <v>200211</v>
      </c>
      <c r="C560" s="4" t="s">
        <v>3929</v>
      </c>
      <c r="D560" s="4">
        <v>521</v>
      </c>
    </row>
    <row r="561" spans="1:4">
      <c r="A561" s="4" t="s">
        <v>625</v>
      </c>
      <c r="B561" s="4">
        <v>200213</v>
      </c>
      <c r="C561" s="4" t="s">
        <v>3930</v>
      </c>
      <c r="D561" s="4">
        <v>522</v>
      </c>
    </row>
    <row r="562" spans="1:4">
      <c r="A562" s="4" t="s">
        <v>624</v>
      </c>
      <c r="B562" s="4">
        <v>200215</v>
      </c>
      <c r="C562" s="4" t="s">
        <v>3931</v>
      </c>
      <c r="D562" s="4">
        <v>523</v>
      </c>
    </row>
    <row r="563" spans="1:4">
      <c r="A563" s="4" t="s">
        <v>623</v>
      </c>
      <c r="B563" s="4">
        <v>200217</v>
      </c>
      <c r="C563" s="4" t="s">
        <v>3932</v>
      </c>
      <c r="D563" s="4">
        <v>524</v>
      </c>
    </row>
    <row r="564" spans="1:4">
      <c r="A564" s="4" t="s">
        <v>416</v>
      </c>
      <c r="B564" s="4">
        <v>200219</v>
      </c>
      <c r="C564" s="4" t="s">
        <v>3933</v>
      </c>
      <c r="D564" s="4">
        <v>525</v>
      </c>
    </row>
    <row r="565" spans="1:4">
      <c r="A565" s="4" t="s">
        <v>622</v>
      </c>
      <c r="B565" s="4">
        <v>200221</v>
      </c>
      <c r="C565" s="4" t="s">
        <v>3934</v>
      </c>
      <c r="D565" s="4">
        <v>526</v>
      </c>
    </row>
    <row r="566" spans="1:4">
      <c r="A566" s="4" t="s">
        <v>621</v>
      </c>
      <c r="B566" s="4">
        <v>200223</v>
      </c>
      <c r="C566" s="4" t="s">
        <v>3935</v>
      </c>
      <c r="D566" s="4">
        <v>527</v>
      </c>
    </row>
    <row r="567" spans="1:4">
      <c r="A567" s="4" t="s">
        <v>620</v>
      </c>
      <c r="B567" s="4">
        <v>200225</v>
      </c>
      <c r="C567" s="4" t="s">
        <v>3936</v>
      </c>
      <c r="D567" s="4">
        <v>528</v>
      </c>
    </row>
    <row r="568" spans="1:4">
      <c r="A568" s="4" t="s">
        <v>619</v>
      </c>
      <c r="B568" s="4">
        <v>200227</v>
      </c>
      <c r="C568" s="4" t="s">
        <v>3937</v>
      </c>
      <c r="D568" s="4">
        <v>529</v>
      </c>
    </row>
    <row r="569" spans="1:4">
      <c r="A569" s="4" t="s">
        <v>618</v>
      </c>
      <c r="B569" s="4">
        <v>200229</v>
      </c>
      <c r="C569" s="4" t="s">
        <v>3938</v>
      </c>
      <c r="D569" s="4">
        <v>530</v>
      </c>
    </row>
    <row r="570" spans="1:4">
      <c r="A570" s="4" t="s">
        <v>617</v>
      </c>
      <c r="B570" s="4">
        <v>200231</v>
      </c>
      <c r="C570" s="4" t="s">
        <v>3939</v>
      </c>
      <c r="D570" s="4">
        <v>531</v>
      </c>
    </row>
    <row r="571" spans="1:4">
      <c r="A571" s="4" t="s">
        <v>616</v>
      </c>
      <c r="B571" s="4">
        <v>200233</v>
      </c>
      <c r="C571" s="4" t="s">
        <v>3940</v>
      </c>
      <c r="D571" s="4">
        <v>532</v>
      </c>
    </row>
    <row r="572" spans="1:4">
      <c r="A572" s="4" t="s">
        <v>615</v>
      </c>
      <c r="B572" s="4">
        <v>200235</v>
      </c>
      <c r="C572" s="4" t="s">
        <v>3941</v>
      </c>
      <c r="D572" s="4">
        <v>533</v>
      </c>
    </row>
    <row r="573" spans="1:4">
      <c r="A573" s="4" t="s">
        <v>415</v>
      </c>
      <c r="B573" s="4">
        <v>200237</v>
      </c>
      <c r="C573" s="4" t="s">
        <v>3942</v>
      </c>
      <c r="D573" s="4">
        <v>534</v>
      </c>
    </row>
    <row r="574" spans="1:4">
      <c r="A574" s="4" t="s">
        <v>614</v>
      </c>
      <c r="B574" s="4">
        <v>200239</v>
      </c>
      <c r="C574" s="4" t="s">
        <v>3943</v>
      </c>
      <c r="D574" s="4">
        <v>535</v>
      </c>
    </row>
    <row r="575" spans="1:4">
      <c r="A575" s="4" t="s">
        <v>613</v>
      </c>
      <c r="B575" s="4">
        <v>200241</v>
      </c>
      <c r="C575" s="4" t="s">
        <v>3944</v>
      </c>
      <c r="D575" s="4">
        <v>536</v>
      </c>
    </row>
    <row r="576" spans="1:4">
      <c r="A576" s="4" t="s">
        <v>612</v>
      </c>
      <c r="B576" s="4">
        <v>200243</v>
      </c>
      <c r="C576" s="4" t="s">
        <v>3945</v>
      </c>
      <c r="D576" s="4">
        <v>537</v>
      </c>
    </row>
    <row r="577" spans="1:4">
      <c r="A577" s="4" t="s">
        <v>611</v>
      </c>
      <c r="B577" s="4">
        <v>200245</v>
      </c>
      <c r="C577" s="4" t="s">
        <v>3946</v>
      </c>
      <c r="D577" s="4">
        <v>538</v>
      </c>
    </row>
    <row r="578" spans="1:4">
      <c r="A578" s="4" t="s">
        <v>610</v>
      </c>
      <c r="B578" s="4">
        <v>200247</v>
      </c>
      <c r="C578" s="4" t="s">
        <v>3947</v>
      </c>
      <c r="D578" s="4">
        <v>539</v>
      </c>
    </row>
    <row r="579" spans="1:4">
      <c r="A579" s="4" t="s">
        <v>609</v>
      </c>
      <c r="B579" s="4">
        <v>200249</v>
      </c>
      <c r="C579" s="4" t="s">
        <v>3948</v>
      </c>
      <c r="D579" s="4">
        <v>540</v>
      </c>
    </row>
    <row r="580" spans="1:4">
      <c r="A580" s="4" t="s">
        <v>608</v>
      </c>
      <c r="B580" s="4">
        <v>200251</v>
      </c>
      <c r="C580" s="4" t="s">
        <v>3949</v>
      </c>
      <c r="D580" s="4">
        <v>541</v>
      </c>
    </row>
    <row r="581" spans="1:4">
      <c r="A581" s="4" t="s">
        <v>607</v>
      </c>
      <c r="B581" s="4">
        <v>200253</v>
      </c>
      <c r="C581" s="4" t="s">
        <v>3950</v>
      </c>
      <c r="D581" s="4">
        <v>542</v>
      </c>
    </row>
    <row r="582" spans="1:4">
      <c r="A582" s="4" t="s">
        <v>606</v>
      </c>
      <c r="B582" s="4">
        <v>200255</v>
      </c>
      <c r="C582" s="4" t="s">
        <v>3951</v>
      </c>
      <c r="D582" s="4">
        <v>543</v>
      </c>
    </row>
    <row r="583" spans="1:4">
      <c r="A583" s="4" t="s">
        <v>605</v>
      </c>
      <c r="B583" s="4">
        <v>200257</v>
      </c>
      <c r="C583" s="4" t="s">
        <v>3952</v>
      </c>
      <c r="D583" s="4">
        <v>544</v>
      </c>
    </row>
    <row r="584" spans="1:4">
      <c r="A584" s="4" t="s">
        <v>604</v>
      </c>
      <c r="B584" s="4">
        <v>200259</v>
      </c>
      <c r="C584" s="4" t="s">
        <v>3953</v>
      </c>
      <c r="D584" s="4">
        <v>545</v>
      </c>
    </row>
    <row r="585" spans="1:4">
      <c r="A585" s="4" t="s">
        <v>603</v>
      </c>
      <c r="B585" s="4">
        <v>200261</v>
      </c>
      <c r="C585" s="4" t="s">
        <v>3954</v>
      </c>
      <c r="D585" s="4">
        <v>546</v>
      </c>
    </row>
    <row r="586" spans="1:4">
      <c r="A586" s="4" t="s">
        <v>602</v>
      </c>
      <c r="B586" s="4">
        <v>200263</v>
      </c>
      <c r="C586" s="4" t="s">
        <v>3955</v>
      </c>
      <c r="D586" s="4">
        <v>547</v>
      </c>
    </row>
    <row r="587" spans="1:4">
      <c r="A587" s="4" t="s">
        <v>601</v>
      </c>
      <c r="B587" s="4">
        <v>200265</v>
      </c>
      <c r="C587" s="4" t="s">
        <v>3956</v>
      </c>
      <c r="D587" s="4">
        <v>548</v>
      </c>
    </row>
    <row r="588" spans="1:4">
      <c r="A588" s="4" t="s">
        <v>600</v>
      </c>
      <c r="B588" s="4">
        <v>200267</v>
      </c>
      <c r="C588" s="4" t="s">
        <v>3957</v>
      </c>
      <c r="D588" s="4">
        <v>549</v>
      </c>
    </row>
    <row r="589" spans="1:4">
      <c r="A589" s="4" t="s">
        <v>599</v>
      </c>
      <c r="B589" s="4">
        <v>200269</v>
      </c>
      <c r="C589" s="4" t="s">
        <v>3958</v>
      </c>
      <c r="D589" s="4">
        <v>550</v>
      </c>
    </row>
    <row r="590" spans="1:4">
      <c r="A590" s="4" t="s">
        <v>598</v>
      </c>
      <c r="B590" s="4">
        <v>200271</v>
      </c>
      <c r="C590" s="4" t="s">
        <v>3959</v>
      </c>
      <c r="D590" s="4">
        <v>551</v>
      </c>
    </row>
    <row r="591" spans="1:4">
      <c r="A591" s="4" t="s">
        <v>597</v>
      </c>
      <c r="B591" s="4">
        <v>200273</v>
      </c>
      <c r="C591" s="4" t="s">
        <v>3960</v>
      </c>
      <c r="D591" s="4">
        <v>552</v>
      </c>
    </row>
    <row r="592" spans="1:4">
      <c r="A592" s="4" t="s">
        <v>596</v>
      </c>
      <c r="B592" s="4">
        <v>200275</v>
      </c>
      <c r="C592" s="4" t="s">
        <v>3961</v>
      </c>
      <c r="D592" s="4">
        <v>553</v>
      </c>
    </row>
    <row r="593" spans="1:4">
      <c r="A593" s="4" t="s">
        <v>595</v>
      </c>
      <c r="B593" s="4">
        <v>200277</v>
      </c>
      <c r="C593" s="4" t="s">
        <v>3962</v>
      </c>
      <c r="D593" s="4">
        <v>554</v>
      </c>
    </row>
    <row r="594" spans="1:4">
      <c r="A594" s="4" t="s">
        <v>594</v>
      </c>
      <c r="B594" s="4">
        <v>200279</v>
      </c>
      <c r="C594" s="4" t="s">
        <v>3963</v>
      </c>
      <c r="D594" s="4">
        <v>555</v>
      </c>
    </row>
    <row r="595" spans="1:4">
      <c r="A595" s="4" t="s">
        <v>593</v>
      </c>
      <c r="B595" s="4">
        <v>200281</v>
      </c>
      <c r="C595" s="4" t="s">
        <v>3964</v>
      </c>
      <c r="D595" s="4">
        <v>556</v>
      </c>
    </row>
    <row r="596" spans="1:4">
      <c r="A596" s="4" t="s">
        <v>592</v>
      </c>
      <c r="B596" s="4">
        <v>200283</v>
      </c>
      <c r="C596" s="4" t="s">
        <v>3965</v>
      </c>
      <c r="D596" s="4">
        <v>557</v>
      </c>
    </row>
    <row r="597" spans="1:4">
      <c r="A597" s="4" t="s">
        <v>591</v>
      </c>
      <c r="B597" s="4">
        <v>200285</v>
      </c>
      <c r="C597" s="4" t="s">
        <v>3966</v>
      </c>
      <c r="D597" s="4">
        <v>558</v>
      </c>
    </row>
    <row r="598" spans="1:4">
      <c r="A598" s="4" t="s">
        <v>590</v>
      </c>
      <c r="B598" s="4">
        <v>200287</v>
      </c>
      <c r="C598" s="4" t="s">
        <v>3967</v>
      </c>
      <c r="D598" s="4">
        <v>559</v>
      </c>
    </row>
    <row r="599" spans="1:4">
      <c r="A599" s="4" t="s">
        <v>589</v>
      </c>
      <c r="B599" s="4">
        <v>200289</v>
      </c>
      <c r="C599" s="4" t="s">
        <v>3968</v>
      </c>
      <c r="D599" s="4">
        <v>560</v>
      </c>
    </row>
    <row r="600" spans="1:4">
      <c r="A600" s="4" t="s">
        <v>588</v>
      </c>
      <c r="B600" s="4">
        <v>200291</v>
      </c>
      <c r="C600" s="4" t="s">
        <v>3969</v>
      </c>
      <c r="D600" s="4">
        <v>561</v>
      </c>
    </row>
    <row r="601" spans="1:4">
      <c r="A601" s="4" t="s">
        <v>587</v>
      </c>
      <c r="B601" s="4">
        <v>200293</v>
      </c>
      <c r="C601" s="4" t="s">
        <v>3970</v>
      </c>
      <c r="D601" s="4">
        <v>562</v>
      </c>
    </row>
    <row r="602" spans="1:4">
      <c r="A602" s="4" t="s">
        <v>586</v>
      </c>
      <c r="B602" s="4">
        <v>200295</v>
      </c>
      <c r="C602" s="4" t="s">
        <v>3971</v>
      </c>
      <c r="D602" s="4">
        <v>563</v>
      </c>
    </row>
    <row r="603" spans="1:4">
      <c r="A603" t="s">
        <v>816</v>
      </c>
      <c r="B603">
        <v>200465</v>
      </c>
      <c r="C603" t="s">
        <v>3081</v>
      </c>
      <c r="D603">
        <v>769</v>
      </c>
    </row>
    <row r="604" spans="1:4">
      <c r="A604" t="s">
        <v>712</v>
      </c>
      <c r="B604">
        <v>200673</v>
      </c>
      <c r="C604" t="s">
        <v>3082</v>
      </c>
      <c r="D604">
        <v>873</v>
      </c>
    </row>
    <row r="605" spans="1:4">
      <c r="A605" t="s">
        <v>823</v>
      </c>
      <c r="B605">
        <v>200451</v>
      </c>
      <c r="C605" t="s">
        <v>3083</v>
      </c>
      <c r="D605">
        <v>762</v>
      </c>
    </row>
    <row r="606" spans="1:4">
      <c r="A606" t="s">
        <v>868</v>
      </c>
      <c r="B606">
        <v>200359</v>
      </c>
      <c r="C606" t="s">
        <v>3084</v>
      </c>
      <c r="D606">
        <v>716</v>
      </c>
    </row>
    <row r="607" spans="1:4">
      <c r="A607" t="s">
        <v>879</v>
      </c>
      <c r="B607">
        <v>200339</v>
      </c>
      <c r="C607" t="s">
        <v>3085</v>
      </c>
      <c r="D607">
        <v>706</v>
      </c>
    </row>
    <row r="608" spans="1:4">
      <c r="A608" t="s">
        <v>721</v>
      </c>
      <c r="B608">
        <v>200655</v>
      </c>
      <c r="C608" t="s">
        <v>3086</v>
      </c>
      <c r="D608">
        <v>864</v>
      </c>
    </row>
    <row r="609" spans="1:4">
      <c r="A609" t="s">
        <v>675</v>
      </c>
      <c r="B609">
        <v>200747</v>
      </c>
      <c r="C609" t="s">
        <v>3087</v>
      </c>
      <c r="D609">
        <v>910</v>
      </c>
    </row>
    <row r="610" spans="1:4">
      <c r="A610" t="s">
        <v>799</v>
      </c>
      <c r="B610">
        <v>200497</v>
      </c>
      <c r="C610" t="s">
        <v>3088</v>
      </c>
      <c r="D610">
        <v>785</v>
      </c>
    </row>
    <row r="611" spans="1:4">
      <c r="A611" t="s">
        <v>723</v>
      </c>
      <c r="B611">
        <v>200651</v>
      </c>
      <c r="C611" t="s">
        <v>3089</v>
      </c>
      <c r="D611">
        <v>862</v>
      </c>
    </row>
    <row r="612" spans="1:4">
      <c r="A612" t="s">
        <v>801</v>
      </c>
      <c r="B612">
        <v>200493</v>
      </c>
      <c r="C612" t="s">
        <v>3090</v>
      </c>
      <c r="D612">
        <v>783</v>
      </c>
    </row>
    <row r="613" spans="1:4">
      <c r="A613" t="s">
        <v>897</v>
      </c>
      <c r="B613">
        <v>200305</v>
      </c>
      <c r="C613" t="s">
        <v>3091</v>
      </c>
      <c r="D613">
        <v>689</v>
      </c>
    </row>
    <row r="614" spans="1:4">
      <c r="A614" t="s">
        <v>797</v>
      </c>
      <c r="B614">
        <v>200501</v>
      </c>
      <c r="C614" t="s">
        <v>3092</v>
      </c>
      <c r="D614">
        <v>787</v>
      </c>
    </row>
    <row r="615" spans="1:4">
      <c r="A615" t="s">
        <v>703</v>
      </c>
      <c r="B615">
        <v>200691</v>
      </c>
      <c r="C615" t="s">
        <v>3093</v>
      </c>
      <c r="D615">
        <v>882</v>
      </c>
    </row>
    <row r="616" spans="1:4">
      <c r="A616" t="s">
        <v>685</v>
      </c>
      <c r="B616">
        <v>200727</v>
      </c>
      <c r="C616" t="s">
        <v>3094</v>
      </c>
      <c r="D616">
        <v>900</v>
      </c>
    </row>
    <row r="617" spans="1:4">
      <c r="A617" t="s">
        <v>790</v>
      </c>
      <c r="B617">
        <v>200515</v>
      </c>
      <c r="C617" t="s">
        <v>3095</v>
      </c>
      <c r="D617">
        <v>794</v>
      </c>
    </row>
    <row r="618" spans="1:4">
      <c r="A618" t="s">
        <v>833</v>
      </c>
      <c r="B618">
        <v>200429</v>
      </c>
      <c r="C618" t="s">
        <v>3096</v>
      </c>
      <c r="D618">
        <v>751</v>
      </c>
    </row>
    <row r="619" spans="1:4">
      <c r="A619" t="s">
        <v>831</v>
      </c>
      <c r="B619">
        <v>200433</v>
      </c>
      <c r="C619" t="s">
        <v>3097</v>
      </c>
      <c r="D619">
        <v>753</v>
      </c>
    </row>
    <row r="620" spans="1:4">
      <c r="A620" t="s">
        <v>755</v>
      </c>
      <c r="B620">
        <v>200587</v>
      </c>
      <c r="C620" t="s">
        <v>3098</v>
      </c>
      <c r="D620">
        <v>830</v>
      </c>
    </row>
    <row r="621" spans="1:4">
      <c r="A621" t="s">
        <v>830</v>
      </c>
      <c r="B621">
        <v>200435</v>
      </c>
      <c r="C621" t="s">
        <v>3099</v>
      </c>
      <c r="D621">
        <v>754</v>
      </c>
    </row>
    <row r="622" spans="1:4">
      <c r="A622" t="s">
        <v>878</v>
      </c>
      <c r="B622">
        <v>200341</v>
      </c>
      <c r="C622" t="s">
        <v>3100</v>
      </c>
      <c r="D622">
        <v>707</v>
      </c>
    </row>
    <row r="623" spans="1:4">
      <c r="A623" t="s">
        <v>865</v>
      </c>
      <c r="B623">
        <v>200365</v>
      </c>
      <c r="C623" t="s">
        <v>3101</v>
      </c>
      <c r="D623">
        <v>719</v>
      </c>
    </row>
    <row r="624" spans="1:4">
      <c r="A624" t="s">
        <v>900</v>
      </c>
      <c r="B624">
        <v>200299</v>
      </c>
      <c r="C624" t="s">
        <v>3102</v>
      </c>
      <c r="D624">
        <v>686</v>
      </c>
    </row>
    <row r="625" spans="1:4">
      <c r="A625" t="s">
        <v>885</v>
      </c>
      <c r="B625">
        <v>200329</v>
      </c>
      <c r="C625" t="s">
        <v>3103</v>
      </c>
      <c r="D625">
        <v>701</v>
      </c>
    </row>
    <row r="626" spans="1:4">
      <c r="A626" t="s">
        <v>884</v>
      </c>
      <c r="B626">
        <v>200331</v>
      </c>
      <c r="C626" t="s">
        <v>3104</v>
      </c>
      <c r="D626">
        <v>702</v>
      </c>
    </row>
    <row r="627" spans="1:4">
      <c r="A627" t="s">
        <v>883</v>
      </c>
      <c r="B627">
        <v>200333</v>
      </c>
      <c r="C627" t="s">
        <v>3105</v>
      </c>
      <c r="D627">
        <v>703</v>
      </c>
    </row>
    <row r="628" spans="1:4">
      <c r="A628" t="s">
        <v>851</v>
      </c>
      <c r="B628">
        <v>200393</v>
      </c>
      <c r="C628" t="s">
        <v>3106</v>
      </c>
      <c r="D628">
        <v>733</v>
      </c>
    </row>
    <row r="629" spans="1:4">
      <c r="A629" t="s">
        <v>847</v>
      </c>
      <c r="B629">
        <v>200401</v>
      </c>
      <c r="C629" t="s">
        <v>3107</v>
      </c>
      <c r="D629">
        <v>737</v>
      </c>
    </row>
    <row r="630" spans="1:4">
      <c r="A630" t="s">
        <v>845</v>
      </c>
      <c r="B630">
        <v>200405</v>
      </c>
      <c r="C630" t="s">
        <v>3108</v>
      </c>
      <c r="D630">
        <v>739</v>
      </c>
    </row>
    <row r="631" spans="1:4">
      <c r="A631" t="s">
        <v>844</v>
      </c>
      <c r="B631">
        <v>200407</v>
      </c>
      <c r="C631" t="s">
        <v>3109</v>
      </c>
      <c r="D631">
        <v>740</v>
      </c>
    </row>
    <row r="632" spans="1:4">
      <c r="A632" t="s">
        <v>843</v>
      </c>
      <c r="B632">
        <v>200409</v>
      </c>
      <c r="C632" t="s">
        <v>3110</v>
      </c>
      <c r="D632">
        <v>741</v>
      </c>
    </row>
    <row r="633" spans="1:4">
      <c r="A633" t="s">
        <v>840</v>
      </c>
      <c r="B633">
        <v>200415</v>
      </c>
      <c r="C633" t="s">
        <v>3111</v>
      </c>
      <c r="D633">
        <v>744</v>
      </c>
    </row>
    <row r="634" spans="1:4">
      <c r="A634" t="s">
        <v>836</v>
      </c>
      <c r="B634">
        <v>200423</v>
      </c>
      <c r="C634" t="s">
        <v>3112</v>
      </c>
      <c r="D634">
        <v>748</v>
      </c>
    </row>
    <row r="635" spans="1:4">
      <c r="A635" t="s">
        <v>725</v>
      </c>
      <c r="B635">
        <v>200647</v>
      </c>
      <c r="C635" t="s">
        <v>3113</v>
      </c>
      <c r="D635">
        <v>860</v>
      </c>
    </row>
    <row r="636" spans="1:4">
      <c r="A636" t="s">
        <v>689</v>
      </c>
      <c r="B636">
        <v>200719</v>
      </c>
      <c r="C636" t="s">
        <v>3114</v>
      </c>
      <c r="D636">
        <v>896</v>
      </c>
    </row>
    <row r="637" spans="1:4">
      <c r="A637" t="s">
        <v>781</v>
      </c>
      <c r="B637">
        <v>200533</v>
      </c>
      <c r="C637" t="s">
        <v>3115</v>
      </c>
      <c r="D637">
        <v>803</v>
      </c>
    </row>
    <row r="638" spans="1:4">
      <c r="A638" t="s">
        <v>698</v>
      </c>
      <c r="B638">
        <v>200701</v>
      </c>
      <c r="C638" t="s">
        <v>3116</v>
      </c>
      <c r="D638">
        <v>887</v>
      </c>
    </row>
    <row r="639" spans="1:4">
      <c r="A639" t="s">
        <v>891</v>
      </c>
      <c r="B639">
        <v>200317</v>
      </c>
      <c r="C639" t="s">
        <v>3117</v>
      </c>
      <c r="D639">
        <v>695</v>
      </c>
    </row>
    <row r="640" spans="1:4">
      <c r="A640" t="s">
        <v>892</v>
      </c>
      <c r="B640">
        <v>200315</v>
      </c>
      <c r="C640" t="s">
        <v>3118</v>
      </c>
      <c r="D640">
        <v>694</v>
      </c>
    </row>
    <row r="641" spans="1:4">
      <c r="A641" t="s">
        <v>719</v>
      </c>
      <c r="B641">
        <v>200659</v>
      </c>
      <c r="C641" t="s">
        <v>3119</v>
      </c>
      <c r="D641">
        <v>866</v>
      </c>
    </row>
    <row r="642" spans="1:4">
      <c r="A642" t="s">
        <v>899</v>
      </c>
      <c r="B642">
        <v>200301</v>
      </c>
      <c r="C642" t="s">
        <v>3120</v>
      </c>
      <c r="D642">
        <v>687</v>
      </c>
    </row>
    <row r="643" spans="1:4">
      <c r="A643" t="s">
        <v>867</v>
      </c>
      <c r="B643">
        <v>200361</v>
      </c>
      <c r="C643" t="s">
        <v>3121</v>
      </c>
      <c r="D643">
        <v>717</v>
      </c>
    </row>
    <row r="644" spans="1:4">
      <c r="A644" t="s">
        <v>866</v>
      </c>
      <c r="B644">
        <v>200363</v>
      </c>
      <c r="C644" t="s">
        <v>3122</v>
      </c>
      <c r="D644">
        <v>718</v>
      </c>
    </row>
    <row r="645" spans="1:4">
      <c r="A645" t="s">
        <v>881</v>
      </c>
      <c r="B645">
        <v>200335</v>
      </c>
      <c r="C645" t="s">
        <v>3123</v>
      </c>
      <c r="D645">
        <v>704</v>
      </c>
    </row>
    <row r="646" spans="1:4">
      <c r="A646" t="s">
        <v>875</v>
      </c>
      <c r="B646">
        <v>200347</v>
      </c>
      <c r="C646" t="s">
        <v>3124</v>
      </c>
      <c r="D646">
        <v>710</v>
      </c>
    </row>
    <row r="647" spans="1:4">
      <c r="A647" t="s">
        <v>872</v>
      </c>
      <c r="B647">
        <v>200353</v>
      </c>
      <c r="C647" t="s">
        <v>3125</v>
      </c>
      <c r="D647">
        <v>713</v>
      </c>
    </row>
    <row r="648" spans="1:4">
      <c r="A648" t="s">
        <v>870</v>
      </c>
      <c r="B648">
        <v>200355</v>
      </c>
      <c r="C648" t="s">
        <v>3126</v>
      </c>
      <c r="D648">
        <v>714</v>
      </c>
    </row>
    <row r="649" spans="1:4">
      <c r="A649" t="s">
        <v>869</v>
      </c>
      <c r="B649">
        <v>200357</v>
      </c>
      <c r="C649" t="s">
        <v>3127</v>
      </c>
      <c r="D649">
        <v>715</v>
      </c>
    </row>
    <row r="650" spans="1:4">
      <c r="A650" t="s">
        <v>895</v>
      </c>
      <c r="B650">
        <v>200309</v>
      </c>
      <c r="C650" t="s">
        <v>3128</v>
      </c>
      <c r="D650">
        <v>691</v>
      </c>
    </row>
    <row r="651" spans="1:4">
      <c r="A651" t="s">
        <v>862</v>
      </c>
      <c r="B651">
        <v>200371</v>
      </c>
      <c r="C651" t="s">
        <v>3129</v>
      </c>
      <c r="D651">
        <v>722</v>
      </c>
    </row>
    <row r="652" spans="1:4">
      <c r="A652" t="s">
        <v>856</v>
      </c>
      <c r="B652">
        <v>200383</v>
      </c>
      <c r="C652" t="s">
        <v>3130</v>
      </c>
      <c r="D652">
        <v>728</v>
      </c>
    </row>
    <row r="653" spans="1:4">
      <c r="A653" t="s">
        <v>848</v>
      </c>
      <c r="B653">
        <v>200399</v>
      </c>
      <c r="C653" t="s">
        <v>3131</v>
      </c>
      <c r="D653">
        <v>736</v>
      </c>
    </row>
    <row r="654" spans="1:4">
      <c r="A654" t="s">
        <v>734</v>
      </c>
      <c r="B654">
        <v>200629</v>
      </c>
      <c r="C654" t="s">
        <v>3132</v>
      </c>
      <c r="D654">
        <v>851</v>
      </c>
    </row>
    <row r="655" spans="1:4">
      <c r="A655" t="s">
        <v>784</v>
      </c>
      <c r="B655">
        <v>200527</v>
      </c>
      <c r="C655" t="s">
        <v>3133</v>
      </c>
      <c r="D655">
        <v>800</v>
      </c>
    </row>
    <row r="656" spans="1:4">
      <c r="A656" t="s">
        <v>886</v>
      </c>
      <c r="B656">
        <v>200327</v>
      </c>
      <c r="C656" t="s">
        <v>3134</v>
      </c>
      <c r="D656">
        <v>700</v>
      </c>
    </row>
    <row r="657" spans="1:4">
      <c r="A657" t="s">
        <v>837</v>
      </c>
      <c r="B657">
        <v>200421</v>
      </c>
      <c r="C657" t="s">
        <v>3135</v>
      </c>
      <c r="D657">
        <v>747</v>
      </c>
    </row>
    <row r="658" spans="1:4">
      <c r="A658" t="s">
        <v>841</v>
      </c>
      <c r="B658">
        <v>200413</v>
      </c>
      <c r="C658" t="s">
        <v>3136</v>
      </c>
      <c r="D658">
        <v>743</v>
      </c>
    </row>
    <row r="659" spans="1:4">
      <c r="A659" t="s">
        <v>835</v>
      </c>
      <c r="B659">
        <v>200425</v>
      </c>
      <c r="C659" t="s">
        <v>3137</v>
      </c>
      <c r="D659">
        <v>749</v>
      </c>
    </row>
    <row r="660" spans="1:4">
      <c r="A660" t="s">
        <v>832</v>
      </c>
      <c r="B660">
        <v>200431</v>
      </c>
      <c r="C660" t="s">
        <v>3138</v>
      </c>
      <c r="D660">
        <v>752</v>
      </c>
    </row>
    <row r="661" spans="1:4">
      <c r="A661" t="s">
        <v>828</v>
      </c>
      <c r="B661">
        <v>200439</v>
      </c>
      <c r="C661" t="s">
        <v>3139</v>
      </c>
      <c r="D661">
        <v>756</v>
      </c>
    </row>
    <row r="662" spans="1:4">
      <c r="A662" t="s">
        <v>771</v>
      </c>
      <c r="B662">
        <v>200555</v>
      </c>
      <c r="C662" t="s">
        <v>3140</v>
      </c>
      <c r="D662">
        <v>814</v>
      </c>
    </row>
    <row r="663" spans="1:4">
      <c r="A663" t="s">
        <v>825</v>
      </c>
      <c r="B663">
        <v>200445</v>
      </c>
      <c r="C663" t="s">
        <v>3141</v>
      </c>
      <c r="D663">
        <v>759</v>
      </c>
    </row>
    <row r="664" spans="1:4">
      <c r="A664" t="s">
        <v>824</v>
      </c>
      <c r="B664">
        <v>200449</v>
      </c>
      <c r="C664" t="s">
        <v>3142</v>
      </c>
      <c r="D664">
        <v>761</v>
      </c>
    </row>
    <row r="665" spans="1:4">
      <c r="A665" t="s">
        <v>822</v>
      </c>
      <c r="B665">
        <v>200453</v>
      </c>
      <c r="C665" t="s">
        <v>3143</v>
      </c>
      <c r="D665">
        <v>763</v>
      </c>
    </row>
    <row r="666" spans="1:4">
      <c r="A666" t="s">
        <v>821</v>
      </c>
      <c r="B666">
        <v>200455</v>
      </c>
      <c r="C666" t="s">
        <v>3144</v>
      </c>
      <c r="D666">
        <v>764</v>
      </c>
    </row>
    <row r="667" spans="1:4">
      <c r="A667" t="s">
        <v>858</v>
      </c>
      <c r="B667">
        <v>200379</v>
      </c>
      <c r="C667" t="s">
        <v>3145</v>
      </c>
      <c r="D667">
        <v>726</v>
      </c>
    </row>
    <row r="668" spans="1:4">
      <c r="A668" t="s">
        <v>818</v>
      </c>
      <c r="B668">
        <v>200461</v>
      </c>
      <c r="C668" t="s">
        <v>3146</v>
      </c>
      <c r="D668">
        <v>767</v>
      </c>
    </row>
    <row r="669" spans="1:4">
      <c r="A669" t="s">
        <v>817</v>
      </c>
      <c r="B669">
        <v>200463</v>
      </c>
      <c r="C669" t="s">
        <v>3147</v>
      </c>
      <c r="D669">
        <v>768</v>
      </c>
    </row>
    <row r="670" spans="1:4">
      <c r="A670" t="s">
        <v>815</v>
      </c>
      <c r="B670">
        <v>200467</v>
      </c>
      <c r="C670" t="s">
        <v>3148</v>
      </c>
      <c r="D670">
        <v>770</v>
      </c>
    </row>
    <row r="671" spans="1:4">
      <c r="A671" t="s">
        <v>813</v>
      </c>
      <c r="B671">
        <v>200471</v>
      </c>
      <c r="C671" t="s">
        <v>3149</v>
      </c>
      <c r="D671">
        <v>772</v>
      </c>
    </row>
    <row r="672" spans="1:4">
      <c r="A672" t="s">
        <v>811</v>
      </c>
      <c r="B672">
        <v>200473</v>
      </c>
      <c r="C672" t="s">
        <v>3150</v>
      </c>
      <c r="D672">
        <v>773</v>
      </c>
    </row>
    <row r="673" spans="1:4">
      <c r="A673" t="s">
        <v>718</v>
      </c>
      <c r="B673">
        <v>200661</v>
      </c>
      <c r="C673" t="s">
        <v>3151</v>
      </c>
      <c r="D673">
        <v>867</v>
      </c>
    </row>
    <row r="674" spans="1:4">
      <c r="A674" t="s">
        <v>762</v>
      </c>
      <c r="B674">
        <v>200573</v>
      </c>
      <c r="C674" t="s">
        <v>3152</v>
      </c>
      <c r="D674">
        <v>823</v>
      </c>
    </row>
    <row r="675" spans="1:4">
      <c r="A675" t="s">
        <v>699</v>
      </c>
      <c r="B675">
        <v>200699</v>
      </c>
      <c r="C675" t="s">
        <v>3153</v>
      </c>
      <c r="D675">
        <v>886</v>
      </c>
    </row>
    <row r="676" spans="1:4">
      <c r="A676" t="s">
        <v>806</v>
      </c>
      <c r="B676">
        <v>200483</v>
      </c>
      <c r="C676" t="s">
        <v>3154</v>
      </c>
      <c r="D676">
        <v>778</v>
      </c>
    </row>
    <row r="677" spans="1:4">
      <c r="A677" t="s">
        <v>805</v>
      </c>
      <c r="B677">
        <v>200485</v>
      </c>
      <c r="C677" t="s">
        <v>3155</v>
      </c>
      <c r="D677">
        <v>779</v>
      </c>
    </row>
    <row r="678" spans="1:4">
      <c r="A678" t="s">
        <v>800</v>
      </c>
      <c r="B678">
        <v>200495</v>
      </c>
      <c r="C678" t="s">
        <v>3156</v>
      </c>
      <c r="D678">
        <v>784</v>
      </c>
    </row>
    <row r="679" spans="1:4">
      <c r="A679" t="s">
        <v>798</v>
      </c>
      <c r="B679">
        <v>200499</v>
      </c>
      <c r="C679" t="s">
        <v>3157</v>
      </c>
      <c r="D679">
        <v>786</v>
      </c>
    </row>
    <row r="680" spans="1:4">
      <c r="A680" t="s">
        <v>796</v>
      </c>
      <c r="B680">
        <v>200503</v>
      </c>
      <c r="C680" t="s">
        <v>3158</v>
      </c>
      <c r="D680">
        <v>788</v>
      </c>
    </row>
    <row r="681" spans="1:4">
      <c r="A681" t="s">
        <v>795</v>
      </c>
      <c r="B681">
        <v>200505</v>
      </c>
      <c r="C681" t="s">
        <v>3159</v>
      </c>
      <c r="D681">
        <v>789</v>
      </c>
    </row>
    <row r="682" spans="1:4">
      <c r="A682" t="s">
        <v>794</v>
      </c>
      <c r="B682">
        <v>200507</v>
      </c>
      <c r="C682" t="s">
        <v>3160</v>
      </c>
      <c r="D682">
        <v>790</v>
      </c>
    </row>
    <row r="683" spans="1:4">
      <c r="A683" t="s">
        <v>793</v>
      </c>
      <c r="B683">
        <v>200509</v>
      </c>
      <c r="C683" t="s">
        <v>3161</v>
      </c>
      <c r="D683">
        <v>791</v>
      </c>
    </row>
    <row r="684" spans="1:4">
      <c r="A684" t="s">
        <v>792</v>
      </c>
      <c r="B684">
        <v>200511</v>
      </c>
      <c r="C684" t="s">
        <v>3162</v>
      </c>
      <c r="D684">
        <v>792</v>
      </c>
    </row>
    <row r="685" spans="1:4">
      <c r="A685" t="s">
        <v>791</v>
      </c>
      <c r="B685">
        <v>200513</v>
      </c>
      <c r="C685" t="s">
        <v>3163</v>
      </c>
      <c r="D685">
        <v>793</v>
      </c>
    </row>
    <row r="686" spans="1:4">
      <c r="A686" t="s">
        <v>788</v>
      </c>
      <c r="B686">
        <v>200519</v>
      </c>
      <c r="C686" t="s">
        <v>3164</v>
      </c>
      <c r="D686">
        <v>796</v>
      </c>
    </row>
    <row r="687" spans="1:4">
      <c r="A687" t="s">
        <v>787</v>
      </c>
      <c r="B687">
        <v>200521</v>
      </c>
      <c r="C687" t="s">
        <v>3165</v>
      </c>
      <c r="D687">
        <v>797</v>
      </c>
    </row>
    <row r="688" spans="1:4">
      <c r="A688" t="s">
        <v>785</v>
      </c>
      <c r="B688">
        <v>200525</v>
      </c>
      <c r="C688" t="s">
        <v>3166</v>
      </c>
      <c r="D688">
        <v>799</v>
      </c>
    </row>
    <row r="689" spans="1:4">
      <c r="A689" t="s">
        <v>782</v>
      </c>
      <c r="B689">
        <v>200531</v>
      </c>
      <c r="C689" t="s">
        <v>3167</v>
      </c>
      <c r="D689">
        <v>802</v>
      </c>
    </row>
    <row r="690" spans="1:4">
      <c r="A690" t="s">
        <v>780</v>
      </c>
      <c r="B690">
        <v>200535</v>
      </c>
      <c r="C690" t="s">
        <v>3168</v>
      </c>
      <c r="D690">
        <v>804</v>
      </c>
    </row>
    <row r="691" spans="1:4">
      <c r="A691" t="s">
        <v>777</v>
      </c>
      <c r="B691">
        <v>200541</v>
      </c>
      <c r="C691" t="s">
        <v>3169</v>
      </c>
      <c r="D691">
        <v>807</v>
      </c>
    </row>
    <row r="692" spans="1:4">
      <c r="A692" t="s">
        <v>773</v>
      </c>
      <c r="B692">
        <v>200549</v>
      </c>
      <c r="C692" t="s">
        <v>3170</v>
      </c>
      <c r="D692">
        <v>811</v>
      </c>
    </row>
    <row r="693" spans="1:4">
      <c r="A693" t="s">
        <v>772</v>
      </c>
      <c r="B693">
        <v>200551</v>
      </c>
      <c r="C693" t="s">
        <v>3171</v>
      </c>
      <c r="D693">
        <v>812</v>
      </c>
    </row>
    <row r="694" spans="1:4">
      <c r="A694" t="s">
        <v>767</v>
      </c>
      <c r="B694">
        <v>200563</v>
      </c>
      <c r="C694" t="s">
        <v>3172</v>
      </c>
      <c r="D694">
        <v>818</v>
      </c>
    </row>
    <row r="695" spans="1:4">
      <c r="A695" t="s">
        <v>766</v>
      </c>
      <c r="B695">
        <v>200565</v>
      </c>
      <c r="C695" t="s">
        <v>3173</v>
      </c>
      <c r="D695">
        <v>819</v>
      </c>
    </row>
    <row r="696" spans="1:4">
      <c r="A696" t="s">
        <v>765</v>
      </c>
      <c r="B696">
        <v>200567</v>
      </c>
      <c r="C696" t="s">
        <v>3174</v>
      </c>
      <c r="D696">
        <v>820</v>
      </c>
    </row>
    <row r="697" spans="1:4">
      <c r="A697" t="s">
        <v>764</v>
      </c>
      <c r="B697">
        <v>200569</v>
      </c>
      <c r="C697" t="s">
        <v>3175</v>
      </c>
      <c r="D697">
        <v>821</v>
      </c>
    </row>
    <row r="698" spans="1:4">
      <c r="A698" t="s">
        <v>763</v>
      </c>
      <c r="B698">
        <v>200571</v>
      </c>
      <c r="C698" t="s">
        <v>3176</v>
      </c>
      <c r="D698">
        <v>822</v>
      </c>
    </row>
    <row r="699" spans="1:4">
      <c r="A699" t="s">
        <v>761</v>
      </c>
      <c r="B699">
        <v>200575</v>
      </c>
      <c r="C699" t="s">
        <v>3177</v>
      </c>
      <c r="D699">
        <v>824</v>
      </c>
    </row>
    <row r="700" spans="1:4">
      <c r="A700" t="s">
        <v>760</v>
      </c>
      <c r="B700">
        <v>200577</v>
      </c>
      <c r="C700" t="s">
        <v>3178</v>
      </c>
      <c r="D700">
        <v>825</v>
      </c>
    </row>
    <row r="701" spans="1:4">
      <c r="A701" t="s">
        <v>715</v>
      </c>
      <c r="B701">
        <v>200667</v>
      </c>
      <c r="C701" t="s">
        <v>3179</v>
      </c>
      <c r="D701">
        <v>870</v>
      </c>
    </row>
    <row r="702" spans="1:4">
      <c r="A702" t="s">
        <v>711</v>
      </c>
      <c r="B702">
        <v>200675</v>
      </c>
      <c r="C702" t="s">
        <v>3180</v>
      </c>
      <c r="D702">
        <v>874</v>
      </c>
    </row>
    <row r="703" spans="1:4">
      <c r="A703" t="s">
        <v>708</v>
      </c>
      <c r="B703">
        <v>200681</v>
      </c>
      <c r="C703" t="s">
        <v>3181</v>
      </c>
      <c r="D703">
        <v>877</v>
      </c>
    </row>
    <row r="704" spans="1:4">
      <c r="A704" t="s">
        <v>704</v>
      </c>
      <c r="B704">
        <v>200689</v>
      </c>
      <c r="C704" t="s">
        <v>3182</v>
      </c>
      <c r="D704">
        <v>881</v>
      </c>
    </row>
    <row r="705" spans="1:4">
      <c r="A705" t="s">
        <v>700</v>
      </c>
      <c r="B705">
        <v>200697</v>
      </c>
      <c r="C705" t="s">
        <v>3183</v>
      </c>
      <c r="D705">
        <v>885</v>
      </c>
    </row>
    <row r="706" spans="1:4">
      <c r="A706" t="s">
        <v>697</v>
      </c>
      <c r="B706">
        <v>200703</v>
      </c>
      <c r="C706" t="s">
        <v>3184</v>
      </c>
      <c r="D706">
        <v>888</v>
      </c>
    </row>
    <row r="707" spans="1:4">
      <c r="A707" t="s">
        <v>743</v>
      </c>
      <c r="B707">
        <v>200611</v>
      </c>
      <c r="C707" t="s">
        <v>3185</v>
      </c>
      <c r="D707">
        <v>842</v>
      </c>
    </row>
    <row r="708" spans="1:4">
      <c r="A708" t="s">
        <v>696</v>
      </c>
      <c r="B708">
        <v>200705</v>
      </c>
      <c r="C708" t="s">
        <v>3186</v>
      </c>
      <c r="D708">
        <v>889</v>
      </c>
    </row>
    <row r="709" spans="1:4">
      <c r="A709" t="s">
        <v>694</v>
      </c>
      <c r="B709">
        <v>200709</v>
      </c>
      <c r="C709" t="s">
        <v>3187</v>
      </c>
      <c r="D709">
        <v>891</v>
      </c>
    </row>
    <row r="710" spans="1:4">
      <c r="A710" t="s">
        <v>692</v>
      </c>
      <c r="B710">
        <v>200713</v>
      </c>
      <c r="C710" t="s">
        <v>3188</v>
      </c>
      <c r="D710">
        <v>893</v>
      </c>
    </row>
    <row r="711" spans="1:4">
      <c r="A711" t="s">
        <v>691</v>
      </c>
      <c r="B711">
        <v>200715</v>
      </c>
      <c r="C711" t="s">
        <v>3189</v>
      </c>
      <c r="D711">
        <v>894</v>
      </c>
    </row>
    <row r="712" spans="1:4">
      <c r="A712" t="s">
        <v>678</v>
      </c>
      <c r="B712">
        <v>200741</v>
      </c>
      <c r="C712" t="s">
        <v>3190</v>
      </c>
      <c r="D712">
        <v>907</v>
      </c>
    </row>
    <row r="713" spans="1:4">
      <c r="A713" t="s">
        <v>688</v>
      </c>
      <c r="B713">
        <v>200721</v>
      </c>
      <c r="C713" t="s">
        <v>3191</v>
      </c>
      <c r="D713">
        <v>897</v>
      </c>
    </row>
    <row r="714" spans="1:4">
      <c r="A714" t="s">
        <v>687</v>
      </c>
      <c r="B714">
        <v>200723</v>
      </c>
      <c r="C714" t="s">
        <v>3192</v>
      </c>
      <c r="D714">
        <v>898</v>
      </c>
    </row>
    <row r="715" spans="1:4">
      <c r="A715" t="s">
        <v>680</v>
      </c>
      <c r="B715">
        <v>200737</v>
      </c>
      <c r="C715" t="s">
        <v>3193</v>
      </c>
      <c r="D715">
        <v>905</v>
      </c>
    </row>
    <row r="716" spans="1:4">
      <c r="A716" t="s">
        <v>672</v>
      </c>
      <c r="B716">
        <v>200751</v>
      </c>
      <c r="C716" t="s">
        <v>3194</v>
      </c>
      <c r="D716">
        <v>912</v>
      </c>
    </row>
    <row r="717" spans="1:4">
      <c r="A717" t="s">
        <v>671</v>
      </c>
      <c r="B717">
        <v>200753</v>
      </c>
      <c r="C717" t="s">
        <v>3195</v>
      </c>
      <c r="D717">
        <v>913</v>
      </c>
    </row>
    <row r="718" spans="1:4">
      <c r="A718" t="s">
        <v>667</v>
      </c>
      <c r="B718">
        <v>200761</v>
      </c>
      <c r="C718" t="s">
        <v>3196</v>
      </c>
      <c r="D718">
        <v>917</v>
      </c>
    </row>
    <row r="719" spans="1:4">
      <c r="A719" t="s">
        <v>758</v>
      </c>
      <c r="B719">
        <v>200581</v>
      </c>
      <c r="C719" t="s">
        <v>3197</v>
      </c>
      <c r="D719">
        <v>827</v>
      </c>
    </row>
    <row r="720" spans="1:4">
      <c r="A720" t="s">
        <v>757</v>
      </c>
      <c r="B720">
        <v>200583</v>
      </c>
      <c r="C720" t="s">
        <v>3198</v>
      </c>
      <c r="D720">
        <v>828</v>
      </c>
    </row>
    <row r="721" spans="1:4">
      <c r="A721" t="s">
        <v>752</v>
      </c>
      <c r="B721">
        <v>200593</v>
      </c>
      <c r="C721" t="s">
        <v>3199</v>
      </c>
      <c r="D721">
        <v>833</v>
      </c>
    </row>
    <row r="722" spans="1:4">
      <c r="A722" t="s">
        <v>751</v>
      </c>
      <c r="B722">
        <v>200595</v>
      </c>
      <c r="C722" t="s">
        <v>3200</v>
      </c>
      <c r="D722">
        <v>834</v>
      </c>
    </row>
    <row r="723" spans="1:4">
      <c r="A723" t="s">
        <v>710</v>
      </c>
      <c r="B723">
        <v>200677</v>
      </c>
      <c r="C723" t="s">
        <v>3201</v>
      </c>
      <c r="D723">
        <v>875</v>
      </c>
    </row>
    <row r="724" spans="1:4">
      <c r="A724" t="s">
        <v>770</v>
      </c>
      <c r="B724">
        <v>200557</v>
      </c>
      <c r="C724" t="s">
        <v>3202</v>
      </c>
      <c r="D724">
        <v>815</v>
      </c>
    </row>
    <row r="725" spans="1:4">
      <c r="A725" t="s">
        <v>745</v>
      </c>
      <c r="B725">
        <v>200607</v>
      </c>
      <c r="C725" t="s">
        <v>3203</v>
      </c>
      <c r="D725">
        <v>840</v>
      </c>
    </row>
    <row r="726" spans="1:4">
      <c r="A726" t="s">
        <v>742</v>
      </c>
      <c r="B726">
        <v>200613</v>
      </c>
      <c r="C726" t="s">
        <v>3204</v>
      </c>
      <c r="D726">
        <v>843</v>
      </c>
    </row>
    <row r="727" spans="1:4">
      <c r="A727" t="s">
        <v>741</v>
      </c>
      <c r="B727">
        <v>200615</v>
      </c>
      <c r="C727" t="s">
        <v>3205</v>
      </c>
      <c r="D727">
        <v>844</v>
      </c>
    </row>
    <row r="728" spans="1:4">
      <c r="A728" t="s">
        <v>740</v>
      </c>
      <c r="B728">
        <v>200617</v>
      </c>
      <c r="C728" t="s">
        <v>3206</v>
      </c>
      <c r="D728">
        <v>845</v>
      </c>
    </row>
    <row r="729" spans="1:4">
      <c r="A729" t="s">
        <v>736</v>
      </c>
      <c r="B729">
        <v>200625</v>
      </c>
      <c r="C729" t="s">
        <v>3207</v>
      </c>
      <c r="D729">
        <v>849</v>
      </c>
    </row>
    <row r="730" spans="1:4">
      <c r="A730" t="s">
        <v>735</v>
      </c>
      <c r="B730">
        <v>200627</v>
      </c>
      <c r="C730" t="s">
        <v>3208</v>
      </c>
      <c r="D730">
        <v>850</v>
      </c>
    </row>
    <row r="731" spans="1:4">
      <c r="A731" t="s">
        <v>732</v>
      </c>
      <c r="B731">
        <v>200633</v>
      </c>
      <c r="C731" t="s">
        <v>3209</v>
      </c>
      <c r="D731">
        <v>853</v>
      </c>
    </row>
    <row r="732" spans="1:4">
      <c r="A732" t="s">
        <v>731</v>
      </c>
      <c r="B732">
        <v>200635</v>
      </c>
      <c r="C732" t="s">
        <v>3210</v>
      </c>
      <c r="D732">
        <v>854</v>
      </c>
    </row>
    <row r="733" spans="1:4">
      <c r="A733" t="s">
        <v>730</v>
      </c>
      <c r="B733">
        <v>200637</v>
      </c>
      <c r="C733" t="s">
        <v>3211</v>
      </c>
      <c r="D733">
        <v>855</v>
      </c>
    </row>
    <row r="734" spans="1:4">
      <c r="A734" t="s">
        <v>728</v>
      </c>
      <c r="B734">
        <v>200641</v>
      </c>
      <c r="C734" t="s">
        <v>3212</v>
      </c>
      <c r="D734">
        <v>857</v>
      </c>
    </row>
    <row r="735" spans="1:4">
      <c r="A735" t="s">
        <v>714</v>
      </c>
      <c r="B735">
        <v>200669</v>
      </c>
      <c r="C735" t="s">
        <v>3213</v>
      </c>
      <c r="D735">
        <v>871</v>
      </c>
    </row>
    <row r="736" spans="1:4">
      <c r="A736" t="s">
        <v>722</v>
      </c>
      <c r="B736">
        <v>200653</v>
      </c>
      <c r="C736" t="s">
        <v>3214</v>
      </c>
      <c r="D736">
        <v>863</v>
      </c>
    </row>
    <row r="737" spans="1:4">
      <c r="A737" t="s">
        <v>826</v>
      </c>
      <c r="B737">
        <v>200443</v>
      </c>
      <c r="C737" t="s">
        <v>3215</v>
      </c>
      <c r="D737">
        <v>758</v>
      </c>
    </row>
    <row r="738" spans="1:4">
      <c r="A738" t="s">
        <v>713</v>
      </c>
      <c r="B738">
        <v>200671</v>
      </c>
      <c r="C738" t="s">
        <v>3216</v>
      </c>
      <c r="D738">
        <v>872</v>
      </c>
    </row>
    <row r="739" spans="1:4">
      <c r="A739" t="s">
        <v>709</v>
      </c>
      <c r="B739">
        <v>200679</v>
      </c>
      <c r="C739" t="s">
        <v>3217</v>
      </c>
      <c r="D739">
        <v>876</v>
      </c>
    </row>
    <row r="740" spans="1:4">
      <c r="A740" t="s">
        <v>707</v>
      </c>
      <c r="B740">
        <v>200683</v>
      </c>
      <c r="C740" t="s">
        <v>3218</v>
      </c>
      <c r="D740">
        <v>878</v>
      </c>
    </row>
    <row r="741" spans="1:4">
      <c r="A741" t="s">
        <v>701</v>
      </c>
      <c r="B741">
        <v>200695</v>
      </c>
      <c r="C741" t="s">
        <v>3219</v>
      </c>
      <c r="D741">
        <v>884</v>
      </c>
    </row>
    <row r="742" spans="1:4">
      <c r="A742" t="s">
        <v>693</v>
      </c>
      <c r="B742">
        <v>200711</v>
      </c>
      <c r="C742" t="s">
        <v>3220</v>
      </c>
      <c r="D742">
        <v>892</v>
      </c>
    </row>
    <row r="743" spans="1:4">
      <c r="A743" t="s">
        <v>684</v>
      </c>
      <c r="B743">
        <v>200729</v>
      </c>
      <c r="C743" t="s">
        <v>3221</v>
      </c>
      <c r="D743">
        <v>901</v>
      </c>
    </row>
    <row r="744" spans="1:4">
      <c r="A744" t="s">
        <v>682</v>
      </c>
      <c r="B744">
        <v>200733</v>
      </c>
      <c r="C744" t="s">
        <v>3222</v>
      </c>
      <c r="D744">
        <v>903</v>
      </c>
    </row>
    <row r="745" spans="1:4">
      <c r="A745" t="s">
        <v>679</v>
      </c>
      <c r="B745">
        <v>200739</v>
      </c>
      <c r="C745" t="s">
        <v>3223</v>
      </c>
      <c r="D745">
        <v>906</v>
      </c>
    </row>
    <row r="746" spans="1:4">
      <c r="A746" t="s">
        <v>748</v>
      </c>
      <c r="B746">
        <v>200601</v>
      </c>
      <c r="C746" t="s">
        <v>3224</v>
      </c>
      <c r="D746">
        <v>837</v>
      </c>
    </row>
    <row r="747" spans="1:4">
      <c r="A747" t="s">
        <v>733</v>
      </c>
      <c r="B747">
        <v>200631</v>
      </c>
      <c r="C747" t="s">
        <v>3225</v>
      </c>
      <c r="D747">
        <v>852</v>
      </c>
    </row>
    <row r="748" spans="1:4">
      <c r="A748" t="s">
        <v>702</v>
      </c>
      <c r="B748">
        <v>200693</v>
      </c>
      <c r="C748" t="s">
        <v>3226</v>
      </c>
      <c r="D748">
        <v>883</v>
      </c>
    </row>
    <row r="749" spans="1:4">
      <c r="A749" t="s">
        <v>686</v>
      </c>
      <c r="B749">
        <v>200725</v>
      </c>
      <c r="C749" t="s">
        <v>3227</v>
      </c>
      <c r="D749">
        <v>899</v>
      </c>
    </row>
    <row r="750" spans="1:4">
      <c r="A750" t="s">
        <v>874</v>
      </c>
      <c r="B750">
        <v>200349</v>
      </c>
      <c r="C750" t="s">
        <v>3228</v>
      </c>
      <c r="D750">
        <v>711</v>
      </c>
    </row>
    <row r="751" spans="1:4">
      <c r="A751" t="s">
        <v>744</v>
      </c>
      <c r="B751">
        <v>200609</v>
      </c>
      <c r="C751" t="s">
        <v>3229</v>
      </c>
      <c r="D751">
        <v>841</v>
      </c>
    </row>
    <row r="752" spans="1:4">
      <c r="A752" t="s">
        <v>668</v>
      </c>
      <c r="B752">
        <v>200759</v>
      </c>
      <c r="C752" t="s">
        <v>3230</v>
      </c>
      <c r="D752">
        <v>916</v>
      </c>
    </row>
    <row r="753" spans="1:4">
      <c r="A753" t="s">
        <v>690</v>
      </c>
      <c r="B753">
        <v>200717</v>
      </c>
      <c r="C753" t="s">
        <v>3231</v>
      </c>
      <c r="D753">
        <v>895</v>
      </c>
    </row>
    <row r="754" spans="1:4">
      <c r="A754" t="s">
        <v>859</v>
      </c>
      <c r="B754">
        <v>200377</v>
      </c>
      <c r="C754" t="s">
        <v>3232</v>
      </c>
      <c r="D754">
        <v>725</v>
      </c>
    </row>
    <row r="755" spans="1:4">
      <c r="A755" t="s">
        <v>846</v>
      </c>
      <c r="B755">
        <v>200403</v>
      </c>
      <c r="C755" t="s">
        <v>3233</v>
      </c>
      <c r="D755">
        <v>738</v>
      </c>
    </row>
    <row r="756" spans="1:4">
      <c r="A756" t="s">
        <v>738</v>
      </c>
      <c r="B756">
        <v>200621</v>
      </c>
      <c r="C756" t="s">
        <v>3234</v>
      </c>
      <c r="D756">
        <v>847</v>
      </c>
    </row>
    <row r="757" spans="1:4">
      <c r="A757" t="s">
        <v>670</v>
      </c>
      <c r="B757">
        <v>200755</v>
      </c>
      <c r="C757" t="s">
        <v>3235</v>
      </c>
      <c r="D757">
        <v>914</v>
      </c>
    </row>
    <row r="758" spans="1:4">
      <c r="A758" t="s">
        <v>776</v>
      </c>
      <c r="B758">
        <v>200543</v>
      </c>
      <c r="C758" t="s">
        <v>3236</v>
      </c>
      <c r="D758">
        <v>808</v>
      </c>
    </row>
    <row r="759" spans="1:4">
      <c r="A759" t="s">
        <v>834</v>
      </c>
      <c r="B759">
        <v>200427</v>
      </c>
      <c r="C759" t="s">
        <v>3237</v>
      </c>
      <c r="D759">
        <v>750</v>
      </c>
    </row>
    <row r="760" spans="1:4">
      <c r="A760" t="s">
        <v>695</v>
      </c>
      <c r="B760">
        <v>200707</v>
      </c>
      <c r="C760" t="s">
        <v>3238</v>
      </c>
      <c r="D760">
        <v>890</v>
      </c>
    </row>
    <row r="761" spans="1:4">
      <c r="A761" t="s">
        <v>705</v>
      </c>
      <c r="B761">
        <v>200687</v>
      </c>
      <c r="C761" t="s">
        <v>3239</v>
      </c>
      <c r="D761">
        <v>880</v>
      </c>
    </row>
    <row r="762" spans="1:4">
      <c r="A762" t="s">
        <v>888</v>
      </c>
      <c r="B762">
        <v>200323</v>
      </c>
      <c r="C762" t="s">
        <v>3240</v>
      </c>
      <c r="D762">
        <v>698</v>
      </c>
    </row>
    <row r="763" spans="1:4">
      <c r="A763" t="s">
        <v>820</v>
      </c>
      <c r="B763">
        <v>200457</v>
      </c>
      <c r="C763" t="s">
        <v>3241</v>
      </c>
      <c r="D763">
        <v>765</v>
      </c>
    </row>
    <row r="764" spans="1:4">
      <c r="A764" t="s">
        <v>673</v>
      </c>
      <c r="B764">
        <v>200749</v>
      </c>
      <c r="C764" t="s">
        <v>3242</v>
      </c>
      <c r="D764">
        <v>911</v>
      </c>
    </row>
    <row r="765" spans="1:4">
      <c r="A765" t="s">
        <v>819</v>
      </c>
      <c r="B765">
        <v>200459</v>
      </c>
      <c r="C765" t="s">
        <v>3243</v>
      </c>
      <c r="D765">
        <v>766</v>
      </c>
    </row>
    <row r="766" spans="1:4">
      <c r="A766" t="s">
        <v>676</v>
      </c>
      <c r="B766">
        <v>200745</v>
      </c>
      <c r="C766" t="s">
        <v>3244</v>
      </c>
      <c r="D766">
        <v>909</v>
      </c>
    </row>
    <row r="767" spans="1:4">
      <c r="A767" t="s">
        <v>894</v>
      </c>
      <c r="B767">
        <v>200311</v>
      </c>
      <c r="C767" t="s">
        <v>3245</v>
      </c>
      <c r="D767">
        <v>692</v>
      </c>
    </row>
    <row r="768" spans="1:4">
      <c r="A768" t="s">
        <v>852</v>
      </c>
      <c r="B768">
        <v>200391</v>
      </c>
      <c r="C768" t="s">
        <v>3246</v>
      </c>
      <c r="D768">
        <v>732</v>
      </c>
    </row>
    <row r="769" spans="1:4">
      <c r="A769" t="s">
        <v>739</v>
      </c>
      <c r="B769">
        <v>200619</v>
      </c>
      <c r="C769" t="s">
        <v>3247</v>
      </c>
      <c r="D769">
        <v>846</v>
      </c>
    </row>
    <row r="770" spans="1:4">
      <c r="A770" t="s">
        <v>829</v>
      </c>
      <c r="B770">
        <v>200437</v>
      </c>
      <c r="C770" t="s">
        <v>3248</v>
      </c>
      <c r="D770">
        <v>755</v>
      </c>
    </row>
    <row r="771" spans="1:4">
      <c r="A771" t="s">
        <v>746</v>
      </c>
      <c r="B771">
        <v>200605</v>
      </c>
      <c r="C771" t="s">
        <v>3249</v>
      </c>
      <c r="D771">
        <v>839</v>
      </c>
    </row>
    <row r="772" spans="1:4">
      <c r="A772" t="s">
        <v>720</v>
      </c>
      <c r="B772">
        <v>200657</v>
      </c>
      <c r="C772" t="s">
        <v>3250</v>
      </c>
      <c r="D772">
        <v>865</v>
      </c>
    </row>
    <row r="773" spans="1:4">
      <c r="A773" t="s">
        <v>759</v>
      </c>
      <c r="B773">
        <v>200579</v>
      </c>
      <c r="C773" t="s">
        <v>3251</v>
      </c>
      <c r="D773">
        <v>826</v>
      </c>
    </row>
    <row r="774" spans="1:4">
      <c r="A774" t="s">
        <v>677</v>
      </c>
      <c r="B774">
        <v>200743</v>
      </c>
      <c r="C774" t="s">
        <v>3252</v>
      </c>
      <c r="D774">
        <v>908</v>
      </c>
    </row>
    <row r="775" spans="1:4">
      <c r="A775" t="s">
        <v>669</v>
      </c>
      <c r="B775">
        <v>200757</v>
      </c>
      <c r="C775" t="s">
        <v>3253</v>
      </c>
      <c r="D775">
        <v>915</v>
      </c>
    </row>
    <row r="776" spans="1:4">
      <c r="A776" t="s">
        <v>779</v>
      </c>
      <c r="B776">
        <v>200537</v>
      </c>
      <c r="C776" t="s">
        <v>3254</v>
      </c>
      <c r="D776">
        <v>805</v>
      </c>
    </row>
    <row r="777" spans="1:4">
      <c r="A777" t="s">
        <v>747</v>
      </c>
      <c r="B777">
        <v>200603</v>
      </c>
      <c r="C777" t="s">
        <v>3255</v>
      </c>
      <c r="D777">
        <v>838</v>
      </c>
    </row>
    <row r="778" spans="1:4">
      <c r="A778" t="s">
        <v>683</v>
      </c>
      <c r="B778">
        <v>200731</v>
      </c>
      <c r="C778" t="s">
        <v>3256</v>
      </c>
      <c r="D778">
        <v>902</v>
      </c>
    </row>
    <row r="779" spans="1:4">
      <c r="A779" t="s">
        <v>769</v>
      </c>
      <c r="B779">
        <v>200559</v>
      </c>
      <c r="C779" t="s">
        <v>3257</v>
      </c>
      <c r="D779">
        <v>816</v>
      </c>
    </row>
    <row r="780" spans="1:4">
      <c r="A780" t="s">
        <v>716</v>
      </c>
      <c r="B780">
        <v>200665</v>
      </c>
      <c r="C780" t="s">
        <v>3258</v>
      </c>
      <c r="D780">
        <v>869</v>
      </c>
    </row>
    <row r="781" spans="1:4">
      <c r="A781" t="s">
        <v>706</v>
      </c>
      <c r="B781">
        <v>200685</v>
      </c>
      <c r="C781" t="s">
        <v>3259</v>
      </c>
      <c r="D781">
        <v>879</v>
      </c>
    </row>
    <row r="782" spans="1:4">
      <c r="A782" t="s">
        <v>861</v>
      </c>
      <c r="B782">
        <v>200373</v>
      </c>
      <c r="C782" t="s">
        <v>3260</v>
      </c>
      <c r="D782">
        <v>723</v>
      </c>
    </row>
    <row r="783" spans="1:4">
      <c r="A783" t="s">
        <v>681</v>
      </c>
      <c r="B783">
        <v>200735</v>
      </c>
      <c r="C783" t="s">
        <v>3261</v>
      </c>
      <c r="D783">
        <v>904</v>
      </c>
    </row>
    <row r="784" spans="1:4">
      <c r="A784" t="s">
        <v>810</v>
      </c>
      <c r="B784">
        <v>200475</v>
      </c>
      <c r="C784" t="s">
        <v>3262</v>
      </c>
      <c r="D784">
        <v>774</v>
      </c>
    </row>
    <row r="785" spans="1:4">
      <c r="A785" t="s">
        <v>838</v>
      </c>
      <c r="B785">
        <v>200419</v>
      </c>
      <c r="C785" t="s">
        <v>3263</v>
      </c>
      <c r="D785">
        <v>746</v>
      </c>
    </row>
    <row r="786" spans="1:4">
      <c r="A786" t="s">
        <v>724</v>
      </c>
      <c r="B786">
        <v>200649</v>
      </c>
      <c r="C786" t="s">
        <v>3264</v>
      </c>
      <c r="D786">
        <v>861</v>
      </c>
    </row>
    <row r="787" spans="1:4">
      <c r="A787" t="s">
        <v>717</v>
      </c>
      <c r="B787">
        <v>200663</v>
      </c>
      <c r="C787" t="s">
        <v>3265</v>
      </c>
      <c r="D787">
        <v>868</v>
      </c>
    </row>
    <row r="788" spans="1:4">
      <c r="A788" t="s">
        <v>873</v>
      </c>
      <c r="B788">
        <v>200351</v>
      </c>
      <c r="C788" t="s">
        <v>3266</v>
      </c>
      <c r="D788">
        <v>712</v>
      </c>
    </row>
    <row r="789" spans="1:4">
      <c r="A789" t="s">
        <v>887</v>
      </c>
      <c r="B789">
        <v>200325</v>
      </c>
      <c r="C789" t="s">
        <v>3267</v>
      </c>
      <c r="D789">
        <v>699</v>
      </c>
    </row>
    <row r="790" spans="1:4">
      <c r="A790" t="s">
        <v>889</v>
      </c>
      <c r="B790">
        <v>200321</v>
      </c>
      <c r="C790" t="s">
        <v>3268</v>
      </c>
      <c r="D790">
        <v>697</v>
      </c>
    </row>
    <row r="791" spans="1:4">
      <c r="A791" t="s">
        <v>890</v>
      </c>
      <c r="B791">
        <v>200319</v>
      </c>
      <c r="C791" t="s">
        <v>3269</v>
      </c>
      <c r="D791">
        <v>696</v>
      </c>
    </row>
    <row r="792" spans="1:4">
      <c r="A792" t="s">
        <v>827</v>
      </c>
      <c r="B792">
        <v>200441</v>
      </c>
      <c r="C792" t="s">
        <v>3270</v>
      </c>
      <c r="D792">
        <v>757</v>
      </c>
    </row>
    <row r="793" spans="1:4">
      <c r="A793" t="s">
        <v>804</v>
      </c>
      <c r="B793">
        <v>200487</v>
      </c>
      <c r="C793" t="s">
        <v>3271</v>
      </c>
      <c r="D793">
        <v>780</v>
      </c>
    </row>
    <row r="794" spans="1:4">
      <c r="A794" t="s">
        <v>756</v>
      </c>
      <c r="B794">
        <v>200585</v>
      </c>
      <c r="C794" t="s">
        <v>3272</v>
      </c>
      <c r="D794">
        <v>829</v>
      </c>
    </row>
    <row r="795" spans="1:4">
      <c r="A795" t="s">
        <v>880</v>
      </c>
      <c r="B795">
        <v>200337</v>
      </c>
      <c r="C795" t="s">
        <v>3273</v>
      </c>
      <c r="D795">
        <v>705</v>
      </c>
    </row>
    <row r="796" spans="1:4">
      <c r="A796" t="s">
        <v>726</v>
      </c>
      <c r="B796">
        <v>200645</v>
      </c>
      <c r="C796" t="s">
        <v>3274</v>
      </c>
      <c r="D796">
        <v>859</v>
      </c>
    </row>
    <row r="797" spans="1:4">
      <c r="A797" t="s">
        <v>857</v>
      </c>
      <c r="B797">
        <v>200381</v>
      </c>
      <c r="C797" t="s">
        <v>3275</v>
      </c>
      <c r="D797">
        <v>727</v>
      </c>
    </row>
    <row r="798" spans="1:4">
      <c r="A798" t="s">
        <v>854</v>
      </c>
      <c r="B798">
        <v>200387</v>
      </c>
      <c r="C798" t="s">
        <v>3276</v>
      </c>
      <c r="D798">
        <v>730</v>
      </c>
    </row>
    <row r="799" spans="1:4">
      <c r="A799" t="s">
        <v>802</v>
      </c>
      <c r="B799">
        <v>200491</v>
      </c>
      <c r="C799" t="s">
        <v>3277</v>
      </c>
      <c r="D799">
        <v>782</v>
      </c>
    </row>
    <row r="800" spans="1:4">
      <c r="A800" t="s">
        <v>418</v>
      </c>
      <c r="B800">
        <v>200553</v>
      </c>
      <c r="C800" t="s">
        <v>3278</v>
      </c>
      <c r="D800">
        <v>1174</v>
      </c>
    </row>
    <row r="801" spans="1:4">
      <c r="A801" t="s">
        <v>750</v>
      </c>
      <c r="B801">
        <v>200597</v>
      </c>
      <c r="C801" t="s">
        <v>3279</v>
      </c>
      <c r="D801">
        <v>835</v>
      </c>
    </row>
    <row r="802" spans="1:4">
      <c r="A802" t="s">
        <v>877</v>
      </c>
      <c r="B802">
        <v>200343</v>
      </c>
      <c r="C802" t="s">
        <v>3280</v>
      </c>
      <c r="D802">
        <v>708</v>
      </c>
    </row>
    <row r="803" spans="1:4">
      <c r="A803" t="s">
        <v>860</v>
      </c>
      <c r="B803">
        <v>200375</v>
      </c>
      <c r="C803" t="s">
        <v>3281</v>
      </c>
      <c r="D803">
        <v>724</v>
      </c>
    </row>
    <row r="804" spans="1:4">
      <c r="A804" t="s">
        <v>842</v>
      </c>
      <c r="B804">
        <v>200411</v>
      </c>
      <c r="C804" t="s">
        <v>3282</v>
      </c>
      <c r="D804">
        <v>742</v>
      </c>
    </row>
    <row r="805" spans="1:4">
      <c r="A805" t="s">
        <v>850</v>
      </c>
      <c r="B805">
        <v>200395</v>
      </c>
      <c r="C805" t="s">
        <v>3283</v>
      </c>
      <c r="D805">
        <v>734</v>
      </c>
    </row>
    <row r="806" spans="1:4">
      <c r="A806" t="s">
        <v>809</v>
      </c>
      <c r="B806">
        <v>200477</v>
      </c>
      <c r="C806" t="s">
        <v>3284</v>
      </c>
      <c r="D806">
        <v>775</v>
      </c>
    </row>
    <row r="807" spans="1:4">
      <c r="A807" t="s">
        <v>808</v>
      </c>
      <c r="B807">
        <v>200479</v>
      </c>
      <c r="C807" t="s">
        <v>3285</v>
      </c>
      <c r="D807">
        <v>776</v>
      </c>
    </row>
    <row r="808" spans="1:4">
      <c r="A808" t="s">
        <v>778</v>
      </c>
      <c r="B808">
        <v>200539</v>
      </c>
      <c r="C808" t="s">
        <v>3286</v>
      </c>
      <c r="D808">
        <v>806</v>
      </c>
    </row>
    <row r="809" spans="1:4">
      <c r="A809" t="s">
        <v>754</v>
      </c>
      <c r="B809">
        <v>200589</v>
      </c>
      <c r="C809" t="s">
        <v>3287</v>
      </c>
      <c r="D809">
        <v>831</v>
      </c>
    </row>
    <row r="810" spans="1:4">
      <c r="A810" t="s">
        <v>901</v>
      </c>
      <c r="B810">
        <v>200297</v>
      </c>
      <c r="C810" t="s">
        <v>3288</v>
      </c>
      <c r="D810">
        <v>685</v>
      </c>
    </row>
    <row r="811" spans="1:4">
      <c r="A811" t="s">
        <v>849</v>
      </c>
      <c r="B811">
        <v>200397</v>
      </c>
      <c r="C811" t="s">
        <v>3289</v>
      </c>
      <c r="D811">
        <v>735</v>
      </c>
    </row>
    <row r="812" spans="1:4">
      <c r="A812" t="s">
        <v>855</v>
      </c>
      <c r="B812">
        <v>200385</v>
      </c>
      <c r="C812" t="s">
        <v>3290</v>
      </c>
      <c r="D812">
        <v>729</v>
      </c>
    </row>
    <row r="813" spans="1:4">
      <c r="A813" t="s">
        <v>807</v>
      </c>
      <c r="B813">
        <v>200481</v>
      </c>
      <c r="C813" t="s">
        <v>3291</v>
      </c>
      <c r="D813">
        <v>777</v>
      </c>
    </row>
    <row r="814" spans="1:4">
      <c r="A814" t="s">
        <v>803</v>
      </c>
      <c r="B814">
        <v>200489</v>
      </c>
      <c r="C814" t="s">
        <v>3292</v>
      </c>
      <c r="D814">
        <v>781</v>
      </c>
    </row>
    <row r="815" spans="1:4">
      <c r="A815" t="s">
        <v>774</v>
      </c>
      <c r="B815">
        <v>200547</v>
      </c>
      <c r="C815" t="s">
        <v>3293</v>
      </c>
      <c r="D815">
        <v>810</v>
      </c>
    </row>
    <row r="816" spans="1:4">
      <c r="A816" t="s">
        <v>814</v>
      </c>
      <c r="B816">
        <v>200469</v>
      </c>
      <c r="C816" t="s">
        <v>3294</v>
      </c>
      <c r="D816">
        <v>771</v>
      </c>
    </row>
    <row r="817" spans="1:4">
      <c r="A817" t="s">
        <v>789</v>
      </c>
      <c r="B817">
        <v>200517</v>
      </c>
      <c r="C817" t="s">
        <v>3295</v>
      </c>
      <c r="D817">
        <v>795</v>
      </c>
    </row>
    <row r="818" spans="1:4">
      <c r="A818" t="s">
        <v>896</v>
      </c>
      <c r="B818">
        <v>200307</v>
      </c>
      <c r="C818" t="s">
        <v>3296</v>
      </c>
      <c r="D818">
        <v>690</v>
      </c>
    </row>
    <row r="819" spans="1:4">
      <c r="A819" t="s">
        <v>864</v>
      </c>
      <c r="B819">
        <v>200367</v>
      </c>
      <c r="C819" t="s">
        <v>3297</v>
      </c>
      <c r="D819">
        <v>720</v>
      </c>
    </row>
    <row r="820" spans="1:4">
      <c r="A820" t="s">
        <v>893</v>
      </c>
      <c r="B820">
        <v>200313</v>
      </c>
      <c r="C820" t="s">
        <v>3298</v>
      </c>
      <c r="D820">
        <v>693</v>
      </c>
    </row>
    <row r="821" spans="1:4">
      <c r="A821" t="s">
        <v>839</v>
      </c>
      <c r="B821">
        <v>200417</v>
      </c>
      <c r="C821" t="s">
        <v>3299</v>
      </c>
      <c r="D821">
        <v>745</v>
      </c>
    </row>
    <row r="822" spans="1:4">
      <c r="A822" t="s">
        <v>853</v>
      </c>
      <c r="B822">
        <v>200389</v>
      </c>
      <c r="C822" t="s">
        <v>3300</v>
      </c>
      <c r="D822">
        <v>731</v>
      </c>
    </row>
    <row r="823" spans="1:4">
      <c r="A823" t="s">
        <v>786</v>
      </c>
      <c r="B823">
        <v>200523</v>
      </c>
      <c r="C823" t="s">
        <v>3301</v>
      </c>
      <c r="D823">
        <v>798</v>
      </c>
    </row>
    <row r="824" spans="1:4">
      <c r="A824" t="s">
        <v>768</v>
      </c>
      <c r="B824">
        <v>200561</v>
      </c>
      <c r="C824" t="s">
        <v>3302</v>
      </c>
      <c r="D824">
        <v>817</v>
      </c>
    </row>
    <row r="825" spans="1:4">
      <c r="A825" t="s">
        <v>749</v>
      </c>
      <c r="B825">
        <v>200599</v>
      </c>
      <c r="C825" t="s">
        <v>3303</v>
      </c>
      <c r="D825">
        <v>836</v>
      </c>
    </row>
    <row r="826" spans="1:4">
      <c r="A826" t="s">
        <v>876</v>
      </c>
      <c r="B826">
        <v>200345</v>
      </c>
      <c r="C826" t="s">
        <v>3304</v>
      </c>
      <c r="D826">
        <v>709</v>
      </c>
    </row>
    <row r="827" spans="1:4">
      <c r="A827" t="s">
        <v>417</v>
      </c>
      <c r="B827">
        <v>200553</v>
      </c>
      <c r="C827" t="s">
        <v>3305</v>
      </c>
      <c r="D827">
        <v>813</v>
      </c>
    </row>
    <row r="828" spans="1:4">
      <c r="A828" t="s">
        <v>729</v>
      </c>
      <c r="B828">
        <v>200639</v>
      </c>
      <c r="C828" t="s">
        <v>3306</v>
      </c>
      <c r="D828">
        <v>856</v>
      </c>
    </row>
    <row r="829" spans="1:4">
      <c r="A829" t="s">
        <v>727</v>
      </c>
      <c r="B829">
        <v>200643</v>
      </c>
      <c r="C829" t="s">
        <v>3307</v>
      </c>
      <c r="D829">
        <v>858</v>
      </c>
    </row>
    <row r="830" spans="1:4">
      <c r="A830" t="s">
        <v>863</v>
      </c>
      <c r="B830">
        <v>200369</v>
      </c>
      <c r="C830" t="s">
        <v>3308</v>
      </c>
      <c r="D830">
        <v>721</v>
      </c>
    </row>
    <row r="831" spans="1:4">
      <c r="A831" t="s">
        <v>775</v>
      </c>
      <c r="B831">
        <v>200545</v>
      </c>
      <c r="C831" t="s">
        <v>3309</v>
      </c>
      <c r="D831">
        <v>809</v>
      </c>
    </row>
    <row r="832" spans="1:4">
      <c r="A832" t="s">
        <v>783</v>
      </c>
      <c r="B832">
        <v>200529</v>
      </c>
      <c r="C832" t="s">
        <v>3310</v>
      </c>
      <c r="D832">
        <v>801</v>
      </c>
    </row>
    <row r="833" spans="1:4">
      <c r="A833" t="s">
        <v>898</v>
      </c>
      <c r="B833">
        <v>200303</v>
      </c>
      <c r="C833" t="s">
        <v>3311</v>
      </c>
      <c r="D833">
        <v>688</v>
      </c>
    </row>
    <row r="834" spans="1:4">
      <c r="A834" t="s">
        <v>737</v>
      </c>
      <c r="B834">
        <v>200623</v>
      </c>
      <c r="C834" t="s">
        <v>3312</v>
      </c>
      <c r="D834">
        <v>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467A-8684-0546-A236-4E3322A8754F}">
  <dimension ref="A1:B1719"/>
  <sheetViews>
    <sheetView topLeftCell="A2573" workbookViewId="0">
      <selection sqref="A1:B1"/>
    </sheetView>
  </sheetViews>
  <sheetFormatPr defaultColWidth="11" defaultRowHeight="15.95"/>
  <sheetData>
    <row r="1" spans="1:2">
      <c r="A1" s="36" t="s">
        <v>5</v>
      </c>
      <c r="B1" s="36" t="s">
        <v>3972</v>
      </c>
    </row>
    <row r="2" spans="1:2">
      <c r="A2">
        <v>1310</v>
      </c>
      <c r="B2">
        <v>123</v>
      </c>
    </row>
    <row r="3" spans="1:2">
      <c r="A3">
        <v>1472</v>
      </c>
      <c r="B3">
        <v>103</v>
      </c>
    </row>
    <row r="4" spans="1:2">
      <c r="A4">
        <v>1229</v>
      </c>
      <c r="B4">
        <v>133</v>
      </c>
    </row>
    <row r="5" spans="1:2">
      <c r="A5">
        <v>1666</v>
      </c>
      <c r="B5">
        <v>92</v>
      </c>
    </row>
    <row r="6" spans="1:2">
      <c r="A6">
        <v>491</v>
      </c>
      <c r="B6">
        <v>99</v>
      </c>
    </row>
    <row r="7" spans="1:2">
      <c r="A7">
        <v>283</v>
      </c>
      <c r="B7">
        <v>78</v>
      </c>
    </row>
    <row r="8" spans="1:2">
      <c r="A8">
        <v>841</v>
      </c>
      <c r="B8">
        <v>86</v>
      </c>
    </row>
    <row r="9" spans="1:2">
      <c r="A9">
        <v>145</v>
      </c>
      <c r="B9">
        <v>75</v>
      </c>
    </row>
    <row r="10" spans="1:2">
      <c r="A10">
        <v>238</v>
      </c>
      <c r="B10">
        <v>95</v>
      </c>
    </row>
    <row r="11" spans="1:2">
      <c r="A11">
        <v>83</v>
      </c>
      <c r="B11">
        <v>174</v>
      </c>
    </row>
    <row r="12" spans="1:2">
      <c r="A12">
        <v>956</v>
      </c>
      <c r="B12">
        <v>105</v>
      </c>
    </row>
    <row r="13" spans="1:2">
      <c r="A13">
        <v>1085</v>
      </c>
      <c r="B13">
        <v>75</v>
      </c>
    </row>
    <row r="14" spans="1:2">
      <c r="A14">
        <v>171</v>
      </c>
      <c r="B14">
        <v>108</v>
      </c>
    </row>
    <row r="15" spans="1:2">
      <c r="A15">
        <v>1741</v>
      </c>
      <c r="B15">
        <v>99</v>
      </c>
    </row>
    <row r="16" spans="1:2">
      <c r="A16">
        <v>1768</v>
      </c>
      <c r="B16">
        <v>143</v>
      </c>
    </row>
    <row r="17" spans="1:2">
      <c r="A17">
        <v>1597</v>
      </c>
      <c r="B17">
        <v>74</v>
      </c>
    </row>
    <row r="18" spans="1:2">
      <c r="A18">
        <v>937</v>
      </c>
      <c r="B18">
        <v>77</v>
      </c>
    </row>
    <row r="19" spans="1:2">
      <c r="A19">
        <v>1024</v>
      </c>
      <c r="B19">
        <v>62</v>
      </c>
    </row>
    <row r="20" spans="1:2">
      <c r="A20">
        <v>1199</v>
      </c>
      <c r="B20">
        <v>149</v>
      </c>
    </row>
    <row r="21" spans="1:2">
      <c r="A21">
        <v>1813</v>
      </c>
      <c r="B21">
        <v>100</v>
      </c>
    </row>
    <row r="22" spans="1:2">
      <c r="A22">
        <v>1594</v>
      </c>
      <c r="B22">
        <v>78</v>
      </c>
    </row>
    <row r="23" spans="1:2">
      <c r="A23">
        <v>1109</v>
      </c>
      <c r="B23">
        <v>92</v>
      </c>
    </row>
    <row r="24" spans="1:2">
      <c r="A24">
        <v>712</v>
      </c>
      <c r="B24">
        <v>66</v>
      </c>
    </row>
    <row r="25" spans="1:2">
      <c r="A25">
        <v>1627</v>
      </c>
      <c r="B25">
        <v>175</v>
      </c>
    </row>
    <row r="26" spans="1:2">
      <c r="A26">
        <v>844</v>
      </c>
      <c r="B26">
        <v>100</v>
      </c>
    </row>
    <row r="27" spans="1:2">
      <c r="A27">
        <v>1297</v>
      </c>
      <c r="B27">
        <v>83</v>
      </c>
    </row>
    <row r="28" spans="1:2">
      <c r="A28">
        <v>1401</v>
      </c>
      <c r="B28">
        <v>234</v>
      </c>
    </row>
    <row r="29" spans="1:2">
      <c r="A29">
        <v>998</v>
      </c>
      <c r="B29">
        <v>104</v>
      </c>
    </row>
    <row r="30" spans="1:2">
      <c r="A30">
        <v>1235</v>
      </c>
      <c r="B30">
        <v>112</v>
      </c>
    </row>
    <row r="31" spans="1:2">
      <c r="A31">
        <v>1697</v>
      </c>
      <c r="B31">
        <v>119</v>
      </c>
    </row>
    <row r="32" spans="1:2">
      <c r="A32">
        <v>1157</v>
      </c>
      <c r="B32">
        <v>148</v>
      </c>
    </row>
    <row r="33" spans="1:2">
      <c r="A33">
        <v>1562</v>
      </c>
      <c r="B33">
        <v>149</v>
      </c>
    </row>
    <row r="34" spans="1:2">
      <c r="A34">
        <v>516</v>
      </c>
      <c r="B34">
        <v>93</v>
      </c>
    </row>
    <row r="35" spans="1:2">
      <c r="A35">
        <v>494</v>
      </c>
      <c r="B35">
        <v>149</v>
      </c>
    </row>
    <row r="36" spans="1:2">
      <c r="A36">
        <v>782</v>
      </c>
      <c r="B36">
        <v>107</v>
      </c>
    </row>
    <row r="37" spans="1:2">
      <c r="A37">
        <v>829</v>
      </c>
      <c r="B37">
        <v>105</v>
      </c>
    </row>
    <row r="38" spans="1:2">
      <c r="A38">
        <v>1344</v>
      </c>
      <c r="B38">
        <v>80</v>
      </c>
    </row>
    <row r="39" spans="1:2">
      <c r="A39">
        <v>858</v>
      </c>
      <c r="B39">
        <v>124</v>
      </c>
    </row>
    <row r="40" spans="1:2">
      <c r="A40">
        <v>593</v>
      </c>
      <c r="B40">
        <v>150</v>
      </c>
    </row>
    <row r="41" spans="1:2">
      <c r="A41">
        <v>1222</v>
      </c>
      <c r="B41">
        <v>146</v>
      </c>
    </row>
    <row r="42" spans="1:2">
      <c r="A42">
        <v>315</v>
      </c>
      <c r="B42">
        <v>82</v>
      </c>
    </row>
    <row r="43" spans="1:2">
      <c r="A43">
        <v>482</v>
      </c>
      <c r="B43">
        <v>88</v>
      </c>
    </row>
    <row r="44" spans="1:2">
      <c r="A44">
        <v>995</v>
      </c>
      <c r="B44">
        <v>125</v>
      </c>
    </row>
    <row r="45" spans="1:2">
      <c r="A45">
        <v>1531</v>
      </c>
      <c r="B45">
        <v>96</v>
      </c>
    </row>
    <row r="46" spans="1:2">
      <c r="A46">
        <v>677</v>
      </c>
      <c r="B46">
        <v>179</v>
      </c>
    </row>
    <row r="47" spans="1:2">
      <c r="A47">
        <v>603</v>
      </c>
      <c r="B47">
        <v>115</v>
      </c>
    </row>
    <row r="48" spans="1:2">
      <c r="A48">
        <v>422</v>
      </c>
      <c r="B48">
        <v>87</v>
      </c>
    </row>
    <row r="49" spans="1:2">
      <c r="A49">
        <v>1688</v>
      </c>
      <c r="B49">
        <v>90</v>
      </c>
    </row>
    <row r="50" spans="1:2">
      <c r="A50">
        <v>352</v>
      </c>
      <c r="B50">
        <v>120</v>
      </c>
    </row>
    <row r="51" spans="1:2">
      <c r="A51">
        <v>437</v>
      </c>
      <c r="B51">
        <v>88</v>
      </c>
    </row>
    <row r="52" spans="1:2">
      <c r="A52">
        <v>61</v>
      </c>
      <c r="B52">
        <v>137</v>
      </c>
    </row>
    <row r="53" spans="1:2">
      <c r="A53">
        <v>1775</v>
      </c>
      <c r="B53">
        <v>75</v>
      </c>
    </row>
    <row r="54" spans="1:2">
      <c r="A54">
        <v>1068</v>
      </c>
      <c r="B54">
        <v>116</v>
      </c>
    </row>
    <row r="55" spans="1:2">
      <c r="A55">
        <v>954</v>
      </c>
      <c r="B55">
        <v>125</v>
      </c>
    </row>
    <row r="56" spans="1:2">
      <c r="A56">
        <v>1412</v>
      </c>
      <c r="B56">
        <v>132</v>
      </c>
    </row>
    <row r="57" spans="1:2">
      <c r="A57">
        <v>1052</v>
      </c>
      <c r="B57">
        <v>140</v>
      </c>
    </row>
    <row r="58" spans="1:2">
      <c r="A58">
        <v>1392</v>
      </c>
      <c r="B58">
        <v>128</v>
      </c>
    </row>
    <row r="59" spans="1:2">
      <c r="A59">
        <v>825</v>
      </c>
      <c r="B59">
        <v>135</v>
      </c>
    </row>
    <row r="60" spans="1:2">
      <c r="A60">
        <v>1788</v>
      </c>
      <c r="B60">
        <v>100</v>
      </c>
    </row>
    <row r="61" spans="1:2">
      <c r="A61">
        <v>1046</v>
      </c>
      <c r="B61">
        <v>92</v>
      </c>
    </row>
    <row r="62" spans="1:2">
      <c r="A62">
        <v>684</v>
      </c>
      <c r="B62">
        <v>228</v>
      </c>
    </row>
    <row r="63" spans="1:2">
      <c r="A63">
        <v>157</v>
      </c>
      <c r="B63">
        <v>129</v>
      </c>
    </row>
    <row r="64" spans="1:2">
      <c r="A64">
        <v>657</v>
      </c>
      <c r="B64">
        <v>128</v>
      </c>
    </row>
    <row r="65" spans="1:2">
      <c r="A65">
        <v>1689</v>
      </c>
      <c r="B65">
        <v>102</v>
      </c>
    </row>
    <row r="66" spans="1:2">
      <c r="A66">
        <v>576</v>
      </c>
      <c r="B66">
        <v>90</v>
      </c>
    </row>
    <row r="67" spans="1:2">
      <c r="A67">
        <v>478</v>
      </c>
      <c r="B67">
        <v>155</v>
      </c>
    </row>
    <row r="68" spans="1:2">
      <c r="A68">
        <v>666</v>
      </c>
      <c r="B68">
        <v>148</v>
      </c>
    </row>
    <row r="69" spans="1:2">
      <c r="A69">
        <v>1638</v>
      </c>
      <c r="B69">
        <v>150</v>
      </c>
    </row>
    <row r="70" spans="1:2">
      <c r="A70">
        <v>235</v>
      </c>
      <c r="B70">
        <v>75</v>
      </c>
    </row>
    <row r="71" spans="1:2">
      <c r="A71">
        <v>1454</v>
      </c>
      <c r="B71">
        <v>71</v>
      </c>
    </row>
    <row r="72" spans="1:2">
      <c r="A72">
        <v>1538</v>
      </c>
      <c r="B72">
        <v>129</v>
      </c>
    </row>
    <row r="73" spans="1:2">
      <c r="A73">
        <v>246</v>
      </c>
      <c r="B73">
        <v>116</v>
      </c>
    </row>
    <row r="74" spans="1:2">
      <c r="A74">
        <v>439</v>
      </c>
      <c r="B74">
        <v>109</v>
      </c>
    </row>
    <row r="75" spans="1:2">
      <c r="A75">
        <v>448</v>
      </c>
      <c r="B75">
        <v>98</v>
      </c>
    </row>
    <row r="76" spans="1:2">
      <c r="A76">
        <v>1380</v>
      </c>
      <c r="B76">
        <v>107</v>
      </c>
    </row>
    <row r="77" spans="1:2">
      <c r="A77">
        <v>1000</v>
      </c>
      <c r="B77">
        <v>48</v>
      </c>
    </row>
    <row r="78" spans="1:2">
      <c r="A78">
        <v>1483</v>
      </c>
      <c r="B78">
        <v>121</v>
      </c>
    </row>
    <row r="79" spans="1:2">
      <c r="A79">
        <v>1692</v>
      </c>
      <c r="B79">
        <v>78</v>
      </c>
    </row>
    <row r="80" spans="1:2">
      <c r="A80">
        <v>1146</v>
      </c>
      <c r="B80">
        <v>139</v>
      </c>
    </row>
    <row r="81" spans="1:2">
      <c r="A81">
        <v>461</v>
      </c>
      <c r="B81">
        <v>91</v>
      </c>
    </row>
    <row r="82" spans="1:2">
      <c r="A82">
        <v>291</v>
      </c>
      <c r="B82">
        <v>150</v>
      </c>
    </row>
    <row r="83" spans="1:2">
      <c r="A83">
        <v>683</v>
      </c>
      <c r="B83">
        <v>97</v>
      </c>
    </row>
    <row r="84" spans="1:2">
      <c r="A84">
        <v>855</v>
      </c>
      <c r="B84">
        <v>69</v>
      </c>
    </row>
    <row r="85" spans="1:2">
      <c r="A85">
        <v>113</v>
      </c>
      <c r="B85">
        <v>120</v>
      </c>
    </row>
    <row r="86" spans="1:2">
      <c r="A86">
        <v>884</v>
      </c>
      <c r="B86">
        <v>176</v>
      </c>
    </row>
    <row r="87" spans="1:2">
      <c r="A87">
        <v>1603</v>
      </c>
      <c r="B87">
        <v>89</v>
      </c>
    </row>
    <row r="88" spans="1:2">
      <c r="A88">
        <v>1334</v>
      </c>
      <c r="B88">
        <v>96</v>
      </c>
    </row>
    <row r="89" spans="1:2">
      <c r="A89">
        <v>383</v>
      </c>
      <c r="B89">
        <v>78</v>
      </c>
    </row>
    <row r="90" spans="1:2">
      <c r="A90">
        <v>921</v>
      </c>
      <c r="B90">
        <v>91</v>
      </c>
    </row>
    <row r="91" spans="1:2">
      <c r="A91">
        <v>605</v>
      </c>
      <c r="B91">
        <v>119</v>
      </c>
    </row>
    <row r="92" spans="1:2">
      <c r="A92">
        <v>282</v>
      </c>
      <c r="B92">
        <v>108</v>
      </c>
    </row>
    <row r="93" spans="1:2">
      <c r="A93">
        <v>871</v>
      </c>
      <c r="B93">
        <v>100</v>
      </c>
    </row>
    <row r="94" spans="1:2">
      <c r="A94">
        <v>1469</v>
      </c>
      <c r="B94">
        <v>124</v>
      </c>
    </row>
    <row r="95" spans="1:2">
      <c r="A95">
        <v>187</v>
      </c>
      <c r="B95">
        <v>82</v>
      </c>
    </row>
    <row r="96" spans="1:2">
      <c r="A96">
        <v>1346</v>
      </c>
      <c r="B96">
        <v>128</v>
      </c>
    </row>
    <row r="97" spans="1:2">
      <c r="A97">
        <v>425</v>
      </c>
      <c r="B97">
        <v>98</v>
      </c>
    </row>
    <row r="98" spans="1:2">
      <c r="A98">
        <v>824</v>
      </c>
      <c r="B98">
        <v>82</v>
      </c>
    </row>
    <row r="99" spans="1:2">
      <c r="A99">
        <v>297</v>
      </c>
      <c r="B99">
        <v>100</v>
      </c>
    </row>
    <row r="100" spans="1:2">
      <c r="A100">
        <v>1648</v>
      </c>
      <c r="B100">
        <v>92</v>
      </c>
    </row>
    <row r="101" spans="1:2">
      <c r="A101">
        <v>888</v>
      </c>
      <c r="B101">
        <v>94</v>
      </c>
    </row>
    <row r="102" spans="1:2">
      <c r="A102">
        <v>1485</v>
      </c>
      <c r="B102">
        <v>84</v>
      </c>
    </row>
    <row r="103" spans="1:2">
      <c r="A103">
        <v>1495</v>
      </c>
      <c r="B103">
        <v>101</v>
      </c>
    </row>
    <row r="104" spans="1:2">
      <c r="A104">
        <v>324</v>
      </c>
      <c r="B104">
        <v>110</v>
      </c>
    </row>
    <row r="105" spans="1:2">
      <c r="A105">
        <v>724</v>
      </c>
      <c r="B105">
        <v>100</v>
      </c>
    </row>
    <row r="106" spans="1:2">
      <c r="A106">
        <v>633</v>
      </c>
      <c r="B106">
        <v>73</v>
      </c>
    </row>
    <row r="107" spans="1:2">
      <c r="A107">
        <v>774</v>
      </c>
      <c r="B107">
        <v>82</v>
      </c>
    </row>
    <row r="108" spans="1:2">
      <c r="A108">
        <v>1555</v>
      </c>
      <c r="B108">
        <v>91</v>
      </c>
    </row>
    <row r="109" spans="1:2">
      <c r="A109">
        <v>163</v>
      </c>
      <c r="B109">
        <v>82</v>
      </c>
    </row>
    <row r="110" spans="1:2">
      <c r="A110">
        <v>1591</v>
      </c>
      <c r="B110">
        <v>89</v>
      </c>
    </row>
    <row r="111" spans="1:2">
      <c r="A111">
        <v>1239</v>
      </c>
      <c r="B111">
        <v>101</v>
      </c>
    </row>
    <row r="112" spans="1:2">
      <c r="A112">
        <v>1606</v>
      </c>
      <c r="B112">
        <v>99</v>
      </c>
    </row>
    <row r="113" spans="1:2">
      <c r="A113">
        <v>974</v>
      </c>
      <c r="B113">
        <v>84</v>
      </c>
    </row>
    <row r="114" spans="1:2">
      <c r="A114">
        <v>333</v>
      </c>
      <c r="B114">
        <v>156</v>
      </c>
    </row>
    <row r="115" spans="1:2">
      <c r="A115">
        <v>1107</v>
      </c>
      <c r="B115">
        <v>62</v>
      </c>
    </row>
    <row r="116" spans="1:2">
      <c r="A116">
        <v>1275</v>
      </c>
      <c r="B116">
        <v>102</v>
      </c>
    </row>
    <row r="117" spans="1:2">
      <c r="A117">
        <v>621</v>
      </c>
      <c r="B117">
        <v>85</v>
      </c>
    </row>
    <row r="118" spans="1:2">
      <c r="A118">
        <v>1370</v>
      </c>
      <c r="B118">
        <v>126</v>
      </c>
    </row>
    <row r="119" spans="1:2">
      <c r="A119">
        <v>625</v>
      </c>
      <c r="B119">
        <v>161</v>
      </c>
    </row>
    <row r="120" spans="1:2">
      <c r="A120">
        <v>1665</v>
      </c>
      <c r="B120">
        <v>128</v>
      </c>
    </row>
    <row r="121" spans="1:2">
      <c r="A121">
        <v>1762</v>
      </c>
      <c r="B121">
        <v>110</v>
      </c>
    </row>
    <row r="122" spans="1:2">
      <c r="A122">
        <v>685</v>
      </c>
      <c r="B122">
        <v>102</v>
      </c>
    </row>
    <row r="123" spans="1:2">
      <c r="A123">
        <v>623</v>
      </c>
      <c r="B123">
        <v>129</v>
      </c>
    </row>
    <row r="124" spans="1:2">
      <c r="A124">
        <v>1742</v>
      </c>
      <c r="B124">
        <v>102</v>
      </c>
    </row>
    <row r="125" spans="1:2">
      <c r="A125">
        <v>1143</v>
      </c>
      <c r="B125">
        <v>210</v>
      </c>
    </row>
    <row r="126" spans="1:2">
      <c r="A126">
        <v>914</v>
      </c>
      <c r="B126">
        <v>176</v>
      </c>
    </row>
    <row r="127" spans="1:2">
      <c r="A127">
        <v>658</v>
      </c>
      <c r="B127">
        <v>89</v>
      </c>
    </row>
    <row r="128" spans="1:2">
      <c r="A128">
        <v>1170</v>
      </c>
      <c r="B128">
        <v>72</v>
      </c>
    </row>
    <row r="129" spans="1:2">
      <c r="A129">
        <v>1237</v>
      </c>
      <c r="B129">
        <v>303</v>
      </c>
    </row>
    <row r="130" spans="1:2">
      <c r="A130">
        <v>799</v>
      </c>
      <c r="B130">
        <v>106</v>
      </c>
    </row>
    <row r="131" spans="1:2">
      <c r="A131">
        <v>1446</v>
      </c>
      <c r="B131">
        <v>117</v>
      </c>
    </row>
    <row r="132" spans="1:2">
      <c r="A132">
        <v>789</v>
      </c>
      <c r="B132">
        <v>88</v>
      </c>
    </row>
    <row r="133" spans="1:2">
      <c r="A133">
        <v>241</v>
      </c>
      <c r="B133">
        <v>140</v>
      </c>
    </row>
    <row r="134" spans="1:2">
      <c r="A134">
        <v>1350</v>
      </c>
      <c r="B134">
        <v>82</v>
      </c>
    </row>
    <row r="135" spans="1:2">
      <c r="A135">
        <v>761</v>
      </c>
      <c r="B135">
        <v>110</v>
      </c>
    </row>
    <row r="136" spans="1:2">
      <c r="A136">
        <v>82</v>
      </c>
      <c r="B136">
        <v>95</v>
      </c>
    </row>
    <row r="137" spans="1:2">
      <c r="A137">
        <v>1165</v>
      </c>
      <c r="B137">
        <v>82</v>
      </c>
    </row>
    <row r="138" spans="1:2">
      <c r="A138">
        <v>1062</v>
      </c>
      <c r="B138">
        <v>93</v>
      </c>
    </row>
    <row r="139" spans="1:2">
      <c r="A139">
        <v>864</v>
      </c>
      <c r="B139">
        <v>81</v>
      </c>
    </row>
    <row r="140" spans="1:2">
      <c r="A140">
        <v>177</v>
      </c>
      <c r="B140">
        <v>80</v>
      </c>
    </row>
    <row r="141" spans="1:2">
      <c r="A141">
        <v>197</v>
      </c>
      <c r="B141">
        <v>196</v>
      </c>
    </row>
    <row r="142" spans="1:2">
      <c r="A142">
        <v>1516</v>
      </c>
      <c r="B142">
        <v>144</v>
      </c>
    </row>
    <row r="143" spans="1:2">
      <c r="A143">
        <v>675</v>
      </c>
      <c r="B143">
        <v>181</v>
      </c>
    </row>
    <row r="144" spans="1:2">
      <c r="A144">
        <v>1081</v>
      </c>
      <c r="B144">
        <v>102</v>
      </c>
    </row>
    <row r="145" spans="1:2">
      <c r="A145">
        <v>705</v>
      </c>
      <c r="B145">
        <v>134</v>
      </c>
    </row>
    <row r="146" spans="1:2">
      <c r="A146">
        <v>678</v>
      </c>
      <c r="B146">
        <v>118</v>
      </c>
    </row>
    <row r="147" spans="1:2">
      <c r="A147">
        <v>1675</v>
      </c>
      <c r="B147">
        <v>90</v>
      </c>
    </row>
    <row r="148" spans="1:2">
      <c r="A148">
        <v>1196</v>
      </c>
      <c r="B148">
        <v>119</v>
      </c>
    </row>
    <row r="149" spans="1:2">
      <c r="A149">
        <v>1220</v>
      </c>
      <c r="B149">
        <v>108</v>
      </c>
    </row>
    <row r="150" spans="1:2">
      <c r="A150">
        <v>1779</v>
      </c>
      <c r="B150">
        <v>145</v>
      </c>
    </row>
    <row r="151" spans="1:2">
      <c r="A151">
        <v>1733</v>
      </c>
      <c r="B151">
        <v>103</v>
      </c>
    </row>
    <row r="152" spans="1:2">
      <c r="A152">
        <v>1288</v>
      </c>
      <c r="B152">
        <v>146</v>
      </c>
    </row>
    <row r="153" spans="1:2">
      <c r="A153">
        <v>1123</v>
      </c>
      <c r="B153">
        <v>109</v>
      </c>
    </row>
    <row r="154" spans="1:2">
      <c r="A154">
        <v>1635</v>
      </c>
      <c r="B154">
        <v>136</v>
      </c>
    </row>
    <row r="155" spans="1:2">
      <c r="A155">
        <v>983</v>
      </c>
      <c r="B155">
        <v>157</v>
      </c>
    </row>
    <row r="156" spans="1:2">
      <c r="A156">
        <v>107</v>
      </c>
      <c r="B156">
        <v>104</v>
      </c>
    </row>
    <row r="157" spans="1:2">
      <c r="A157">
        <v>609</v>
      </c>
      <c r="B157">
        <v>88</v>
      </c>
    </row>
    <row r="158" spans="1:2">
      <c r="A158">
        <v>1513</v>
      </c>
      <c r="B158">
        <v>99</v>
      </c>
    </row>
    <row r="159" spans="1:2">
      <c r="A159">
        <v>1399</v>
      </c>
      <c r="B159">
        <v>350</v>
      </c>
    </row>
    <row r="160" spans="1:2">
      <c r="A160">
        <v>1580</v>
      </c>
      <c r="B160">
        <v>80</v>
      </c>
    </row>
    <row r="161" spans="1:2">
      <c r="A161">
        <v>1672</v>
      </c>
      <c r="B161">
        <v>110</v>
      </c>
    </row>
    <row r="162" spans="1:2">
      <c r="A162">
        <v>387</v>
      </c>
      <c r="B162">
        <v>140</v>
      </c>
    </row>
    <row r="163" spans="1:2">
      <c r="A163">
        <v>1027</v>
      </c>
      <c r="B163">
        <v>84</v>
      </c>
    </row>
    <row r="164" spans="1:2">
      <c r="A164">
        <v>436</v>
      </c>
      <c r="B164">
        <v>135</v>
      </c>
    </row>
    <row r="165" spans="1:2">
      <c r="A165">
        <v>487</v>
      </c>
      <c r="B165">
        <v>175</v>
      </c>
    </row>
    <row r="166" spans="1:2">
      <c r="A166">
        <v>709</v>
      </c>
      <c r="B166">
        <v>92</v>
      </c>
    </row>
    <row r="167" spans="1:2">
      <c r="A167">
        <v>1018</v>
      </c>
      <c r="B167">
        <v>118</v>
      </c>
    </row>
    <row r="168" spans="1:2">
      <c r="A168">
        <v>554</v>
      </c>
      <c r="B168">
        <v>72</v>
      </c>
    </row>
    <row r="169" spans="1:2">
      <c r="A169">
        <v>1114</v>
      </c>
      <c r="B169">
        <v>79</v>
      </c>
    </row>
    <row r="170" spans="1:2">
      <c r="A170">
        <v>444</v>
      </c>
      <c r="B170">
        <v>100</v>
      </c>
    </row>
    <row r="171" spans="1:2">
      <c r="A171">
        <v>1411</v>
      </c>
      <c r="B171">
        <v>140</v>
      </c>
    </row>
    <row r="172" spans="1:2">
      <c r="A172">
        <v>1047</v>
      </c>
      <c r="B172">
        <v>106</v>
      </c>
    </row>
    <row r="173" spans="1:2">
      <c r="A173">
        <v>499</v>
      </c>
      <c r="B173">
        <v>64</v>
      </c>
    </row>
    <row r="174" spans="1:2">
      <c r="A174">
        <v>1602</v>
      </c>
      <c r="B174">
        <v>100</v>
      </c>
    </row>
    <row r="175" spans="1:2">
      <c r="A175">
        <v>933</v>
      </c>
      <c r="B175">
        <v>78</v>
      </c>
    </row>
    <row r="176" spans="1:2">
      <c r="A176">
        <v>931</v>
      </c>
      <c r="B176">
        <v>116</v>
      </c>
    </row>
    <row r="177" spans="1:2">
      <c r="A177">
        <v>1776</v>
      </c>
      <c r="B177">
        <v>179</v>
      </c>
    </row>
    <row r="178" spans="1:2">
      <c r="A178">
        <v>399</v>
      </c>
      <c r="B178">
        <v>219</v>
      </c>
    </row>
    <row r="179" spans="1:2">
      <c r="A179">
        <v>313</v>
      </c>
      <c r="B179">
        <v>127</v>
      </c>
    </row>
    <row r="180" spans="1:2">
      <c r="A180">
        <v>1574</v>
      </c>
      <c r="B180">
        <v>121</v>
      </c>
    </row>
    <row r="181" spans="1:2">
      <c r="A181">
        <v>339</v>
      </c>
      <c r="B181">
        <v>81</v>
      </c>
    </row>
    <row r="182" spans="1:2">
      <c r="A182">
        <v>393</v>
      </c>
      <c r="B182">
        <v>149</v>
      </c>
    </row>
    <row r="183" spans="1:2">
      <c r="A183">
        <v>255</v>
      </c>
      <c r="B183">
        <v>120</v>
      </c>
    </row>
    <row r="184" spans="1:2">
      <c r="A184">
        <v>96</v>
      </c>
      <c r="B184">
        <v>78</v>
      </c>
    </row>
    <row r="185" spans="1:2">
      <c r="A185">
        <v>1023</v>
      </c>
      <c r="B185">
        <v>157</v>
      </c>
    </row>
    <row r="186" spans="1:2">
      <c r="A186">
        <v>1497</v>
      </c>
      <c r="B186">
        <v>161</v>
      </c>
    </row>
    <row r="187" spans="1:2">
      <c r="A187">
        <v>908</v>
      </c>
      <c r="B187">
        <v>78</v>
      </c>
    </row>
    <row r="188" spans="1:2">
      <c r="A188">
        <v>962</v>
      </c>
      <c r="B188">
        <v>120</v>
      </c>
    </row>
    <row r="189" spans="1:2">
      <c r="A189">
        <v>570</v>
      </c>
      <c r="B189">
        <v>76</v>
      </c>
    </row>
    <row r="190" spans="1:2">
      <c r="A190">
        <v>641</v>
      </c>
      <c r="B190">
        <v>145</v>
      </c>
    </row>
    <row r="191" spans="1:2">
      <c r="A191">
        <v>1376</v>
      </c>
      <c r="B191">
        <v>95</v>
      </c>
    </row>
    <row r="192" spans="1:2">
      <c r="A192">
        <v>992</v>
      </c>
      <c r="B192">
        <v>204</v>
      </c>
    </row>
    <row r="193" spans="1:2">
      <c r="A193">
        <v>1647</v>
      </c>
      <c r="B193">
        <v>121</v>
      </c>
    </row>
    <row r="194" spans="1:2">
      <c r="A194">
        <v>1281</v>
      </c>
      <c r="B194">
        <v>106</v>
      </c>
    </row>
    <row r="195" spans="1:2">
      <c r="A195">
        <v>1641</v>
      </c>
      <c r="B195">
        <v>104</v>
      </c>
    </row>
    <row r="196" spans="1:2">
      <c r="A196">
        <v>1187</v>
      </c>
      <c r="B196">
        <v>109</v>
      </c>
    </row>
    <row r="197" spans="1:2">
      <c r="A197">
        <v>1632</v>
      </c>
      <c r="B197">
        <v>138</v>
      </c>
    </row>
    <row r="198" spans="1:2">
      <c r="A198">
        <v>746</v>
      </c>
      <c r="B198">
        <v>77</v>
      </c>
    </row>
    <row r="199" spans="1:2">
      <c r="A199">
        <v>1800</v>
      </c>
      <c r="B199">
        <v>135</v>
      </c>
    </row>
    <row r="200" spans="1:2">
      <c r="A200">
        <v>915</v>
      </c>
      <c r="B200">
        <v>190</v>
      </c>
    </row>
    <row r="201" spans="1:2">
      <c r="A201">
        <v>342</v>
      </c>
      <c r="B201">
        <v>82</v>
      </c>
    </row>
    <row r="202" spans="1:2">
      <c r="A202">
        <v>454</v>
      </c>
      <c r="B202">
        <v>110</v>
      </c>
    </row>
    <row r="203" spans="1:2">
      <c r="A203">
        <v>1600</v>
      </c>
      <c r="B203">
        <v>78</v>
      </c>
    </row>
    <row r="204" spans="1:2">
      <c r="A204">
        <v>102</v>
      </c>
      <c r="B204">
        <v>99</v>
      </c>
    </row>
    <row r="205" spans="1:2">
      <c r="A205">
        <v>161</v>
      </c>
      <c r="B205">
        <v>126</v>
      </c>
    </row>
    <row r="206" spans="1:2">
      <c r="A206">
        <v>673</v>
      </c>
      <c r="B206">
        <v>80</v>
      </c>
    </row>
    <row r="207" spans="1:2">
      <c r="A207">
        <v>1500</v>
      </c>
      <c r="B207">
        <v>119</v>
      </c>
    </row>
    <row r="208" spans="1:2">
      <c r="A208">
        <v>1501</v>
      </c>
      <c r="B208">
        <v>92</v>
      </c>
    </row>
    <row r="209" spans="1:2">
      <c r="A209">
        <v>1474</v>
      </c>
      <c r="B209">
        <v>92</v>
      </c>
    </row>
    <row r="210" spans="1:2">
      <c r="A210">
        <v>1502</v>
      </c>
      <c r="B210">
        <v>133</v>
      </c>
    </row>
    <row r="211" spans="1:2">
      <c r="A211">
        <v>1748</v>
      </c>
      <c r="B211">
        <v>114</v>
      </c>
    </row>
    <row r="212" spans="1:2">
      <c r="A212">
        <v>834</v>
      </c>
      <c r="B212">
        <v>130</v>
      </c>
    </row>
    <row r="213" spans="1:2">
      <c r="A213">
        <v>695</v>
      </c>
      <c r="B213">
        <v>98</v>
      </c>
    </row>
    <row r="214" spans="1:2">
      <c r="A214">
        <v>562</v>
      </c>
      <c r="B214">
        <v>64</v>
      </c>
    </row>
    <row r="215" spans="1:2">
      <c r="A215">
        <v>1002</v>
      </c>
      <c r="B215">
        <v>102</v>
      </c>
    </row>
    <row r="216" spans="1:2">
      <c r="A216">
        <v>338</v>
      </c>
      <c r="B216">
        <v>108</v>
      </c>
    </row>
    <row r="217" spans="1:2">
      <c r="A217">
        <v>1354</v>
      </c>
      <c r="B217">
        <v>87</v>
      </c>
    </row>
    <row r="218" spans="1:2">
      <c r="A218">
        <v>331</v>
      </c>
      <c r="B218">
        <v>107</v>
      </c>
    </row>
    <row r="219" spans="1:2">
      <c r="A219">
        <v>88</v>
      </c>
      <c r="B219">
        <v>168</v>
      </c>
    </row>
    <row r="220" spans="1:2">
      <c r="A220">
        <v>94</v>
      </c>
      <c r="B220">
        <v>96</v>
      </c>
    </row>
    <row r="221" spans="1:2">
      <c r="A221">
        <v>1213</v>
      </c>
      <c r="B221">
        <v>139</v>
      </c>
    </row>
    <row r="222" spans="1:2">
      <c r="A222">
        <v>1283</v>
      </c>
      <c r="B222">
        <v>90</v>
      </c>
    </row>
    <row r="223" spans="1:2">
      <c r="A223">
        <v>1705</v>
      </c>
      <c r="B223">
        <v>138</v>
      </c>
    </row>
    <row r="224" spans="1:2">
      <c r="A224">
        <v>895</v>
      </c>
      <c r="B224">
        <v>132</v>
      </c>
    </row>
    <row r="225" spans="1:2">
      <c r="A225">
        <v>775</v>
      </c>
      <c r="B225">
        <v>229</v>
      </c>
    </row>
    <row r="226" spans="1:2">
      <c r="A226">
        <v>214</v>
      </c>
      <c r="B226">
        <v>125</v>
      </c>
    </row>
    <row r="227" spans="1:2">
      <c r="A227">
        <v>170</v>
      </c>
      <c r="B227">
        <v>99</v>
      </c>
    </row>
    <row r="228" spans="1:2">
      <c r="A228">
        <v>254</v>
      </c>
      <c r="B228">
        <v>126</v>
      </c>
    </row>
    <row r="229" spans="1:2">
      <c r="A229">
        <v>1795</v>
      </c>
      <c r="B229">
        <v>96</v>
      </c>
    </row>
    <row r="230" spans="1:2">
      <c r="A230">
        <v>910</v>
      </c>
      <c r="B230">
        <v>136</v>
      </c>
    </row>
    <row r="231" spans="1:2">
      <c r="A231">
        <v>713</v>
      </c>
      <c r="B231">
        <v>79</v>
      </c>
    </row>
    <row r="232" spans="1:2">
      <c r="A232">
        <v>1681</v>
      </c>
      <c r="B232">
        <v>132</v>
      </c>
    </row>
    <row r="233" spans="1:2">
      <c r="A233">
        <v>1567</v>
      </c>
      <c r="B233">
        <v>86</v>
      </c>
    </row>
    <row r="234" spans="1:2">
      <c r="A234">
        <v>1174</v>
      </c>
      <c r="B234">
        <v>198</v>
      </c>
    </row>
    <row r="235" spans="1:2">
      <c r="A235">
        <v>1255</v>
      </c>
      <c r="B235">
        <v>147</v>
      </c>
    </row>
    <row r="236" spans="1:2">
      <c r="A236">
        <v>737</v>
      </c>
      <c r="B236">
        <v>142</v>
      </c>
    </row>
    <row r="237" spans="1:2">
      <c r="A237">
        <v>376</v>
      </c>
      <c r="B237">
        <v>124</v>
      </c>
    </row>
    <row r="238" spans="1:2">
      <c r="A238">
        <v>639</v>
      </c>
      <c r="B238">
        <v>110</v>
      </c>
    </row>
    <row r="239" spans="1:2">
      <c r="A239">
        <v>1719</v>
      </c>
      <c r="B239">
        <v>82</v>
      </c>
    </row>
    <row r="240" spans="1:2">
      <c r="A240">
        <v>172</v>
      </c>
      <c r="B240">
        <v>134</v>
      </c>
    </row>
    <row r="241" spans="1:2">
      <c r="A241">
        <v>580</v>
      </c>
      <c r="B241">
        <v>82</v>
      </c>
    </row>
    <row r="242" spans="1:2">
      <c r="A242">
        <v>181</v>
      </c>
      <c r="B242">
        <v>114</v>
      </c>
    </row>
    <row r="243" spans="1:2">
      <c r="A243">
        <v>286</v>
      </c>
      <c r="B243">
        <v>94</v>
      </c>
    </row>
    <row r="244" spans="1:2">
      <c r="A244">
        <v>866</v>
      </c>
      <c r="B244">
        <v>63</v>
      </c>
    </row>
    <row r="245" spans="1:2">
      <c r="A245">
        <v>1798</v>
      </c>
      <c r="B245">
        <v>107</v>
      </c>
    </row>
    <row r="246" spans="1:2">
      <c r="A246">
        <v>511</v>
      </c>
      <c r="B246">
        <v>90</v>
      </c>
    </row>
    <row r="247" spans="1:2">
      <c r="A247">
        <v>304</v>
      </c>
      <c r="B247">
        <v>84</v>
      </c>
    </row>
    <row r="248" spans="1:2">
      <c r="A248">
        <v>142</v>
      </c>
      <c r="B248">
        <v>106</v>
      </c>
    </row>
    <row r="249" spans="1:2">
      <c r="A249">
        <v>151</v>
      </c>
      <c r="B249">
        <v>118</v>
      </c>
    </row>
    <row r="250" spans="1:2">
      <c r="A250">
        <v>676</v>
      </c>
      <c r="B250">
        <v>70</v>
      </c>
    </row>
    <row r="251" spans="1:2">
      <c r="A251">
        <v>1829</v>
      </c>
      <c r="B251">
        <v>150</v>
      </c>
    </row>
    <row r="252" spans="1:2">
      <c r="A252">
        <v>1311</v>
      </c>
      <c r="B252">
        <v>148</v>
      </c>
    </row>
    <row r="253" spans="1:2">
      <c r="A253">
        <v>1078</v>
      </c>
      <c r="B253">
        <v>83</v>
      </c>
    </row>
    <row r="254" spans="1:2">
      <c r="A254">
        <v>1150</v>
      </c>
      <c r="B254">
        <v>122</v>
      </c>
    </row>
    <row r="255" spans="1:2">
      <c r="A255">
        <v>1290</v>
      </c>
      <c r="B255">
        <v>154</v>
      </c>
    </row>
    <row r="256" spans="1:2">
      <c r="A256">
        <v>174</v>
      </c>
      <c r="B256">
        <v>121</v>
      </c>
    </row>
    <row r="257" spans="1:2">
      <c r="A257">
        <v>759</v>
      </c>
      <c r="B257">
        <v>96</v>
      </c>
    </row>
    <row r="258" spans="1:2">
      <c r="A258">
        <v>1726</v>
      </c>
      <c r="B258">
        <v>128</v>
      </c>
    </row>
    <row r="259" spans="1:2">
      <c r="A259">
        <v>1321</v>
      </c>
      <c r="B259">
        <v>135</v>
      </c>
    </row>
    <row r="260" spans="1:2">
      <c r="A260">
        <v>1274</v>
      </c>
      <c r="B260">
        <v>80</v>
      </c>
    </row>
    <row r="261" spans="1:2">
      <c r="A261">
        <v>1569</v>
      </c>
      <c r="B261">
        <v>132</v>
      </c>
    </row>
    <row r="262" spans="1:2">
      <c r="A262">
        <v>95</v>
      </c>
      <c r="B262">
        <v>92</v>
      </c>
    </row>
    <row r="263" spans="1:2">
      <c r="A263">
        <v>608</v>
      </c>
      <c r="B263">
        <v>99</v>
      </c>
    </row>
    <row r="264" spans="1:2">
      <c r="A264">
        <v>1746</v>
      </c>
      <c r="B264">
        <v>140</v>
      </c>
    </row>
    <row r="265" spans="1:2">
      <c r="A265">
        <v>1163</v>
      </c>
      <c r="B265">
        <v>177</v>
      </c>
    </row>
    <row r="266" spans="1:2">
      <c r="A266">
        <v>1723</v>
      </c>
      <c r="B266">
        <v>147</v>
      </c>
    </row>
    <row r="267" spans="1:2">
      <c r="A267">
        <v>901</v>
      </c>
      <c r="B267">
        <v>96</v>
      </c>
    </row>
    <row r="268" spans="1:2">
      <c r="A268">
        <v>267</v>
      </c>
      <c r="B268">
        <v>128</v>
      </c>
    </row>
    <row r="269" spans="1:2">
      <c r="A269">
        <v>1391</v>
      </c>
      <c r="B269">
        <v>146</v>
      </c>
    </row>
    <row r="270" spans="1:2">
      <c r="A270">
        <v>1175</v>
      </c>
      <c r="B270">
        <v>162</v>
      </c>
    </row>
    <row r="271" spans="1:2">
      <c r="A271">
        <v>112</v>
      </c>
      <c r="B271">
        <v>101</v>
      </c>
    </row>
    <row r="272" spans="1:2">
      <c r="A272">
        <v>221</v>
      </c>
      <c r="B272">
        <v>152</v>
      </c>
    </row>
    <row r="273" spans="1:2">
      <c r="A273">
        <v>1831</v>
      </c>
      <c r="B273">
        <v>92</v>
      </c>
    </row>
    <row r="274" spans="1:2">
      <c r="A274">
        <v>613</v>
      </c>
      <c r="B274">
        <v>87</v>
      </c>
    </row>
    <row r="275" spans="1:2">
      <c r="A275">
        <v>460</v>
      </c>
      <c r="B275">
        <v>82</v>
      </c>
    </row>
    <row r="276" spans="1:2">
      <c r="A276">
        <v>429</v>
      </c>
      <c r="B276">
        <v>108</v>
      </c>
    </row>
    <row r="277" spans="1:2">
      <c r="A277">
        <v>1314</v>
      </c>
      <c r="B277">
        <v>190</v>
      </c>
    </row>
    <row r="278" spans="1:2">
      <c r="A278">
        <v>1280</v>
      </c>
      <c r="B278">
        <v>92</v>
      </c>
    </row>
    <row r="279" spans="1:2">
      <c r="A279">
        <v>1740</v>
      </c>
      <c r="B279">
        <v>94</v>
      </c>
    </row>
    <row r="280" spans="1:2">
      <c r="A280">
        <v>1629</v>
      </c>
      <c r="B280">
        <v>120</v>
      </c>
    </row>
    <row r="281" spans="1:2">
      <c r="A281">
        <v>1128</v>
      </c>
      <c r="B281">
        <v>103</v>
      </c>
    </row>
    <row r="282" spans="1:2">
      <c r="A282">
        <v>727</v>
      </c>
      <c r="B282">
        <v>87</v>
      </c>
    </row>
    <row r="283" spans="1:2">
      <c r="A283">
        <v>740</v>
      </c>
      <c r="B283">
        <v>75</v>
      </c>
    </row>
    <row r="284" spans="1:2">
      <c r="A284">
        <v>1815</v>
      </c>
      <c r="B284">
        <v>79</v>
      </c>
    </row>
    <row r="285" spans="1:2">
      <c r="A285">
        <v>722</v>
      </c>
      <c r="B285">
        <v>91</v>
      </c>
    </row>
    <row r="286" spans="1:2">
      <c r="A286">
        <v>202</v>
      </c>
      <c r="B286">
        <v>142</v>
      </c>
    </row>
    <row r="287" spans="1:2">
      <c r="A287">
        <v>110</v>
      </c>
      <c r="B287">
        <v>102</v>
      </c>
    </row>
    <row r="288" spans="1:2">
      <c r="A288">
        <v>104</v>
      </c>
      <c r="B288">
        <v>118</v>
      </c>
    </row>
    <row r="289" spans="1:2">
      <c r="A289">
        <v>702</v>
      </c>
      <c r="B289">
        <v>105</v>
      </c>
    </row>
    <row r="290" spans="1:2">
      <c r="A290">
        <v>459</v>
      </c>
      <c r="B290">
        <v>82</v>
      </c>
    </row>
    <row r="291" spans="1:2">
      <c r="A291">
        <v>699</v>
      </c>
      <c r="B291">
        <v>109</v>
      </c>
    </row>
    <row r="292" spans="1:2">
      <c r="A292">
        <v>175</v>
      </c>
      <c r="B292">
        <v>100</v>
      </c>
    </row>
    <row r="293" spans="1:2">
      <c r="A293">
        <v>584</v>
      </c>
      <c r="B293">
        <v>132</v>
      </c>
    </row>
    <row r="294" spans="1:2">
      <c r="A294">
        <v>289</v>
      </c>
      <c r="B294">
        <v>168</v>
      </c>
    </row>
    <row r="295" spans="1:2">
      <c r="A295">
        <v>598</v>
      </c>
      <c r="B295">
        <v>106</v>
      </c>
    </row>
    <row r="296" spans="1:2">
      <c r="A296">
        <v>636</v>
      </c>
      <c r="B296">
        <v>107</v>
      </c>
    </row>
    <row r="297" spans="1:2">
      <c r="A297">
        <v>1303</v>
      </c>
      <c r="B297">
        <v>136</v>
      </c>
    </row>
    <row r="298" spans="1:2">
      <c r="A298">
        <v>428</v>
      </c>
      <c r="B298">
        <v>108</v>
      </c>
    </row>
    <row r="299" spans="1:2">
      <c r="A299">
        <v>617</v>
      </c>
      <c r="B299">
        <v>145</v>
      </c>
    </row>
    <row r="300" spans="1:2">
      <c r="A300">
        <v>649</v>
      </c>
      <c r="B300">
        <v>153</v>
      </c>
    </row>
    <row r="301" spans="1:2">
      <c r="A301">
        <v>180</v>
      </c>
      <c r="B301">
        <v>83</v>
      </c>
    </row>
    <row r="302" spans="1:2">
      <c r="A302">
        <v>1357</v>
      </c>
      <c r="B302">
        <v>72</v>
      </c>
    </row>
    <row r="303" spans="1:2">
      <c r="A303">
        <v>1759</v>
      </c>
      <c r="B303">
        <v>120</v>
      </c>
    </row>
    <row r="304" spans="1:2">
      <c r="A304">
        <v>851</v>
      </c>
      <c r="B304">
        <v>139</v>
      </c>
    </row>
    <row r="305" spans="1:2">
      <c r="A305">
        <v>909</v>
      </c>
      <c r="B305">
        <v>289</v>
      </c>
    </row>
    <row r="306" spans="1:2">
      <c r="A306">
        <v>1317</v>
      </c>
      <c r="B306">
        <v>136</v>
      </c>
    </row>
    <row r="307" spans="1:2">
      <c r="A307">
        <v>453</v>
      </c>
      <c r="B307">
        <v>265</v>
      </c>
    </row>
    <row r="308" spans="1:2">
      <c r="A308">
        <v>968</v>
      </c>
      <c r="B308">
        <v>150</v>
      </c>
    </row>
    <row r="309" spans="1:2">
      <c r="A309">
        <v>395</v>
      </c>
      <c r="B309">
        <v>87</v>
      </c>
    </row>
    <row r="310" spans="1:2">
      <c r="A310">
        <v>764</v>
      </c>
      <c r="B310">
        <v>118</v>
      </c>
    </row>
    <row r="311" spans="1:2">
      <c r="A311">
        <v>917</v>
      </c>
      <c r="B311">
        <v>73</v>
      </c>
    </row>
    <row r="312" spans="1:2">
      <c r="A312">
        <v>529</v>
      </c>
      <c r="B312">
        <v>350</v>
      </c>
    </row>
    <row r="313" spans="1:2">
      <c r="A313">
        <v>750</v>
      </c>
      <c r="B313">
        <v>63</v>
      </c>
    </row>
    <row r="314" spans="1:2">
      <c r="A314">
        <v>1044</v>
      </c>
      <c r="B314">
        <v>62</v>
      </c>
    </row>
    <row r="315" spans="1:2">
      <c r="A315">
        <v>329</v>
      </c>
      <c r="B315">
        <v>110</v>
      </c>
    </row>
    <row r="316" spans="1:2">
      <c r="A316">
        <v>965</v>
      </c>
      <c r="B316">
        <v>76</v>
      </c>
    </row>
    <row r="317" spans="1:2">
      <c r="A317">
        <v>839</v>
      </c>
      <c r="B317">
        <v>106</v>
      </c>
    </row>
    <row r="318" spans="1:2">
      <c r="A318">
        <v>1676</v>
      </c>
      <c r="B318">
        <v>91</v>
      </c>
    </row>
    <row r="319" spans="1:2">
      <c r="A319">
        <v>1441</v>
      </c>
      <c r="B319">
        <v>94</v>
      </c>
    </row>
    <row r="320" spans="1:2">
      <c r="A320">
        <v>1182</v>
      </c>
      <c r="B320">
        <v>62</v>
      </c>
    </row>
    <row r="321" spans="1:2">
      <c r="A321">
        <v>1780</v>
      </c>
      <c r="B321">
        <v>117</v>
      </c>
    </row>
    <row r="322" spans="1:2">
      <c r="A322">
        <v>694</v>
      </c>
      <c r="B322">
        <v>120</v>
      </c>
    </row>
    <row r="323" spans="1:2">
      <c r="A323">
        <v>1539</v>
      </c>
      <c r="B323">
        <v>122</v>
      </c>
    </row>
    <row r="324" spans="1:2">
      <c r="A324">
        <v>1329</v>
      </c>
      <c r="B324">
        <v>203</v>
      </c>
    </row>
    <row r="325" spans="1:2">
      <c r="A325">
        <v>521</v>
      </c>
      <c r="B325">
        <v>183</v>
      </c>
    </row>
    <row r="326" spans="1:2">
      <c r="A326">
        <v>1442</v>
      </c>
      <c r="B326">
        <v>82</v>
      </c>
    </row>
    <row r="327" spans="1:2">
      <c r="A327">
        <v>1115</v>
      </c>
      <c r="B327">
        <v>82</v>
      </c>
    </row>
    <row r="328" spans="1:2">
      <c r="A328">
        <v>486</v>
      </c>
      <c r="B328">
        <v>133</v>
      </c>
    </row>
    <row r="329" spans="1:2">
      <c r="A329">
        <v>1138</v>
      </c>
      <c r="B329">
        <v>97</v>
      </c>
    </row>
    <row r="330" spans="1:2">
      <c r="A330">
        <v>1683</v>
      </c>
      <c r="B330">
        <v>128</v>
      </c>
    </row>
    <row r="331" spans="1:2">
      <c r="A331">
        <v>1545</v>
      </c>
      <c r="B331">
        <v>134</v>
      </c>
    </row>
    <row r="332" spans="1:2">
      <c r="A332">
        <v>704</v>
      </c>
      <c r="B332">
        <v>107</v>
      </c>
    </row>
    <row r="333" spans="1:2">
      <c r="A333">
        <v>1089</v>
      </c>
      <c r="B333">
        <v>92</v>
      </c>
    </row>
    <row r="334" spans="1:2">
      <c r="A334">
        <v>1381</v>
      </c>
      <c r="B334">
        <v>118</v>
      </c>
    </row>
    <row r="335" spans="1:2">
      <c r="A335">
        <v>1631</v>
      </c>
      <c r="B335">
        <v>136</v>
      </c>
    </row>
    <row r="336" spans="1:2">
      <c r="A336">
        <v>215</v>
      </c>
      <c r="B336">
        <v>108</v>
      </c>
    </row>
    <row r="337" spans="1:2">
      <c r="A337">
        <v>1373</v>
      </c>
      <c r="B337">
        <v>111</v>
      </c>
    </row>
    <row r="338" spans="1:2">
      <c r="A338">
        <v>1403</v>
      </c>
      <c r="B338">
        <v>82</v>
      </c>
    </row>
    <row r="339" spans="1:2">
      <c r="A339">
        <v>903</v>
      </c>
      <c r="B339">
        <v>131</v>
      </c>
    </row>
    <row r="340" spans="1:2">
      <c r="A340">
        <v>1232</v>
      </c>
      <c r="B340">
        <v>125</v>
      </c>
    </row>
    <row r="341" spans="1:2">
      <c r="A341">
        <v>527</v>
      </c>
      <c r="B341">
        <v>118</v>
      </c>
    </row>
    <row r="342" spans="1:2">
      <c r="A342">
        <v>972</v>
      </c>
      <c r="B342">
        <v>62</v>
      </c>
    </row>
    <row r="343" spans="1:2">
      <c r="A343">
        <v>661</v>
      </c>
      <c r="B343">
        <v>144</v>
      </c>
    </row>
    <row r="344" spans="1:2">
      <c r="A344">
        <v>1431</v>
      </c>
      <c r="B344">
        <v>102</v>
      </c>
    </row>
    <row r="345" spans="1:2">
      <c r="A345">
        <v>1400</v>
      </c>
      <c r="B345">
        <v>131</v>
      </c>
    </row>
    <row r="346" spans="1:2">
      <c r="A346">
        <v>1299</v>
      </c>
      <c r="B346">
        <v>228</v>
      </c>
    </row>
    <row r="347" spans="1:2">
      <c r="A347">
        <v>943</v>
      </c>
      <c r="B347">
        <v>82</v>
      </c>
    </row>
    <row r="348" spans="1:2">
      <c r="A348">
        <v>1135</v>
      </c>
      <c r="B348">
        <v>127</v>
      </c>
    </row>
    <row r="349" spans="1:2">
      <c r="A349">
        <v>234</v>
      </c>
      <c r="B349">
        <v>109</v>
      </c>
    </row>
    <row r="350" spans="1:2">
      <c r="A350">
        <v>158</v>
      </c>
      <c r="B350">
        <v>122</v>
      </c>
    </row>
    <row r="351" spans="1:2">
      <c r="A351">
        <v>1805</v>
      </c>
      <c r="B351">
        <v>116</v>
      </c>
    </row>
    <row r="352" spans="1:2">
      <c r="A352">
        <v>372</v>
      </c>
      <c r="B352">
        <v>84</v>
      </c>
    </row>
    <row r="353" spans="1:2">
      <c r="A353">
        <v>167</v>
      </c>
      <c r="B353">
        <v>86</v>
      </c>
    </row>
    <row r="354" spans="1:2">
      <c r="A354">
        <v>973</v>
      </c>
      <c r="B354">
        <v>88</v>
      </c>
    </row>
    <row r="355" spans="1:2">
      <c r="A355">
        <v>872</v>
      </c>
      <c r="B355">
        <v>151</v>
      </c>
    </row>
    <row r="356" spans="1:2">
      <c r="A356">
        <v>279</v>
      </c>
      <c r="B356">
        <v>108</v>
      </c>
    </row>
    <row r="357" spans="1:2">
      <c r="A357">
        <v>149</v>
      </c>
      <c r="B357">
        <v>84</v>
      </c>
    </row>
    <row r="358" spans="1:2">
      <c r="A358">
        <v>1042</v>
      </c>
      <c r="B358">
        <v>79</v>
      </c>
    </row>
    <row r="359" spans="1:2">
      <c r="A359">
        <v>1393</v>
      </c>
      <c r="B359">
        <v>150</v>
      </c>
    </row>
    <row r="360" spans="1:2">
      <c r="A360">
        <v>969</v>
      </c>
      <c r="B360">
        <v>74</v>
      </c>
    </row>
    <row r="361" spans="1:2">
      <c r="A361">
        <v>582</v>
      </c>
      <c r="B361">
        <v>105</v>
      </c>
    </row>
    <row r="362" spans="1:2">
      <c r="A362">
        <v>1349</v>
      </c>
      <c r="B362">
        <v>78</v>
      </c>
    </row>
    <row r="363" spans="1:2">
      <c r="A363">
        <v>1583</v>
      </c>
      <c r="B363">
        <v>89</v>
      </c>
    </row>
    <row r="364" spans="1:2">
      <c r="A364">
        <v>1489</v>
      </c>
      <c r="B364">
        <v>119</v>
      </c>
    </row>
    <row r="365" spans="1:2">
      <c r="A365">
        <v>481</v>
      </c>
      <c r="B365">
        <v>85</v>
      </c>
    </row>
    <row r="366" spans="1:2">
      <c r="A366">
        <v>892</v>
      </c>
      <c r="B366">
        <v>171</v>
      </c>
    </row>
    <row r="367" spans="1:2">
      <c r="A367">
        <v>1142</v>
      </c>
      <c r="B367">
        <v>179</v>
      </c>
    </row>
    <row r="368" spans="1:2">
      <c r="A368">
        <v>1340</v>
      </c>
      <c r="B368">
        <v>103</v>
      </c>
    </row>
    <row r="369" spans="1:2">
      <c r="A369">
        <v>1626</v>
      </c>
      <c r="B369">
        <v>107</v>
      </c>
    </row>
    <row r="370" spans="1:2">
      <c r="A370">
        <v>1215</v>
      </c>
      <c r="B370">
        <v>150</v>
      </c>
    </row>
    <row r="371" spans="1:2">
      <c r="A371">
        <v>1080</v>
      </c>
      <c r="B371">
        <v>96</v>
      </c>
    </row>
    <row r="372" spans="1:2">
      <c r="A372">
        <v>590</v>
      </c>
      <c r="B372">
        <v>110</v>
      </c>
    </row>
    <row r="373" spans="1:2">
      <c r="A373">
        <v>194</v>
      </c>
      <c r="B373">
        <v>108</v>
      </c>
    </row>
    <row r="374" spans="1:2">
      <c r="A374">
        <v>262</v>
      </c>
      <c r="B374">
        <v>123</v>
      </c>
    </row>
    <row r="375" spans="1:2">
      <c r="A375">
        <v>1126</v>
      </c>
      <c r="B375">
        <v>77</v>
      </c>
    </row>
    <row r="376" spans="1:2">
      <c r="A376">
        <v>1452</v>
      </c>
      <c r="B376">
        <v>109</v>
      </c>
    </row>
    <row r="377" spans="1:2">
      <c r="A377">
        <v>489</v>
      </c>
      <c r="B377">
        <v>100</v>
      </c>
    </row>
    <row r="378" spans="1:2">
      <c r="A378">
        <v>898</v>
      </c>
      <c r="B378">
        <v>96</v>
      </c>
    </row>
    <row r="379" spans="1:2">
      <c r="A379">
        <v>1803</v>
      </c>
      <c r="B379">
        <v>104</v>
      </c>
    </row>
    <row r="380" spans="1:2">
      <c r="A380">
        <v>808</v>
      </c>
      <c r="B380">
        <v>107</v>
      </c>
    </row>
    <row r="381" spans="1:2">
      <c r="A381">
        <v>1397</v>
      </c>
      <c r="B381">
        <v>111</v>
      </c>
    </row>
    <row r="382" spans="1:2">
      <c r="A382">
        <v>1335</v>
      </c>
      <c r="B382">
        <v>82</v>
      </c>
    </row>
    <row r="383" spans="1:2">
      <c r="A383">
        <v>916</v>
      </c>
      <c r="B383">
        <v>93</v>
      </c>
    </row>
    <row r="384" spans="1:2">
      <c r="A384">
        <v>137</v>
      </c>
      <c r="B384">
        <v>85</v>
      </c>
    </row>
    <row r="385" spans="1:2">
      <c r="A385">
        <v>218</v>
      </c>
      <c r="B385">
        <v>132</v>
      </c>
    </row>
    <row r="386" spans="1:2">
      <c r="A386">
        <v>1396</v>
      </c>
      <c r="B386">
        <v>120</v>
      </c>
    </row>
    <row r="387" spans="1:2">
      <c r="A387">
        <v>101</v>
      </c>
      <c r="B387">
        <v>115</v>
      </c>
    </row>
    <row r="388" spans="1:2">
      <c r="A388">
        <v>1492</v>
      </c>
      <c r="B388">
        <v>84</v>
      </c>
    </row>
    <row r="389" spans="1:2">
      <c r="A389">
        <v>28</v>
      </c>
      <c r="B389">
        <v>4</v>
      </c>
    </row>
    <row r="390" spans="1:2">
      <c r="A390">
        <v>90</v>
      </c>
      <c r="B390">
        <v>81</v>
      </c>
    </row>
    <row r="391" spans="1:2">
      <c r="A391">
        <v>11</v>
      </c>
      <c r="B391">
        <v>229</v>
      </c>
    </row>
    <row r="392" spans="1:2">
      <c r="A392">
        <v>814</v>
      </c>
      <c r="B392">
        <v>109</v>
      </c>
    </row>
    <row r="393" spans="1:2">
      <c r="A393">
        <v>798</v>
      </c>
      <c r="B393">
        <v>118</v>
      </c>
    </row>
    <row r="394" spans="1:2">
      <c r="A394">
        <v>1287</v>
      </c>
      <c r="B394">
        <v>54</v>
      </c>
    </row>
    <row r="395" spans="1:2">
      <c r="A395">
        <v>1547</v>
      </c>
      <c r="B395">
        <v>83</v>
      </c>
    </row>
    <row r="396" spans="1:2">
      <c r="A396">
        <v>344</v>
      </c>
      <c r="B396">
        <v>94</v>
      </c>
    </row>
    <row r="397" spans="1:2">
      <c r="A397">
        <v>1305</v>
      </c>
      <c r="B397">
        <v>146</v>
      </c>
    </row>
    <row r="398" spans="1:2">
      <c r="A398">
        <v>423</v>
      </c>
      <c r="B398">
        <v>85</v>
      </c>
    </row>
    <row r="399" spans="1:2">
      <c r="A399">
        <v>366</v>
      </c>
      <c r="B399">
        <v>124</v>
      </c>
    </row>
    <row r="400" spans="1:2">
      <c r="A400">
        <v>1811</v>
      </c>
      <c r="B400">
        <v>139</v>
      </c>
    </row>
    <row r="401" spans="1:2">
      <c r="A401">
        <v>203</v>
      </c>
      <c r="B401">
        <v>96</v>
      </c>
    </row>
    <row r="402" spans="1:2">
      <c r="A402">
        <v>257</v>
      </c>
      <c r="B402">
        <v>98</v>
      </c>
    </row>
    <row r="403" spans="1:2">
      <c r="A403">
        <v>341</v>
      </c>
      <c r="B403">
        <v>85</v>
      </c>
    </row>
    <row r="404" spans="1:2">
      <c r="A404">
        <v>1088</v>
      </c>
      <c r="B404">
        <v>148</v>
      </c>
    </row>
    <row r="405" spans="1:2">
      <c r="A405">
        <v>604</v>
      </c>
      <c r="B405">
        <v>122</v>
      </c>
    </row>
    <row r="406" spans="1:2">
      <c r="A406">
        <v>581</v>
      </c>
      <c r="B406">
        <v>130</v>
      </c>
    </row>
    <row r="407" spans="1:2">
      <c r="A407">
        <v>1009</v>
      </c>
      <c r="B407">
        <v>104</v>
      </c>
    </row>
    <row r="408" spans="1:2">
      <c r="A408">
        <v>803</v>
      </c>
      <c r="B408">
        <v>111</v>
      </c>
    </row>
    <row r="409" spans="1:2">
      <c r="A409">
        <v>312</v>
      </c>
      <c r="B409">
        <v>84</v>
      </c>
    </row>
    <row r="410" spans="1:2">
      <c r="A410">
        <v>1537</v>
      </c>
      <c r="B410">
        <v>79</v>
      </c>
    </row>
    <row r="411" spans="1:2">
      <c r="A411">
        <v>528</v>
      </c>
      <c r="B411">
        <v>86</v>
      </c>
    </row>
    <row r="412" spans="1:2">
      <c r="A412">
        <v>1019</v>
      </c>
      <c r="B412">
        <v>76</v>
      </c>
    </row>
    <row r="413" spans="1:2">
      <c r="A413">
        <v>815</v>
      </c>
      <c r="B413">
        <v>102</v>
      </c>
    </row>
    <row r="414" spans="1:2">
      <c r="A414">
        <v>53</v>
      </c>
      <c r="B414">
        <v>161</v>
      </c>
    </row>
    <row r="415" spans="1:2">
      <c r="A415">
        <v>418</v>
      </c>
      <c r="B415">
        <v>115</v>
      </c>
    </row>
    <row r="416" spans="1:2">
      <c r="A416">
        <v>394</v>
      </c>
      <c r="B416">
        <v>147</v>
      </c>
    </row>
    <row r="417" spans="1:2">
      <c r="A417">
        <v>1610</v>
      </c>
      <c r="B417">
        <v>80</v>
      </c>
    </row>
    <row r="418" spans="1:2">
      <c r="A418">
        <v>1508</v>
      </c>
      <c r="B418">
        <v>95</v>
      </c>
    </row>
    <row r="419" spans="1:2">
      <c r="A419">
        <v>949</v>
      </c>
      <c r="B419">
        <v>92</v>
      </c>
    </row>
    <row r="420" spans="1:2">
      <c r="A420">
        <v>923</v>
      </c>
      <c r="B420">
        <v>150</v>
      </c>
    </row>
    <row r="421" spans="1:2">
      <c r="A421">
        <v>640</v>
      </c>
      <c r="B421">
        <v>126</v>
      </c>
    </row>
    <row r="422" spans="1:2">
      <c r="A422">
        <v>273</v>
      </c>
      <c r="B422">
        <v>261</v>
      </c>
    </row>
    <row r="423" spans="1:2">
      <c r="A423">
        <v>1292</v>
      </c>
      <c r="B423">
        <v>62</v>
      </c>
    </row>
    <row r="424" spans="1:2">
      <c r="A424">
        <v>1804</v>
      </c>
      <c r="B424">
        <v>124</v>
      </c>
    </row>
    <row r="425" spans="1:2">
      <c r="A425">
        <v>853</v>
      </c>
      <c r="B425">
        <v>165</v>
      </c>
    </row>
    <row r="426" spans="1:2">
      <c r="A426">
        <v>201</v>
      </c>
      <c r="B426">
        <v>85</v>
      </c>
    </row>
    <row r="427" spans="1:2">
      <c r="A427">
        <v>186</v>
      </c>
      <c r="B427">
        <v>91</v>
      </c>
    </row>
    <row r="428" spans="1:2">
      <c r="A428">
        <v>242</v>
      </c>
      <c r="B428">
        <v>116</v>
      </c>
    </row>
    <row r="429" spans="1:2">
      <c r="A429">
        <v>278</v>
      </c>
      <c r="B429">
        <v>100</v>
      </c>
    </row>
    <row r="430" spans="1:2">
      <c r="A430">
        <v>320</v>
      </c>
      <c r="B430">
        <v>96</v>
      </c>
    </row>
    <row r="431" spans="1:2">
      <c r="A431">
        <v>1498</v>
      </c>
      <c r="B431">
        <v>110</v>
      </c>
    </row>
    <row r="432" spans="1:2">
      <c r="A432">
        <v>703</v>
      </c>
      <c r="B432">
        <v>82</v>
      </c>
    </row>
    <row r="433" spans="1:2">
      <c r="A433">
        <v>873</v>
      </c>
      <c r="B433">
        <v>119</v>
      </c>
    </row>
    <row r="434" spans="1:2">
      <c r="A434">
        <v>244</v>
      </c>
      <c r="B434">
        <v>100</v>
      </c>
    </row>
    <row r="435" spans="1:2">
      <c r="A435">
        <v>1121</v>
      </c>
      <c r="B435">
        <v>123</v>
      </c>
    </row>
    <row r="436" spans="1:2">
      <c r="A436">
        <v>1375</v>
      </c>
      <c r="B436">
        <v>57</v>
      </c>
    </row>
    <row r="437" spans="1:2">
      <c r="A437">
        <v>281</v>
      </c>
      <c r="B437">
        <v>100</v>
      </c>
    </row>
    <row r="438" spans="1:2">
      <c r="A438">
        <v>1549</v>
      </c>
      <c r="B438">
        <v>70</v>
      </c>
    </row>
    <row r="439" spans="1:2">
      <c r="A439">
        <v>781</v>
      </c>
      <c r="B439">
        <v>80</v>
      </c>
    </row>
    <row r="440" spans="1:2">
      <c r="A440">
        <v>27</v>
      </c>
      <c r="B440">
        <v>13</v>
      </c>
    </row>
    <row r="441" spans="1:2">
      <c r="A441">
        <v>1230</v>
      </c>
      <c r="B441">
        <v>86</v>
      </c>
    </row>
    <row r="442" spans="1:2">
      <c r="A442">
        <v>1761</v>
      </c>
      <c r="B442">
        <v>164</v>
      </c>
    </row>
    <row r="443" spans="1:2">
      <c r="A443">
        <v>1241</v>
      </c>
      <c r="B443">
        <v>130</v>
      </c>
    </row>
    <row r="444" spans="1:2">
      <c r="A444">
        <v>1065</v>
      </c>
      <c r="B444">
        <v>128</v>
      </c>
    </row>
    <row r="445" spans="1:2">
      <c r="A445">
        <v>1319</v>
      </c>
      <c r="B445">
        <v>88</v>
      </c>
    </row>
    <row r="446" spans="1:2">
      <c r="A446">
        <v>594</v>
      </c>
      <c r="B446">
        <v>100</v>
      </c>
    </row>
    <row r="447" spans="1:2">
      <c r="A447">
        <v>574</v>
      </c>
      <c r="B447">
        <v>87</v>
      </c>
    </row>
    <row r="448" spans="1:2">
      <c r="A448">
        <v>1510</v>
      </c>
      <c r="B448">
        <v>214</v>
      </c>
    </row>
    <row r="449" spans="1:2">
      <c r="A449">
        <v>1669</v>
      </c>
      <c r="B449">
        <v>142</v>
      </c>
    </row>
    <row r="450" spans="1:2">
      <c r="A450">
        <v>410</v>
      </c>
      <c r="B450">
        <v>117</v>
      </c>
    </row>
    <row r="451" spans="1:2">
      <c r="A451">
        <v>567</v>
      </c>
      <c r="B451">
        <v>78</v>
      </c>
    </row>
    <row r="452" spans="1:2">
      <c r="A452">
        <v>1721</v>
      </c>
      <c r="B452">
        <v>101</v>
      </c>
    </row>
    <row r="453" spans="1:2">
      <c r="A453">
        <v>1324</v>
      </c>
      <c r="B453">
        <v>87</v>
      </c>
    </row>
    <row r="454" spans="1:2">
      <c r="A454">
        <v>1533</v>
      </c>
      <c r="B454">
        <v>96</v>
      </c>
    </row>
    <row r="455" spans="1:2">
      <c r="A455">
        <v>1778</v>
      </c>
      <c r="B455">
        <v>106</v>
      </c>
    </row>
    <row r="456" spans="1:2">
      <c r="A456">
        <v>863</v>
      </c>
      <c r="B456">
        <v>73</v>
      </c>
    </row>
    <row r="457" spans="1:2">
      <c r="A457">
        <v>532</v>
      </c>
      <c r="B457">
        <v>110</v>
      </c>
    </row>
    <row r="458" spans="1:2">
      <c r="A458">
        <v>1566</v>
      </c>
      <c r="B458">
        <v>103</v>
      </c>
    </row>
    <row r="459" spans="1:2">
      <c r="A459">
        <v>1466</v>
      </c>
      <c r="B459">
        <v>84</v>
      </c>
    </row>
    <row r="460" spans="1:2">
      <c r="A460">
        <v>1527</v>
      </c>
      <c r="B460">
        <v>150</v>
      </c>
    </row>
    <row r="461" spans="1:2">
      <c r="A461">
        <v>1158</v>
      </c>
      <c r="B461">
        <v>86</v>
      </c>
    </row>
    <row r="462" spans="1:2">
      <c r="A462">
        <v>1493</v>
      </c>
      <c r="B462">
        <v>131</v>
      </c>
    </row>
    <row r="463" spans="1:2">
      <c r="A463">
        <v>1506</v>
      </c>
      <c r="B463">
        <v>98</v>
      </c>
    </row>
    <row r="464" spans="1:2">
      <c r="A464">
        <v>1577</v>
      </c>
      <c r="B464">
        <v>74</v>
      </c>
    </row>
    <row r="465" spans="1:2">
      <c r="A465">
        <v>1312</v>
      </c>
      <c r="B465">
        <v>109</v>
      </c>
    </row>
    <row r="466" spans="1:2">
      <c r="A466">
        <v>198</v>
      </c>
      <c r="B466">
        <v>92</v>
      </c>
    </row>
    <row r="467" spans="1:2">
      <c r="A467">
        <v>182</v>
      </c>
      <c r="B467">
        <v>103</v>
      </c>
    </row>
    <row r="468" spans="1:2">
      <c r="A468">
        <v>723</v>
      </c>
      <c r="B468">
        <v>69</v>
      </c>
    </row>
    <row r="469" spans="1:2">
      <c r="A469">
        <v>134</v>
      </c>
      <c r="B469">
        <v>112</v>
      </c>
    </row>
    <row r="470" spans="1:2">
      <c r="A470">
        <v>162</v>
      </c>
      <c r="B470">
        <v>83</v>
      </c>
    </row>
    <row r="471" spans="1:2">
      <c r="A471">
        <v>1267</v>
      </c>
      <c r="B471">
        <v>78</v>
      </c>
    </row>
    <row r="472" spans="1:2">
      <c r="A472">
        <v>1423</v>
      </c>
      <c r="B472">
        <v>119</v>
      </c>
    </row>
    <row r="473" spans="1:2">
      <c r="A473">
        <v>298</v>
      </c>
      <c r="B473">
        <v>98</v>
      </c>
    </row>
    <row r="474" spans="1:2">
      <c r="A474">
        <v>627</v>
      </c>
      <c r="B474">
        <v>82</v>
      </c>
    </row>
    <row r="475" spans="1:2">
      <c r="A475">
        <v>1127</v>
      </c>
      <c r="B475">
        <v>245</v>
      </c>
    </row>
    <row r="476" spans="1:2">
      <c r="A476">
        <v>651</v>
      </c>
      <c r="B476">
        <v>107</v>
      </c>
    </row>
    <row r="477" spans="1:2">
      <c r="A477">
        <v>1339</v>
      </c>
      <c r="B477">
        <v>95</v>
      </c>
    </row>
    <row r="478" spans="1:2">
      <c r="A478">
        <v>1120</v>
      </c>
      <c r="B478">
        <v>89</v>
      </c>
    </row>
    <row r="479" spans="1:2">
      <c r="A479">
        <v>280</v>
      </c>
      <c r="B479">
        <v>131</v>
      </c>
    </row>
    <row r="480" spans="1:2">
      <c r="A480">
        <v>1388</v>
      </c>
      <c r="B480">
        <v>174</v>
      </c>
    </row>
    <row r="481" spans="1:2">
      <c r="A481">
        <v>1703</v>
      </c>
      <c r="B481">
        <v>113</v>
      </c>
    </row>
    <row r="482" spans="1:2">
      <c r="A482">
        <v>1168</v>
      </c>
      <c r="B482">
        <v>161</v>
      </c>
    </row>
    <row r="483" spans="1:2">
      <c r="A483">
        <v>433</v>
      </c>
      <c r="B483">
        <v>59</v>
      </c>
    </row>
    <row r="484" spans="1:2">
      <c r="A484">
        <v>204</v>
      </c>
      <c r="B484">
        <v>88</v>
      </c>
    </row>
    <row r="485" spans="1:2">
      <c r="A485">
        <v>1327</v>
      </c>
      <c r="B485">
        <v>118</v>
      </c>
    </row>
    <row r="486" spans="1:2">
      <c r="A486">
        <v>1059</v>
      </c>
      <c r="B486">
        <v>79</v>
      </c>
    </row>
    <row r="487" spans="1:2">
      <c r="A487">
        <v>1646</v>
      </c>
      <c r="B487">
        <v>136</v>
      </c>
    </row>
    <row r="488" spans="1:2">
      <c r="A488">
        <v>1257</v>
      </c>
      <c r="B488">
        <v>169</v>
      </c>
    </row>
    <row r="489" spans="1:2">
      <c r="A489">
        <v>806</v>
      </c>
      <c r="B489">
        <v>140</v>
      </c>
    </row>
    <row r="490" spans="1:2">
      <c r="A490">
        <v>492</v>
      </c>
      <c r="B490">
        <v>120</v>
      </c>
    </row>
    <row r="491" spans="1:2">
      <c r="A491">
        <v>971</v>
      </c>
      <c r="B491">
        <v>153</v>
      </c>
    </row>
    <row r="492" spans="1:2">
      <c r="A492">
        <v>316</v>
      </c>
      <c r="B492">
        <v>150</v>
      </c>
    </row>
    <row r="493" spans="1:2">
      <c r="A493">
        <v>476</v>
      </c>
      <c r="B493">
        <v>78</v>
      </c>
    </row>
    <row r="494" spans="1:2">
      <c r="A494">
        <v>420</v>
      </c>
      <c r="B494">
        <v>88</v>
      </c>
    </row>
    <row r="495" spans="1:2">
      <c r="A495">
        <v>672</v>
      </c>
      <c r="B495">
        <v>122</v>
      </c>
    </row>
    <row r="496" spans="1:2">
      <c r="A496">
        <v>388</v>
      </c>
      <c r="B496">
        <v>136</v>
      </c>
    </row>
    <row r="497" spans="1:2">
      <c r="A497">
        <v>1041</v>
      </c>
      <c r="B497">
        <v>93</v>
      </c>
    </row>
    <row r="498" spans="1:2">
      <c r="A498">
        <v>326</v>
      </c>
      <c r="B498">
        <v>109</v>
      </c>
    </row>
    <row r="499" spans="1:2">
      <c r="A499">
        <v>77</v>
      </c>
      <c r="B499">
        <v>108</v>
      </c>
    </row>
    <row r="500" spans="1:2">
      <c r="A500">
        <v>566</v>
      </c>
      <c r="B500">
        <v>126</v>
      </c>
    </row>
    <row r="501" spans="1:2">
      <c r="A501">
        <v>1751</v>
      </c>
      <c r="B501">
        <v>174</v>
      </c>
    </row>
    <row r="502" spans="1:2">
      <c r="A502">
        <v>1385</v>
      </c>
      <c r="B502">
        <v>200</v>
      </c>
    </row>
    <row r="503" spans="1:2">
      <c r="A503">
        <v>417</v>
      </c>
      <c r="B503">
        <v>63</v>
      </c>
    </row>
    <row r="504" spans="1:2">
      <c r="A504">
        <v>413</v>
      </c>
      <c r="B504">
        <v>108</v>
      </c>
    </row>
    <row r="505" spans="1:2">
      <c r="A505">
        <v>882</v>
      </c>
      <c r="B505">
        <v>91</v>
      </c>
    </row>
    <row r="506" spans="1:2">
      <c r="A506">
        <v>359</v>
      </c>
      <c r="B506">
        <v>92</v>
      </c>
    </row>
    <row r="507" spans="1:2">
      <c r="A507">
        <v>138</v>
      </c>
      <c r="B507">
        <v>200</v>
      </c>
    </row>
    <row r="508" spans="1:2">
      <c r="A508">
        <v>1336</v>
      </c>
      <c r="B508">
        <v>68</v>
      </c>
    </row>
    <row r="509" spans="1:2">
      <c r="A509">
        <v>1535</v>
      </c>
      <c r="B509">
        <v>74</v>
      </c>
    </row>
    <row r="510" spans="1:2">
      <c r="A510">
        <v>1720</v>
      </c>
      <c r="B510">
        <v>108</v>
      </c>
    </row>
    <row r="511" spans="1:2">
      <c r="A511">
        <v>1352</v>
      </c>
      <c r="B511">
        <v>129</v>
      </c>
    </row>
    <row r="512" spans="1:2">
      <c r="A512">
        <v>71</v>
      </c>
      <c r="B512">
        <v>132</v>
      </c>
    </row>
    <row r="513" spans="1:2">
      <c r="A513">
        <v>296</v>
      </c>
      <c r="B513">
        <v>93</v>
      </c>
    </row>
    <row r="514" spans="1:2">
      <c r="A514">
        <v>804</v>
      </c>
      <c r="B514">
        <v>40</v>
      </c>
    </row>
    <row r="515" spans="1:2">
      <c r="A515">
        <v>284</v>
      </c>
      <c r="B515">
        <v>126</v>
      </c>
    </row>
    <row r="516" spans="1:2">
      <c r="A516">
        <v>384</v>
      </c>
      <c r="B516">
        <v>86</v>
      </c>
    </row>
    <row r="517" spans="1:2">
      <c r="A517">
        <v>1003</v>
      </c>
      <c r="B517">
        <v>100</v>
      </c>
    </row>
    <row r="518" spans="1:2">
      <c r="A518">
        <v>427</v>
      </c>
      <c r="B518">
        <v>96</v>
      </c>
    </row>
    <row r="519" spans="1:2">
      <c r="A519">
        <v>406</v>
      </c>
      <c r="B519">
        <v>90</v>
      </c>
    </row>
    <row r="520" spans="1:2">
      <c r="A520">
        <v>802</v>
      </c>
      <c r="B520">
        <v>80</v>
      </c>
    </row>
    <row r="521" spans="1:2">
      <c r="A521">
        <v>212</v>
      </c>
      <c r="B521">
        <v>148</v>
      </c>
    </row>
    <row r="522" spans="1:2">
      <c r="A522">
        <v>1630</v>
      </c>
      <c r="B522">
        <v>82</v>
      </c>
    </row>
    <row r="523" spans="1:2">
      <c r="A523">
        <v>1221</v>
      </c>
      <c r="B523">
        <v>159</v>
      </c>
    </row>
    <row r="524" spans="1:2">
      <c r="A524">
        <v>206</v>
      </c>
      <c r="B524">
        <v>85</v>
      </c>
    </row>
    <row r="525" spans="1:2">
      <c r="A525">
        <v>1660</v>
      </c>
      <c r="B525">
        <v>88</v>
      </c>
    </row>
    <row r="526" spans="1:2">
      <c r="A526">
        <v>470</v>
      </c>
      <c r="B526">
        <v>90</v>
      </c>
    </row>
    <row r="527" spans="1:2">
      <c r="A527">
        <v>1141</v>
      </c>
      <c r="B527">
        <v>120</v>
      </c>
    </row>
    <row r="528" spans="1:2">
      <c r="A528">
        <v>1715</v>
      </c>
      <c r="B528">
        <v>110</v>
      </c>
    </row>
    <row r="529" spans="1:2">
      <c r="A529">
        <v>1609</v>
      </c>
      <c r="B529">
        <v>103</v>
      </c>
    </row>
    <row r="530" spans="1:2">
      <c r="A530">
        <v>1512</v>
      </c>
      <c r="B530">
        <v>81</v>
      </c>
    </row>
    <row r="531" spans="1:2">
      <c r="A531">
        <v>1119</v>
      </c>
      <c r="B531">
        <v>62</v>
      </c>
    </row>
    <row r="532" spans="1:2">
      <c r="A532">
        <v>629</v>
      </c>
      <c r="B532">
        <v>131</v>
      </c>
    </row>
    <row r="533" spans="1:2">
      <c r="A533">
        <v>984</v>
      </c>
      <c r="B533">
        <v>171</v>
      </c>
    </row>
    <row r="534" spans="1:2">
      <c r="A534">
        <v>266</v>
      </c>
      <c r="B534">
        <v>191</v>
      </c>
    </row>
    <row r="535" spans="1:2">
      <c r="A535">
        <v>468</v>
      </c>
      <c r="B535">
        <v>84</v>
      </c>
    </row>
    <row r="536" spans="1:2">
      <c r="A536">
        <v>1231</v>
      </c>
      <c r="B536">
        <v>95</v>
      </c>
    </row>
    <row r="537" spans="1:2">
      <c r="A537">
        <v>243</v>
      </c>
      <c r="B537">
        <v>109</v>
      </c>
    </row>
    <row r="538" spans="1:2">
      <c r="A538">
        <v>57</v>
      </c>
      <c r="B538">
        <v>115</v>
      </c>
    </row>
    <row r="539" spans="1:2">
      <c r="A539">
        <v>1051</v>
      </c>
      <c r="B539">
        <v>62</v>
      </c>
    </row>
    <row r="540" spans="1:2">
      <c r="A540">
        <v>164</v>
      </c>
      <c r="B540">
        <v>108</v>
      </c>
    </row>
    <row r="541" spans="1:2">
      <c r="A541">
        <v>1668</v>
      </c>
      <c r="B541">
        <v>84</v>
      </c>
    </row>
    <row r="542" spans="1:2">
      <c r="A542">
        <v>1704</v>
      </c>
      <c r="B542">
        <v>103</v>
      </c>
    </row>
    <row r="543" spans="1:2">
      <c r="A543">
        <v>1765</v>
      </c>
      <c r="B543">
        <v>140</v>
      </c>
    </row>
    <row r="544" spans="1:2">
      <c r="A544">
        <v>1251</v>
      </c>
      <c r="B544">
        <v>108</v>
      </c>
    </row>
    <row r="545" spans="1:2">
      <c r="A545">
        <v>85</v>
      </c>
      <c r="B545">
        <v>84</v>
      </c>
    </row>
    <row r="546" spans="1:2">
      <c r="A546">
        <v>1789</v>
      </c>
      <c r="B546">
        <v>72</v>
      </c>
    </row>
    <row r="547" spans="1:2">
      <c r="A547">
        <v>73</v>
      </c>
      <c r="B547">
        <v>92</v>
      </c>
    </row>
    <row r="548" spans="1:2">
      <c r="A548">
        <v>1774</v>
      </c>
      <c r="B548">
        <v>149</v>
      </c>
    </row>
    <row r="549" spans="1:2">
      <c r="A549">
        <v>1718</v>
      </c>
      <c r="B549">
        <v>97</v>
      </c>
    </row>
    <row r="550" spans="1:2">
      <c r="A550">
        <v>1055</v>
      </c>
      <c r="B550">
        <v>89</v>
      </c>
    </row>
    <row r="551" spans="1:2">
      <c r="A551">
        <v>1420</v>
      </c>
      <c r="B551">
        <v>260</v>
      </c>
    </row>
    <row r="552" spans="1:2">
      <c r="A552">
        <v>415</v>
      </c>
      <c r="B552">
        <v>116</v>
      </c>
    </row>
    <row r="553" spans="1:2">
      <c r="A553">
        <v>589</v>
      </c>
      <c r="B553">
        <v>119</v>
      </c>
    </row>
    <row r="554" spans="1:2">
      <c r="A554">
        <v>81</v>
      </c>
      <c r="B554">
        <v>133</v>
      </c>
    </row>
    <row r="555" spans="1:2">
      <c r="A555">
        <v>1101</v>
      </c>
      <c r="B555">
        <v>148</v>
      </c>
    </row>
    <row r="556" spans="1:2">
      <c r="A556">
        <v>401</v>
      </c>
      <c r="B556">
        <v>128</v>
      </c>
    </row>
    <row r="557" spans="1:2">
      <c r="A557">
        <v>975</v>
      </c>
      <c r="B557">
        <v>82</v>
      </c>
    </row>
    <row r="558" spans="1:2">
      <c r="A558">
        <v>1667</v>
      </c>
      <c r="B558">
        <v>92</v>
      </c>
    </row>
    <row r="559" spans="1:2">
      <c r="A559">
        <v>837</v>
      </c>
      <c r="B559">
        <v>84</v>
      </c>
    </row>
    <row r="560" spans="1:2">
      <c r="A560">
        <v>239</v>
      </c>
      <c r="B560">
        <v>172</v>
      </c>
    </row>
    <row r="561" spans="1:2">
      <c r="A561">
        <v>642</v>
      </c>
      <c r="B561">
        <v>149</v>
      </c>
    </row>
    <row r="562" spans="1:2">
      <c r="A562">
        <v>335</v>
      </c>
      <c r="B562">
        <v>109</v>
      </c>
    </row>
    <row r="563" spans="1:2">
      <c r="A563">
        <v>193</v>
      </c>
      <c r="B563">
        <v>97</v>
      </c>
    </row>
    <row r="564" spans="1:2">
      <c r="A564">
        <v>1351</v>
      </c>
      <c r="B564">
        <v>98</v>
      </c>
    </row>
    <row r="565" spans="1:2">
      <c r="A565">
        <v>1713</v>
      </c>
      <c r="B565">
        <v>182</v>
      </c>
    </row>
    <row r="566" spans="1:2">
      <c r="A566">
        <v>986</v>
      </c>
      <c r="B566">
        <v>90</v>
      </c>
    </row>
    <row r="567" spans="1:2">
      <c r="A567">
        <v>691</v>
      </c>
      <c r="B567">
        <v>90</v>
      </c>
    </row>
    <row r="568" spans="1:2">
      <c r="A568">
        <v>272</v>
      </c>
      <c r="B568">
        <v>95</v>
      </c>
    </row>
    <row r="569" spans="1:2">
      <c r="A569">
        <v>1032</v>
      </c>
      <c r="B569">
        <v>156</v>
      </c>
    </row>
    <row r="570" spans="1:2">
      <c r="A570">
        <v>1313</v>
      </c>
      <c r="B570">
        <v>112</v>
      </c>
    </row>
    <row r="571" spans="1:2">
      <c r="A571">
        <v>1644</v>
      </c>
      <c r="B571">
        <v>120</v>
      </c>
    </row>
    <row r="572" spans="1:2">
      <c r="A572">
        <v>833</v>
      </c>
      <c r="B572">
        <v>90</v>
      </c>
    </row>
    <row r="573" spans="1:2">
      <c r="A573">
        <v>913</v>
      </c>
      <c r="B573">
        <v>100</v>
      </c>
    </row>
    <row r="574" spans="1:2">
      <c r="A574">
        <v>1355</v>
      </c>
      <c r="B574">
        <v>88</v>
      </c>
    </row>
    <row r="575" spans="1:2">
      <c r="A575">
        <v>347</v>
      </c>
      <c r="B575">
        <v>105</v>
      </c>
    </row>
    <row r="576" spans="1:2">
      <c r="A576">
        <v>543</v>
      </c>
      <c r="B576">
        <v>91</v>
      </c>
    </row>
    <row r="577" spans="1:2">
      <c r="A577">
        <v>89</v>
      </c>
      <c r="B577">
        <v>92</v>
      </c>
    </row>
    <row r="578" spans="1:2">
      <c r="A578">
        <v>374</v>
      </c>
      <c r="B578">
        <v>76</v>
      </c>
    </row>
    <row r="579" spans="1:2">
      <c r="A579">
        <v>1459</v>
      </c>
      <c r="B579">
        <v>121</v>
      </c>
    </row>
    <row r="580" spans="1:2">
      <c r="A580">
        <v>301</v>
      </c>
      <c r="B580">
        <v>105</v>
      </c>
    </row>
    <row r="581" spans="1:2">
      <c r="A581">
        <v>1605</v>
      </c>
      <c r="B581">
        <v>94</v>
      </c>
    </row>
    <row r="582" spans="1:2">
      <c r="A582">
        <v>1160</v>
      </c>
      <c r="B582">
        <v>199</v>
      </c>
    </row>
    <row r="583" spans="1:2">
      <c r="A583">
        <v>1643</v>
      </c>
      <c r="B583">
        <v>139</v>
      </c>
    </row>
    <row r="584" spans="1:2">
      <c r="A584">
        <v>1238</v>
      </c>
      <c r="B584">
        <v>127</v>
      </c>
    </row>
    <row r="585" spans="1:2">
      <c r="A585">
        <v>474</v>
      </c>
      <c r="B585">
        <v>92</v>
      </c>
    </row>
    <row r="586" spans="1:2">
      <c r="A586">
        <v>982</v>
      </c>
      <c r="B586">
        <v>125</v>
      </c>
    </row>
    <row r="587" spans="1:2">
      <c r="A587">
        <v>1268</v>
      </c>
      <c r="B587">
        <v>99</v>
      </c>
    </row>
    <row r="588" spans="1:2">
      <c r="A588">
        <v>890</v>
      </c>
      <c r="B588">
        <v>75</v>
      </c>
    </row>
    <row r="589" spans="1:2">
      <c r="A589">
        <v>240</v>
      </c>
      <c r="B589">
        <v>116</v>
      </c>
    </row>
    <row r="590" spans="1:2">
      <c r="A590">
        <v>380</v>
      </c>
      <c r="B590">
        <v>62</v>
      </c>
    </row>
    <row r="591" spans="1:2">
      <c r="A591">
        <v>1772</v>
      </c>
      <c r="B591">
        <v>117</v>
      </c>
    </row>
    <row r="592" spans="1:2">
      <c r="A592">
        <v>861</v>
      </c>
      <c r="B592">
        <v>111</v>
      </c>
    </row>
    <row r="593" spans="1:2">
      <c r="A593">
        <v>696</v>
      </c>
      <c r="B593">
        <v>144</v>
      </c>
    </row>
    <row r="594" spans="1:2">
      <c r="A594">
        <v>1716</v>
      </c>
      <c r="B594">
        <v>84</v>
      </c>
    </row>
    <row r="595" spans="1:2">
      <c r="A595">
        <v>1070</v>
      </c>
      <c r="B595">
        <v>95</v>
      </c>
    </row>
    <row r="596" spans="1:2">
      <c r="A596">
        <v>93</v>
      </c>
      <c r="B596">
        <v>87</v>
      </c>
    </row>
    <row r="597" spans="1:2">
      <c r="A597">
        <v>140</v>
      </c>
      <c r="B597">
        <v>108</v>
      </c>
    </row>
    <row r="598" spans="1:2">
      <c r="A598">
        <v>599</v>
      </c>
      <c r="B598">
        <v>100</v>
      </c>
    </row>
    <row r="599" spans="1:2">
      <c r="A599">
        <v>1536</v>
      </c>
      <c r="B599">
        <v>100</v>
      </c>
    </row>
    <row r="600" spans="1:2">
      <c r="A600">
        <v>66</v>
      </c>
      <c r="B600">
        <v>239</v>
      </c>
    </row>
    <row r="601" spans="1:2">
      <c r="A601">
        <v>398</v>
      </c>
      <c r="B601">
        <v>116</v>
      </c>
    </row>
    <row r="602" spans="1:2">
      <c r="A602">
        <v>227</v>
      </c>
      <c r="B602">
        <v>171</v>
      </c>
    </row>
    <row r="603" spans="1:2">
      <c r="A603">
        <v>948</v>
      </c>
      <c r="B603">
        <v>105</v>
      </c>
    </row>
    <row r="604" spans="1:2">
      <c r="A604">
        <v>735</v>
      </c>
      <c r="B604">
        <v>234</v>
      </c>
    </row>
    <row r="605" spans="1:2">
      <c r="A605">
        <v>1724</v>
      </c>
      <c r="B605">
        <v>89</v>
      </c>
    </row>
    <row r="606" spans="1:2">
      <c r="A606">
        <v>109</v>
      </c>
      <c r="B606">
        <v>163</v>
      </c>
    </row>
    <row r="607" spans="1:2">
      <c r="A607">
        <v>141</v>
      </c>
      <c r="B607">
        <v>109</v>
      </c>
    </row>
    <row r="608" spans="1:2">
      <c r="A608">
        <v>168</v>
      </c>
      <c r="B608">
        <v>78</v>
      </c>
    </row>
    <row r="609" spans="1:2">
      <c r="A609">
        <v>586</v>
      </c>
      <c r="B609">
        <v>220</v>
      </c>
    </row>
    <row r="610" spans="1:2">
      <c r="A610">
        <v>447</v>
      </c>
      <c r="B610">
        <v>74</v>
      </c>
    </row>
    <row r="611" spans="1:2">
      <c r="A611">
        <v>1011</v>
      </c>
      <c r="B611">
        <v>286</v>
      </c>
    </row>
    <row r="612" spans="1:2">
      <c r="A612">
        <v>1383</v>
      </c>
      <c r="B612">
        <v>81</v>
      </c>
    </row>
    <row r="613" spans="1:2">
      <c r="A613">
        <v>375</v>
      </c>
      <c r="B613">
        <v>102</v>
      </c>
    </row>
    <row r="614" spans="1:2">
      <c r="A614">
        <v>288</v>
      </c>
      <c r="B614">
        <v>97</v>
      </c>
    </row>
    <row r="615" spans="1:2">
      <c r="A615">
        <v>823</v>
      </c>
      <c r="B615">
        <v>91</v>
      </c>
    </row>
    <row r="616" spans="1:2">
      <c r="A616">
        <v>1307</v>
      </c>
      <c r="B616">
        <v>93</v>
      </c>
    </row>
    <row r="617" spans="1:2">
      <c r="A617">
        <v>970</v>
      </c>
      <c r="B617">
        <v>128</v>
      </c>
    </row>
    <row r="618" spans="1:2">
      <c r="A618">
        <v>1185</v>
      </c>
      <c r="B618">
        <v>114</v>
      </c>
    </row>
    <row r="619" spans="1:2">
      <c r="A619">
        <v>350</v>
      </c>
      <c r="B619">
        <v>187</v>
      </c>
    </row>
    <row r="620" spans="1:2">
      <c r="A620">
        <v>1293</v>
      </c>
      <c r="B620">
        <v>77</v>
      </c>
    </row>
    <row r="621" spans="1:2">
      <c r="A621">
        <v>1090</v>
      </c>
      <c r="B621">
        <v>90</v>
      </c>
    </row>
    <row r="622" spans="1:2">
      <c r="A622">
        <v>568</v>
      </c>
      <c r="B622">
        <v>87</v>
      </c>
    </row>
    <row r="623" spans="1:2">
      <c r="A623">
        <v>400</v>
      </c>
      <c r="B623">
        <v>146</v>
      </c>
    </row>
    <row r="624" spans="1:2">
      <c r="A624">
        <v>1593</v>
      </c>
      <c r="B624">
        <v>63</v>
      </c>
    </row>
    <row r="625" spans="1:2">
      <c r="A625">
        <v>583</v>
      </c>
      <c r="B625">
        <v>100</v>
      </c>
    </row>
    <row r="626" spans="1:2">
      <c r="A626">
        <v>230</v>
      </c>
      <c r="B626">
        <v>146</v>
      </c>
    </row>
    <row r="627" spans="1:2">
      <c r="A627">
        <v>1331</v>
      </c>
      <c r="B627">
        <v>184</v>
      </c>
    </row>
    <row r="628" spans="1:2">
      <c r="A628">
        <v>736</v>
      </c>
      <c r="B628">
        <v>124</v>
      </c>
    </row>
    <row r="629" spans="1:2">
      <c r="A629">
        <v>845</v>
      </c>
      <c r="B629">
        <v>167</v>
      </c>
    </row>
    <row r="630" spans="1:2">
      <c r="A630">
        <v>1418</v>
      </c>
      <c r="B630">
        <v>164</v>
      </c>
    </row>
    <row r="631" spans="1:2">
      <c r="A631">
        <v>960</v>
      </c>
      <c r="B631">
        <v>220</v>
      </c>
    </row>
    <row r="632" spans="1:2">
      <c r="A632">
        <v>59</v>
      </c>
      <c r="B632">
        <v>157</v>
      </c>
    </row>
    <row r="633" spans="1:2">
      <c r="A633">
        <v>275</v>
      </c>
      <c r="B633">
        <v>136</v>
      </c>
    </row>
    <row r="634" spans="1:2">
      <c r="A634">
        <v>1227</v>
      </c>
      <c r="B634">
        <v>100</v>
      </c>
    </row>
    <row r="635" spans="1:2">
      <c r="A635">
        <v>538</v>
      </c>
      <c r="B635">
        <v>71</v>
      </c>
    </row>
    <row r="636" spans="1:2">
      <c r="A636">
        <v>1792</v>
      </c>
      <c r="B636">
        <v>138</v>
      </c>
    </row>
    <row r="637" spans="1:2">
      <c r="A637">
        <v>1518</v>
      </c>
      <c r="B637">
        <v>169</v>
      </c>
    </row>
    <row r="638" spans="1:2">
      <c r="A638">
        <v>801</v>
      </c>
      <c r="B638">
        <v>87</v>
      </c>
    </row>
    <row r="639" spans="1:2">
      <c r="A639">
        <v>1117</v>
      </c>
      <c r="B639">
        <v>78</v>
      </c>
    </row>
    <row r="640" spans="1:2">
      <c r="A640">
        <v>92</v>
      </c>
      <c r="B640">
        <v>91</v>
      </c>
    </row>
    <row r="641" spans="1:2">
      <c r="A641">
        <v>711</v>
      </c>
      <c r="B641">
        <v>80</v>
      </c>
    </row>
    <row r="642" spans="1:2">
      <c r="A642">
        <v>1368</v>
      </c>
      <c r="B642">
        <v>95</v>
      </c>
    </row>
    <row r="643" spans="1:2">
      <c r="A643">
        <v>952</v>
      </c>
      <c r="B643">
        <v>108</v>
      </c>
    </row>
    <row r="644" spans="1:2">
      <c r="A644">
        <v>321</v>
      </c>
      <c r="B644">
        <v>93</v>
      </c>
    </row>
    <row r="645" spans="1:2">
      <c r="A645">
        <v>1690</v>
      </c>
      <c r="B645">
        <v>95</v>
      </c>
    </row>
    <row r="646" spans="1:2">
      <c r="A646">
        <v>147</v>
      </c>
      <c r="B646">
        <v>141</v>
      </c>
    </row>
    <row r="647" spans="1:2">
      <c r="A647">
        <v>1614</v>
      </c>
      <c r="B647">
        <v>56</v>
      </c>
    </row>
    <row r="648" spans="1:2">
      <c r="A648">
        <v>924</v>
      </c>
      <c r="B648">
        <v>93</v>
      </c>
    </row>
    <row r="649" spans="1:2">
      <c r="A649">
        <v>932</v>
      </c>
      <c r="B649">
        <v>104</v>
      </c>
    </row>
    <row r="650" spans="1:2">
      <c r="A650">
        <v>725</v>
      </c>
      <c r="B650">
        <v>160</v>
      </c>
    </row>
    <row r="651" spans="1:2">
      <c r="A651">
        <v>1136</v>
      </c>
      <c r="B651">
        <v>78</v>
      </c>
    </row>
    <row r="652" spans="1:2">
      <c r="A652">
        <v>880</v>
      </c>
      <c r="B652">
        <v>99</v>
      </c>
    </row>
    <row r="653" spans="1:2">
      <c r="A653">
        <v>572</v>
      </c>
      <c r="B653">
        <v>69</v>
      </c>
    </row>
    <row r="654" spans="1:2">
      <c r="A654">
        <v>517</v>
      </c>
      <c r="B654">
        <v>129</v>
      </c>
    </row>
    <row r="655" spans="1:2">
      <c r="A655">
        <v>1316</v>
      </c>
      <c r="B655">
        <v>130</v>
      </c>
    </row>
    <row r="656" spans="1:2">
      <c r="A656">
        <v>103</v>
      </c>
      <c r="B656">
        <v>85</v>
      </c>
    </row>
    <row r="657" spans="1:2">
      <c r="A657">
        <v>1366</v>
      </c>
      <c r="B657">
        <v>88</v>
      </c>
    </row>
    <row r="658" spans="1:2">
      <c r="A658">
        <v>1738</v>
      </c>
      <c r="B658">
        <v>75</v>
      </c>
    </row>
    <row r="659" spans="1:2">
      <c r="A659">
        <v>826</v>
      </c>
      <c r="B659">
        <v>77</v>
      </c>
    </row>
    <row r="660" spans="1:2">
      <c r="A660">
        <v>1461</v>
      </c>
      <c r="B660">
        <v>98</v>
      </c>
    </row>
    <row r="661" spans="1:2">
      <c r="A661">
        <v>1225</v>
      </c>
      <c r="B661">
        <v>152</v>
      </c>
    </row>
    <row r="662" spans="1:2">
      <c r="A662">
        <v>1309</v>
      </c>
      <c r="B662">
        <v>87</v>
      </c>
    </row>
    <row r="663" spans="1:2">
      <c r="A663">
        <v>541</v>
      </c>
      <c r="B663">
        <v>224</v>
      </c>
    </row>
    <row r="664" spans="1:2">
      <c r="A664">
        <v>318</v>
      </c>
      <c r="B664">
        <v>62</v>
      </c>
    </row>
    <row r="665" spans="1:2">
      <c r="A665">
        <v>426</v>
      </c>
      <c r="B665">
        <v>78</v>
      </c>
    </row>
    <row r="666" spans="1:2">
      <c r="A666">
        <v>111</v>
      </c>
      <c r="B666">
        <v>84</v>
      </c>
    </row>
    <row r="667" spans="1:2">
      <c r="A667">
        <v>183</v>
      </c>
      <c r="B667">
        <v>94</v>
      </c>
    </row>
    <row r="668" spans="1:2">
      <c r="A668">
        <v>929</v>
      </c>
      <c r="B668">
        <v>90</v>
      </c>
    </row>
    <row r="669" spans="1:2">
      <c r="A669">
        <v>231</v>
      </c>
      <c r="B669">
        <v>115</v>
      </c>
    </row>
    <row r="670" spans="1:2">
      <c r="A670">
        <v>670</v>
      </c>
      <c r="B670">
        <v>94</v>
      </c>
    </row>
    <row r="671" spans="1:2">
      <c r="A671">
        <v>250</v>
      </c>
      <c r="B671">
        <v>140</v>
      </c>
    </row>
    <row r="672" spans="1:2">
      <c r="A672">
        <v>1387</v>
      </c>
      <c r="B672">
        <v>82</v>
      </c>
    </row>
    <row r="673" spans="1:2">
      <c r="A673">
        <v>934</v>
      </c>
      <c r="B673">
        <v>119</v>
      </c>
    </row>
    <row r="674" spans="1:2">
      <c r="A674">
        <v>1793</v>
      </c>
      <c r="B674">
        <v>156</v>
      </c>
    </row>
    <row r="675" spans="1:2">
      <c r="A675">
        <v>1727</v>
      </c>
      <c r="B675">
        <v>124</v>
      </c>
    </row>
    <row r="676" spans="1:2">
      <c r="A676">
        <v>770</v>
      </c>
      <c r="B676">
        <v>112</v>
      </c>
    </row>
    <row r="677" spans="1:2">
      <c r="A677">
        <v>634</v>
      </c>
      <c r="B677">
        <v>83</v>
      </c>
    </row>
    <row r="678" spans="1:2">
      <c r="A678">
        <v>232</v>
      </c>
      <c r="B678">
        <v>121</v>
      </c>
    </row>
    <row r="679" spans="1:2">
      <c r="A679">
        <v>1056</v>
      </c>
      <c r="B679">
        <v>105</v>
      </c>
    </row>
    <row r="680" spans="1:2">
      <c r="A680">
        <v>1371</v>
      </c>
      <c r="B680">
        <v>209</v>
      </c>
    </row>
    <row r="681" spans="1:2">
      <c r="A681">
        <v>1556</v>
      </c>
      <c r="B681">
        <v>110</v>
      </c>
    </row>
    <row r="682" spans="1:2">
      <c r="A682">
        <v>535</v>
      </c>
      <c r="B682">
        <v>86</v>
      </c>
    </row>
    <row r="683" spans="1:2">
      <c r="A683">
        <v>697</v>
      </c>
      <c r="B683">
        <v>218</v>
      </c>
    </row>
    <row r="684" spans="1:2">
      <c r="A684">
        <v>319</v>
      </c>
      <c r="B684">
        <v>79</v>
      </c>
    </row>
    <row r="685" spans="1:2">
      <c r="A685">
        <v>1674</v>
      </c>
      <c r="B685">
        <v>112</v>
      </c>
    </row>
    <row r="686" spans="1:2">
      <c r="A686">
        <v>1361</v>
      </c>
      <c r="B686">
        <v>109</v>
      </c>
    </row>
    <row r="687" spans="1:2">
      <c r="A687">
        <v>1448</v>
      </c>
      <c r="B687">
        <v>90</v>
      </c>
    </row>
    <row r="688" spans="1:2">
      <c r="A688">
        <v>551</v>
      </c>
      <c r="B688">
        <v>94</v>
      </c>
    </row>
    <row r="689" spans="1:2">
      <c r="A689">
        <v>1045</v>
      </c>
      <c r="B689">
        <v>108</v>
      </c>
    </row>
    <row r="690" spans="1:2">
      <c r="A690">
        <v>990</v>
      </c>
      <c r="B690">
        <v>95</v>
      </c>
    </row>
    <row r="691" spans="1:2">
      <c r="A691">
        <v>1208</v>
      </c>
      <c r="B691">
        <v>126</v>
      </c>
    </row>
    <row r="692" spans="1:2">
      <c r="A692">
        <v>1744</v>
      </c>
      <c r="B692">
        <v>109</v>
      </c>
    </row>
    <row r="693" spans="1:2">
      <c r="A693">
        <v>1188</v>
      </c>
      <c r="B693">
        <v>124</v>
      </c>
    </row>
    <row r="694" spans="1:2">
      <c r="A694">
        <v>488</v>
      </c>
      <c r="B694">
        <v>72</v>
      </c>
    </row>
    <row r="695" spans="1:2">
      <c r="A695">
        <v>507</v>
      </c>
      <c r="B695">
        <v>120</v>
      </c>
    </row>
    <row r="696" spans="1:2">
      <c r="A696">
        <v>349</v>
      </c>
      <c r="B696">
        <v>87</v>
      </c>
    </row>
    <row r="697" spans="1:2">
      <c r="A697">
        <v>1530</v>
      </c>
      <c r="B697">
        <v>104</v>
      </c>
    </row>
    <row r="698" spans="1:2">
      <c r="A698">
        <v>1025</v>
      </c>
      <c r="B698">
        <v>147</v>
      </c>
    </row>
    <row r="699" spans="1:2">
      <c r="A699">
        <v>1102</v>
      </c>
      <c r="B699">
        <v>121</v>
      </c>
    </row>
    <row r="700" spans="1:2">
      <c r="A700">
        <v>1558</v>
      </c>
      <c r="B700">
        <v>83</v>
      </c>
    </row>
    <row r="701" spans="1:2">
      <c r="A701">
        <v>1819</v>
      </c>
      <c r="B701">
        <v>200</v>
      </c>
    </row>
    <row r="702" spans="1:2">
      <c r="A702">
        <v>779</v>
      </c>
      <c r="B702">
        <v>135</v>
      </c>
    </row>
    <row r="703" spans="1:2">
      <c r="A703">
        <v>210</v>
      </c>
      <c r="B703">
        <v>107</v>
      </c>
    </row>
    <row r="704" spans="1:2">
      <c r="A704">
        <v>166</v>
      </c>
      <c r="B704">
        <v>114</v>
      </c>
    </row>
    <row r="705" spans="1:2">
      <c r="A705">
        <v>1207</v>
      </c>
      <c r="B705">
        <v>100</v>
      </c>
    </row>
    <row r="706" spans="1:2">
      <c r="A706">
        <v>1755</v>
      </c>
      <c r="B706">
        <v>65</v>
      </c>
    </row>
    <row r="707" spans="1:2">
      <c r="A707">
        <v>600</v>
      </c>
      <c r="B707">
        <v>82</v>
      </c>
    </row>
    <row r="708" spans="1:2">
      <c r="A708">
        <v>1450</v>
      </c>
      <c r="B708">
        <v>78</v>
      </c>
    </row>
    <row r="709" spans="1:2">
      <c r="A709">
        <v>1504</v>
      </c>
      <c r="B709">
        <v>101</v>
      </c>
    </row>
    <row r="710" spans="1:2">
      <c r="A710">
        <v>1306</v>
      </c>
      <c r="B710">
        <v>153</v>
      </c>
    </row>
    <row r="711" spans="1:2">
      <c r="A711">
        <v>370</v>
      </c>
      <c r="B711">
        <v>95</v>
      </c>
    </row>
    <row r="712" spans="1:2">
      <c r="A712">
        <v>411</v>
      </c>
      <c r="B712">
        <v>124</v>
      </c>
    </row>
    <row r="713" spans="1:2">
      <c r="A713">
        <v>1628</v>
      </c>
      <c r="B713">
        <v>146</v>
      </c>
    </row>
    <row r="714" spans="1:2">
      <c r="A714">
        <v>663</v>
      </c>
      <c r="B714">
        <v>81</v>
      </c>
    </row>
    <row r="715" spans="1:2">
      <c r="A715">
        <v>1245</v>
      </c>
      <c r="B715">
        <v>164</v>
      </c>
    </row>
    <row r="716" spans="1:2">
      <c r="A716">
        <v>508</v>
      </c>
      <c r="B716">
        <v>80</v>
      </c>
    </row>
    <row r="717" spans="1:2">
      <c r="A717">
        <v>843</v>
      </c>
      <c r="B717">
        <v>118</v>
      </c>
    </row>
    <row r="718" spans="1:2">
      <c r="A718">
        <v>1369</v>
      </c>
      <c r="B718">
        <v>93</v>
      </c>
    </row>
    <row r="719" spans="1:2">
      <c r="A719">
        <v>715</v>
      </c>
      <c r="B719">
        <v>108</v>
      </c>
    </row>
    <row r="720" spans="1:2">
      <c r="A720">
        <v>403</v>
      </c>
      <c r="B720">
        <v>118</v>
      </c>
    </row>
    <row r="721" spans="1:2">
      <c r="A721">
        <v>755</v>
      </c>
      <c r="B721">
        <v>82</v>
      </c>
    </row>
    <row r="722" spans="1:2">
      <c r="A722">
        <v>377</v>
      </c>
      <c r="B722">
        <v>120</v>
      </c>
    </row>
    <row r="723" spans="1:2">
      <c r="A723">
        <v>1300</v>
      </c>
      <c r="B723">
        <v>179</v>
      </c>
    </row>
    <row r="724" spans="1:2">
      <c r="A724">
        <v>1745</v>
      </c>
      <c r="B724">
        <v>115</v>
      </c>
    </row>
    <row r="725" spans="1:2">
      <c r="A725">
        <v>1033</v>
      </c>
      <c r="B725">
        <v>82</v>
      </c>
    </row>
    <row r="726" spans="1:2">
      <c r="A726">
        <v>1429</v>
      </c>
      <c r="B726">
        <v>93</v>
      </c>
    </row>
    <row r="727" spans="1:2">
      <c r="A727">
        <v>1552</v>
      </c>
      <c r="B727">
        <v>138</v>
      </c>
    </row>
    <row r="728" spans="1:2">
      <c r="A728">
        <v>292</v>
      </c>
      <c r="B728">
        <v>99</v>
      </c>
    </row>
    <row r="729" spans="1:2">
      <c r="A729">
        <v>1575</v>
      </c>
      <c r="B729">
        <v>106</v>
      </c>
    </row>
    <row r="730" spans="1:2">
      <c r="A730">
        <v>957</v>
      </c>
      <c r="B730">
        <v>110</v>
      </c>
    </row>
    <row r="731" spans="1:2">
      <c r="A731">
        <v>659</v>
      </c>
      <c r="B731">
        <v>109</v>
      </c>
    </row>
    <row r="732" spans="1:2">
      <c r="A732">
        <v>935</v>
      </c>
      <c r="B732">
        <v>98</v>
      </c>
    </row>
    <row r="733" spans="1:2">
      <c r="A733">
        <v>942</v>
      </c>
      <c r="B733">
        <v>130</v>
      </c>
    </row>
    <row r="734" spans="1:2">
      <c r="A734">
        <v>1172</v>
      </c>
      <c r="B734">
        <v>115</v>
      </c>
    </row>
    <row r="735" spans="1:2">
      <c r="A735">
        <v>1739</v>
      </c>
      <c r="B735">
        <v>117</v>
      </c>
    </row>
    <row r="736" spans="1:2">
      <c r="A736">
        <v>1012</v>
      </c>
      <c r="B736">
        <v>106</v>
      </c>
    </row>
    <row r="737" spans="1:2">
      <c r="A737">
        <v>524</v>
      </c>
      <c r="B737">
        <v>216</v>
      </c>
    </row>
    <row r="738" spans="1:2">
      <c r="A738">
        <v>597</v>
      </c>
      <c r="B738">
        <v>94</v>
      </c>
    </row>
    <row r="739" spans="1:2">
      <c r="A739">
        <v>1406</v>
      </c>
      <c r="B739">
        <v>106</v>
      </c>
    </row>
    <row r="740" spans="1:2">
      <c r="A740">
        <v>1250</v>
      </c>
      <c r="B740">
        <v>92</v>
      </c>
    </row>
    <row r="741" spans="1:2">
      <c r="A741">
        <v>1557</v>
      </c>
      <c r="B741">
        <v>137</v>
      </c>
    </row>
    <row r="742" spans="1:2">
      <c r="A742">
        <v>763</v>
      </c>
      <c r="B742">
        <v>115</v>
      </c>
    </row>
    <row r="743" spans="1:2">
      <c r="A743">
        <v>874</v>
      </c>
      <c r="B743">
        <v>120</v>
      </c>
    </row>
    <row r="744" spans="1:2">
      <c r="A744">
        <v>1058</v>
      </c>
      <c r="B744">
        <v>144</v>
      </c>
    </row>
    <row r="745" spans="1:2">
      <c r="A745">
        <v>274</v>
      </c>
      <c r="B745">
        <v>102</v>
      </c>
    </row>
    <row r="746" spans="1:2">
      <c r="A746">
        <v>536</v>
      </c>
      <c r="B746">
        <v>99</v>
      </c>
    </row>
    <row r="747" spans="1:2">
      <c r="A747">
        <v>1064</v>
      </c>
      <c r="B747">
        <v>76</v>
      </c>
    </row>
    <row r="748" spans="1:2">
      <c r="A748">
        <v>305</v>
      </c>
      <c r="B748">
        <v>91</v>
      </c>
    </row>
    <row r="749" spans="1:2">
      <c r="A749">
        <v>108</v>
      </c>
      <c r="B749">
        <v>168</v>
      </c>
    </row>
    <row r="750" spans="1:2">
      <c r="A750">
        <v>1757</v>
      </c>
      <c r="B750">
        <v>60</v>
      </c>
    </row>
    <row r="751" spans="1:2">
      <c r="A751">
        <v>1308</v>
      </c>
      <c r="B751">
        <v>81</v>
      </c>
    </row>
    <row r="752" spans="1:2">
      <c r="A752">
        <v>1707</v>
      </c>
      <c r="B752">
        <v>123</v>
      </c>
    </row>
    <row r="753" spans="1:2">
      <c r="A753">
        <v>1408</v>
      </c>
      <c r="B753">
        <v>146</v>
      </c>
    </row>
    <row r="754" spans="1:2">
      <c r="A754">
        <v>1687</v>
      </c>
      <c r="B754">
        <v>102</v>
      </c>
    </row>
    <row r="755" spans="1:2">
      <c r="A755">
        <v>1341</v>
      </c>
      <c r="B755">
        <v>150</v>
      </c>
    </row>
    <row r="756" spans="1:2">
      <c r="A756">
        <v>1217</v>
      </c>
      <c r="B756">
        <v>82</v>
      </c>
    </row>
    <row r="757" spans="1:2">
      <c r="A757">
        <v>1427</v>
      </c>
      <c r="B757">
        <v>155</v>
      </c>
    </row>
    <row r="758" spans="1:2">
      <c r="A758">
        <v>1410</v>
      </c>
      <c r="B758">
        <v>88</v>
      </c>
    </row>
    <row r="759" spans="1:2">
      <c r="A759">
        <v>955</v>
      </c>
      <c r="B759">
        <v>78</v>
      </c>
    </row>
    <row r="760" spans="1:2">
      <c r="A760">
        <v>1161</v>
      </c>
      <c r="B760">
        <v>84</v>
      </c>
    </row>
    <row r="761" spans="1:2">
      <c r="A761">
        <v>1613</v>
      </c>
      <c r="B761">
        <v>88</v>
      </c>
    </row>
    <row r="762" spans="1:2">
      <c r="A762">
        <v>1066</v>
      </c>
      <c r="B762">
        <v>147</v>
      </c>
    </row>
    <row r="763" spans="1:2">
      <c r="A763">
        <v>97</v>
      </c>
      <c r="B763">
        <v>117</v>
      </c>
    </row>
    <row r="764" spans="1:2">
      <c r="A764">
        <v>847</v>
      </c>
      <c r="B764">
        <v>75</v>
      </c>
    </row>
    <row r="765" spans="1:2">
      <c r="A765">
        <v>363</v>
      </c>
      <c r="B765">
        <v>79</v>
      </c>
    </row>
    <row r="766" spans="1:2">
      <c r="A766">
        <v>414</v>
      </c>
      <c r="B766">
        <v>160</v>
      </c>
    </row>
    <row r="767" spans="1:2">
      <c r="A767">
        <v>153</v>
      </c>
      <c r="B767">
        <v>78</v>
      </c>
    </row>
    <row r="768" spans="1:2">
      <c r="A768">
        <v>217</v>
      </c>
      <c r="B768">
        <v>125</v>
      </c>
    </row>
    <row r="769" spans="1:2">
      <c r="A769">
        <v>389</v>
      </c>
      <c r="B769">
        <v>90</v>
      </c>
    </row>
    <row r="770" spans="1:2">
      <c r="A770">
        <v>630</v>
      </c>
      <c r="B770">
        <v>100</v>
      </c>
    </row>
    <row r="771" spans="1:2">
      <c r="A771">
        <v>1734</v>
      </c>
      <c r="B771">
        <v>89</v>
      </c>
    </row>
    <row r="772" spans="1:2">
      <c r="A772">
        <v>1433</v>
      </c>
      <c r="B772">
        <v>127</v>
      </c>
    </row>
    <row r="773" spans="1:2">
      <c r="A773">
        <v>654</v>
      </c>
      <c r="B773">
        <v>88</v>
      </c>
    </row>
    <row r="774" spans="1:2">
      <c r="A774">
        <v>1004</v>
      </c>
      <c r="B774">
        <v>239</v>
      </c>
    </row>
    <row r="775" spans="1:2">
      <c r="A775">
        <v>98</v>
      </c>
      <c r="B775">
        <v>254</v>
      </c>
    </row>
    <row r="776" spans="1:2">
      <c r="A776">
        <v>1478</v>
      </c>
      <c r="B776">
        <v>92</v>
      </c>
    </row>
    <row r="777" spans="1:2">
      <c r="A777">
        <v>1767</v>
      </c>
      <c r="B777">
        <v>60</v>
      </c>
    </row>
    <row r="778" spans="1:2">
      <c r="A778">
        <v>1732</v>
      </c>
      <c r="B778">
        <v>106</v>
      </c>
    </row>
    <row r="779" spans="1:2">
      <c r="A779">
        <v>1825</v>
      </c>
      <c r="B779">
        <v>88</v>
      </c>
    </row>
    <row r="780" spans="1:2">
      <c r="A780">
        <v>553</v>
      </c>
      <c r="B780">
        <v>62</v>
      </c>
    </row>
    <row r="781" spans="1:2">
      <c r="A781">
        <v>886</v>
      </c>
      <c r="B781">
        <v>147</v>
      </c>
    </row>
    <row r="782" spans="1:2">
      <c r="A782">
        <v>1145</v>
      </c>
      <c r="B782">
        <v>157</v>
      </c>
    </row>
    <row r="783" spans="1:2">
      <c r="A783">
        <v>1285</v>
      </c>
      <c r="B783">
        <v>131</v>
      </c>
    </row>
    <row r="784" spans="1:2">
      <c r="A784">
        <v>989</v>
      </c>
      <c r="B784">
        <v>90</v>
      </c>
    </row>
    <row r="785" spans="1:2">
      <c r="A785">
        <v>1010</v>
      </c>
      <c r="B785">
        <v>63</v>
      </c>
    </row>
    <row r="786" spans="1:2">
      <c r="A786">
        <v>1116</v>
      </c>
      <c r="B786">
        <v>74</v>
      </c>
    </row>
    <row r="787" spans="1:2">
      <c r="A787">
        <v>904</v>
      </c>
      <c r="B787">
        <v>102</v>
      </c>
    </row>
    <row r="788" spans="1:2">
      <c r="A788">
        <v>300</v>
      </c>
      <c r="B788">
        <v>104</v>
      </c>
    </row>
    <row r="789" spans="1:2">
      <c r="A789">
        <v>1781</v>
      </c>
      <c r="B789">
        <v>104</v>
      </c>
    </row>
    <row r="790" spans="1:2">
      <c r="A790">
        <v>1542</v>
      </c>
      <c r="B790">
        <v>135</v>
      </c>
    </row>
    <row r="791" spans="1:2">
      <c r="A791">
        <v>1464</v>
      </c>
      <c r="B791">
        <v>78</v>
      </c>
    </row>
    <row r="792" spans="1:2">
      <c r="A792">
        <v>733</v>
      </c>
      <c r="B792">
        <v>123</v>
      </c>
    </row>
    <row r="793" spans="1:2">
      <c r="A793">
        <v>498</v>
      </c>
      <c r="B793">
        <v>108</v>
      </c>
    </row>
    <row r="794" spans="1:2">
      <c r="A794">
        <v>497</v>
      </c>
      <c r="B794">
        <v>185</v>
      </c>
    </row>
    <row r="795" spans="1:2">
      <c r="A795">
        <v>261</v>
      </c>
      <c r="B795">
        <v>125</v>
      </c>
    </row>
    <row r="796" spans="1:2">
      <c r="A796">
        <v>1700</v>
      </c>
      <c r="B796">
        <v>84</v>
      </c>
    </row>
    <row r="797" spans="1:2">
      <c r="A797">
        <v>1653</v>
      </c>
      <c r="B797">
        <v>79</v>
      </c>
    </row>
    <row r="798" spans="1:2">
      <c r="A798">
        <v>1177</v>
      </c>
      <c r="B798">
        <v>93</v>
      </c>
    </row>
    <row r="799" spans="1:2">
      <c r="A799">
        <v>178</v>
      </c>
      <c r="B799">
        <v>142</v>
      </c>
    </row>
    <row r="800" spans="1:2">
      <c r="A800">
        <v>1236</v>
      </c>
      <c r="B800">
        <v>130</v>
      </c>
    </row>
    <row r="801" spans="1:2">
      <c r="A801">
        <v>561</v>
      </c>
      <c r="B801">
        <v>210</v>
      </c>
    </row>
    <row r="802" spans="1:2">
      <c r="A802">
        <v>520</v>
      </c>
      <c r="B802">
        <v>110</v>
      </c>
    </row>
    <row r="803" spans="1:2">
      <c r="A803">
        <v>87</v>
      </c>
      <c r="B803">
        <v>106</v>
      </c>
    </row>
    <row r="804" spans="1:2">
      <c r="A804">
        <v>314</v>
      </c>
      <c r="B804">
        <v>94</v>
      </c>
    </row>
    <row r="805" spans="1:2">
      <c r="A805">
        <v>1496</v>
      </c>
      <c r="B805">
        <v>83</v>
      </c>
    </row>
    <row r="806" spans="1:2">
      <c r="A806">
        <v>1814</v>
      </c>
      <c r="B806">
        <v>120</v>
      </c>
    </row>
    <row r="807" spans="1:2">
      <c r="A807">
        <v>731</v>
      </c>
      <c r="B807">
        <v>144</v>
      </c>
    </row>
    <row r="808" spans="1:2">
      <c r="A808">
        <v>1503</v>
      </c>
      <c r="B808">
        <v>118</v>
      </c>
    </row>
    <row r="809" spans="1:2">
      <c r="A809">
        <v>1560</v>
      </c>
      <c r="B809">
        <v>122</v>
      </c>
    </row>
    <row r="810" spans="1:2">
      <c r="A810">
        <v>523</v>
      </c>
      <c r="B810">
        <v>148</v>
      </c>
    </row>
    <row r="811" spans="1:2">
      <c r="A811">
        <v>985</v>
      </c>
      <c r="B811">
        <v>102</v>
      </c>
    </row>
    <row r="812" spans="1:2">
      <c r="A812">
        <v>993</v>
      </c>
      <c r="B812">
        <v>127</v>
      </c>
    </row>
    <row r="813" spans="1:2">
      <c r="A813">
        <v>785</v>
      </c>
      <c r="B813">
        <v>93</v>
      </c>
    </row>
    <row r="814" spans="1:2">
      <c r="A814">
        <v>1212</v>
      </c>
      <c r="B814">
        <v>143</v>
      </c>
    </row>
    <row r="815" spans="1:2">
      <c r="A815">
        <v>1363</v>
      </c>
      <c r="B815">
        <v>118</v>
      </c>
    </row>
    <row r="816" spans="1:2">
      <c r="A816">
        <v>1013</v>
      </c>
      <c r="B816">
        <v>96</v>
      </c>
    </row>
    <row r="817" spans="1:2">
      <c r="A817">
        <v>1176</v>
      </c>
      <c r="B817">
        <v>130</v>
      </c>
    </row>
    <row r="818" spans="1:2">
      <c r="A818">
        <v>840</v>
      </c>
      <c r="B818">
        <v>107</v>
      </c>
    </row>
    <row r="819" spans="1:2">
      <c r="A819">
        <v>854</v>
      </c>
      <c r="B819">
        <v>80</v>
      </c>
    </row>
    <row r="820" spans="1:2">
      <c r="A820">
        <v>805</v>
      </c>
      <c r="B820">
        <v>114</v>
      </c>
    </row>
    <row r="821" spans="1:2">
      <c r="A821">
        <v>1706</v>
      </c>
      <c r="B821">
        <v>80</v>
      </c>
    </row>
    <row r="822" spans="1:2">
      <c r="A822">
        <v>340</v>
      </c>
      <c r="B822">
        <v>128</v>
      </c>
    </row>
    <row r="823" spans="1:2">
      <c r="A823">
        <v>290</v>
      </c>
      <c r="B823">
        <v>107</v>
      </c>
    </row>
    <row r="824" spans="1:2">
      <c r="A824">
        <v>445</v>
      </c>
      <c r="B824">
        <v>78</v>
      </c>
    </row>
    <row r="825" spans="1:2">
      <c r="A825">
        <v>228</v>
      </c>
      <c r="B825">
        <v>161</v>
      </c>
    </row>
    <row r="826" spans="1:2">
      <c r="A826">
        <v>192</v>
      </c>
      <c r="B826">
        <v>84</v>
      </c>
    </row>
    <row r="827" spans="1:2">
      <c r="A827">
        <v>139</v>
      </c>
      <c r="B827">
        <v>111</v>
      </c>
    </row>
    <row r="828" spans="1:2">
      <c r="A828">
        <v>1685</v>
      </c>
      <c r="B828">
        <v>98</v>
      </c>
    </row>
    <row r="829" spans="1:2">
      <c r="A829">
        <v>1372</v>
      </c>
      <c r="B829">
        <v>89</v>
      </c>
    </row>
    <row r="830" spans="1:2">
      <c r="A830">
        <v>1183</v>
      </c>
      <c r="B830">
        <v>92</v>
      </c>
    </row>
    <row r="831" spans="1:2">
      <c r="A831">
        <v>842</v>
      </c>
      <c r="B831">
        <v>108</v>
      </c>
    </row>
    <row r="832" spans="1:2">
      <c r="A832">
        <v>1134</v>
      </c>
      <c r="B832">
        <v>74</v>
      </c>
    </row>
    <row r="833" spans="1:2">
      <c r="A833">
        <v>1425</v>
      </c>
      <c r="B833">
        <v>197</v>
      </c>
    </row>
    <row r="834" spans="1:2">
      <c r="A834">
        <v>1596</v>
      </c>
      <c r="B834">
        <v>90</v>
      </c>
    </row>
    <row r="835" spans="1:2">
      <c r="A835">
        <v>1712</v>
      </c>
      <c r="B835">
        <v>74</v>
      </c>
    </row>
    <row r="836" spans="1:2">
      <c r="A836">
        <v>1345</v>
      </c>
      <c r="B836">
        <v>136</v>
      </c>
    </row>
    <row r="837" spans="1:2">
      <c r="A837">
        <v>1214</v>
      </c>
      <c r="B837">
        <v>152</v>
      </c>
    </row>
    <row r="838" spans="1:2">
      <c r="A838">
        <v>1105</v>
      </c>
      <c r="B838">
        <v>119</v>
      </c>
    </row>
    <row r="839" spans="1:2">
      <c r="A839">
        <v>1149</v>
      </c>
      <c r="B839">
        <v>142</v>
      </c>
    </row>
    <row r="840" spans="1:2">
      <c r="A840">
        <v>1604</v>
      </c>
      <c r="B840">
        <v>100</v>
      </c>
    </row>
    <row r="841" spans="1:2">
      <c r="A841">
        <v>287</v>
      </c>
      <c r="B841">
        <v>120</v>
      </c>
    </row>
    <row r="842" spans="1:2">
      <c r="A842">
        <v>440</v>
      </c>
      <c r="B842">
        <v>100</v>
      </c>
    </row>
    <row r="843" spans="1:2">
      <c r="A843">
        <v>1390</v>
      </c>
      <c r="B843">
        <v>234</v>
      </c>
    </row>
    <row r="844" spans="1:2">
      <c r="A844">
        <v>451</v>
      </c>
      <c r="B844">
        <v>130</v>
      </c>
    </row>
    <row r="845" spans="1:2">
      <c r="A845">
        <v>1353</v>
      </c>
      <c r="B845">
        <v>92</v>
      </c>
    </row>
    <row r="846" spans="1:2">
      <c r="A846">
        <v>430</v>
      </c>
      <c r="B846">
        <v>196</v>
      </c>
    </row>
    <row r="847" spans="1:2">
      <c r="A847">
        <v>638</v>
      </c>
      <c r="B847">
        <v>88</v>
      </c>
    </row>
    <row r="848" spans="1:2">
      <c r="A848">
        <v>408</v>
      </c>
      <c r="B848">
        <v>97</v>
      </c>
    </row>
    <row r="849" spans="1:2">
      <c r="A849">
        <v>777</v>
      </c>
      <c r="B849">
        <v>73</v>
      </c>
    </row>
    <row r="850" spans="1:2">
      <c r="A850">
        <v>690</v>
      </c>
      <c r="B850">
        <v>92</v>
      </c>
    </row>
    <row r="851" spans="1:2">
      <c r="A851">
        <v>391</v>
      </c>
      <c r="B851">
        <v>91</v>
      </c>
    </row>
    <row r="852" spans="1:2">
      <c r="A852">
        <v>848</v>
      </c>
      <c r="B852">
        <v>80</v>
      </c>
    </row>
    <row r="853" spans="1:2">
      <c r="A853">
        <v>571</v>
      </c>
      <c r="B853">
        <v>110</v>
      </c>
    </row>
    <row r="854" spans="1:2">
      <c r="A854">
        <v>1272</v>
      </c>
      <c r="B854">
        <v>89</v>
      </c>
    </row>
    <row r="855" spans="1:2">
      <c r="A855">
        <v>818</v>
      </c>
      <c r="B855">
        <v>120</v>
      </c>
    </row>
    <row r="856" spans="1:2">
      <c r="A856">
        <v>664</v>
      </c>
      <c r="B856">
        <v>102</v>
      </c>
    </row>
    <row r="857" spans="1:2">
      <c r="A857">
        <v>1414</v>
      </c>
      <c r="B857">
        <v>94</v>
      </c>
    </row>
    <row r="858" spans="1:2">
      <c r="A858">
        <v>729</v>
      </c>
      <c r="B858">
        <v>79</v>
      </c>
    </row>
    <row r="859" spans="1:2">
      <c r="A859">
        <v>1550</v>
      </c>
      <c r="B859">
        <v>121</v>
      </c>
    </row>
    <row r="860" spans="1:2">
      <c r="A860">
        <v>645</v>
      </c>
      <c r="B860">
        <v>168</v>
      </c>
    </row>
    <row r="861" spans="1:2">
      <c r="A861">
        <v>1097</v>
      </c>
      <c r="B861">
        <v>79</v>
      </c>
    </row>
    <row r="862" spans="1:2">
      <c r="A862">
        <v>216</v>
      </c>
      <c r="B862">
        <v>118</v>
      </c>
    </row>
    <row r="863" spans="1:2">
      <c r="A863">
        <v>1031</v>
      </c>
      <c r="B863">
        <v>87</v>
      </c>
    </row>
    <row r="864" spans="1:2">
      <c r="A864">
        <v>1195</v>
      </c>
      <c r="B864">
        <v>163</v>
      </c>
    </row>
    <row r="865" spans="1:2">
      <c r="A865">
        <v>624</v>
      </c>
      <c r="B865">
        <v>100</v>
      </c>
    </row>
    <row r="866" spans="1:2">
      <c r="A866">
        <v>1154</v>
      </c>
      <c r="B866">
        <v>132</v>
      </c>
    </row>
    <row r="867" spans="1:2">
      <c r="A867">
        <v>1112</v>
      </c>
      <c r="B867">
        <v>86</v>
      </c>
    </row>
    <row r="868" spans="1:2">
      <c r="A868">
        <v>1661</v>
      </c>
      <c r="B868">
        <v>98</v>
      </c>
    </row>
    <row r="869" spans="1:2">
      <c r="A869">
        <v>1378</v>
      </c>
      <c r="B869">
        <v>90</v>
      </c>
    </row>
    <row r="870" spans="1:2">
      <c r="A870">
        <v>1553</v>
      </c>
      <c r="B870">
        <v>139</v>
      </c>
    </row>
    <row r="871" spans="1:2">
      <c r="A871">
        <v>1563</v>
      </c>
      <c r="B871">
        <v>84</v>
      </c>
    </row>
    <row r="872" spans="1:2">
      <c r="A872">
        <v>434</v>
      </c>
      <c r="B872">
        <v>72</v>
      </c>
    </row>
    <row r="873" spans="1:2">
      <c r="A873">
        <v>421</v>
      </c>
      <c r="B873">
        <v>80</v>
      </c>
    </row>
    <row r="874" spans="1:2">
      <c r="A874">
        <v>220</v>
      </c>
      <c r="B874">
        <v>82</v>
      </c>
    </row>
    <row r="875" spans="1:2">
      <c r="A875">
        <v>311</v>
      </c>
      <c r="B875">
        <v>113</v>
      </c>
    </row>
    <row r="876" spans="1:2">
      <c r="A876">
        <v>592</v>
      </c>
      <c r="B876">
        <v>150</v>
      </c>
    </row>
    <row r="877" spans="1:2">
      <c r="A877">
        <v>552</v>
      </c>
      <c r="B877">
        <v>88</v>
      </c>
    </row>
    <row r="878" spans="1:2">
      <c r="A878">
        <v>1534</v>
      </c>
      <c r="B878">
        <v>168</v>
      </c>
    </row>
    <row r="879" spans="1:2">
      <c r="A879">
        <v>1413</v>
      </c>
      <c r="B879">
        <v>100</v>
      </c>
    </row>
    <row r="880" spans="1:2">
      <c r="A880">
        <v>958</v>
      </c>
      <c r="B880">
        <v>56</v>
      </c>
    </row>
    <row r="881" spans="1:2">
      <c r="A881">
        <v>1234</v>
      </c>
      <c r="B881">
        <v>176</v>
      </c>
    </row>
    <row r="882" spans="1:2">
      <c r="A882">
        <v>1777</v>
      </c>
      <c r="B882">
        <v>114</v>
      </c>
    </row>
    <row r="883" spans="1:2">
      <c r="A883">
        <v>1671</v>
      </c>
      <c r="B883">
        <v>121</v>
      </c>
    </row>
    <row r="884" spans="1:2">
      <c r="A884">
        <v>559</v>
      </c>
      <c r="B884">
        <v>63</v>
      </c>
    </row>
    <row r="885" spans="1:2">
      <c r="A885">
        <v>1076</v>
      </c>
      <c r="B885">
        <v>114</v>
      </c>
    </row>
    <row r="886" spans="1:2">
      <c r="A886">
        <v>1699</v>
      </c>
      <c r="B886">
        <v>120</v>
      </c>
    </row>
    <row r="887" spans="1:2">
      <c r="A887">
        <v>80</v>
      </c>
      <c r="B887">
        <v>97</v>
      </c>
    </row>
    <row r="888" spans="1:2">
      <c r="A888">
        <v>894</v>
      </c>
      <c r="B888">
        <v>138</v>
      </c>
    </row>
    <row r="889" spans="1:2">
      <c r="A889">
        <v>1773</v>
      </c>
      <c r="B889">
        <v>90</v>
      </c>
    </row>
    <row r="890" spans="1:2">
      <c r="A890">
        <v>1817</v>
      </c>
      <c r="B890">
        <v>130</v>
      </c>
    </row>
    <row r="891" spans="1:2">
      <c r="A891">
        <v>728</v>
      </c>
      <c r="B891">
        <v>115</v>
      </c>
    </row>
    <row r="892" spans="1:2">
      <c r="A892">
        <v>680</v>
      </c>
      <c r="B892">
        <v>181</v>
      </c>
    </row>
    <row r="893" spans="1:2">
      <c r="A893">
        <v>607</v>
      </c>
      <c r="B893">
        <v>150</v>
      </c>
    </row>
    <row r="894" spans="1:2">
      <c r="A894">
        <v>260</v>
      </c>
      <c r="B894">
        <v>95</v>
      </c>
    </row>
    <row r="895" spans="1:2">
      <c r="A895">
        <v>1028</v>
      </c>
      <c r="B895">
        <v>130</v>
      </c>
    </row>
    <row r="896" spans="1:2">
      <c r="A896">
        <v>1050</v>
      </c>
      <c r="B896">
        <v>151</v>
      </c>
    </row>
    <row r="897" spans="1:2">
      <c r="A897">
        <v>545</v>
      </c>
      <c r="B897">
        <v>65</v>
      </c>
    </row>
    <row r="898" spans="1:2">
      <c r="A898">
        <v>668</v>
      </c>
      <c r="B898">
        <v>102</v>
      </c>
    </row>
    <row r="899" spans="1:2">
      <c r="A899">
        <v>1140</v>
      </c>
      <c r="B899">
        <v>213</v>
      </c>
    </row>
    <row r="900" spans="1:2">
      <c r="A900">
        <v>1620</v>
      </c>
      <c r="B900">
        <v>134</v>
      </c>
    </row>
    <row r="901" spans="1:2">
      <c r="A901">
        <v>1790</v>
      </c>
      <c r="B901">
        <v>176</v>
      </c>
    </row>
    <row r="902" spans="1:2">
      <c r="A902">
        <v>1526</v>
      </c>
      <c r="B902">
        <v>124</v>
      </c>
    </row>
    <row r="903" spans="1:2">
      <c r="A903">
        <v>293</v>
      </c>
      <c r="B903">
        <v>154</v>
      </c>
    </row>
    <row r="904" spans="1:2">
      <c r="A904">
        <v>648</v>
      </c>
      <c r="B904">
        <v>90</v>
      </c>
    </row>
    <row r="905" spans="1:2">
      <c r="A905">
        <v>865</v>
      </c>
      <c r="B905">
        <v>90</v>
      </c>
    </row>
    <row r="906" spans="1:2">
      <c r="A906">
        <v>485</v>
      </c>
      <c r="B906">
        <v>226</v>
      </c>
    </row>
    <row r="907" spans="1:2">
      <c r="A907">
        <v>213</v>
      </c>
      <c r="B907">
        <v>160</v>
      </c>
    </row>
    <row r="908" spans="1:2">
      <c r="A908">
        <v>226</v>
      </c>
      <c r="B908">
        <v>154</v>
      </c>
    </row>
    <row r="909" spans="1:2">
      <c r="A909">
        <v>1139</v>
      </c>
      <c r="B909">
        <v>81</v>
      </c>
    </row>
    <row r="910" spans="1:2">
      <c r="A910">
        <v>328</v>
      </c>
      <c r="B910">
        <v>108</v>
      </c>
    </row>
    <row r="911" spans="1:2">
      <c r="A911">
        <v>248</v>
      </c>
      <c r="B911">
        <v>175</v>
      </c>
    </row>
    <row r="912" spans="1:2">
      <c r="A912">
        <v>1532</v>
      </c>
      <c r="B912">
        <v>83</v>
      </c>
    </row>
    <row r="913" spans="1:2">
      <c r="A913">
        <v>1480</v>
      </c>
      <c r="B913">
        <v>80</v>
      </c>
    </row>
    <row r="914" spans="1:2">
      <c r="A914">
        <v>669</v>
      </c>
      <c r="B914">
        <v>85</v>
      </c>
    </row>
    <row r="915" spans="1:2">
      <c r="A915">
        <v>558</v>
      </c>
      <c r="B915">
        <v>90</v>
      </c>
    </row>
    <row r="916" spans="1:2">
      <c r="A916">
        <v>547</v>
      </c>
      <c r="B916">
        <v>96</v>
      </c>
    </row>
    <row r="917" spans="1:2">
      <c r="A917">
        <v>1457</v>
      </c>
      <c r="B917">
        <v>151</v>
      </c>
    </row>
    <row r="918" spans="1:2">
      <c r="A918">
        <v>505</v>
      </c>
      <c r="B918">
        <v>124</v>
      </c>
    </row>
    <row r="919" spans="1:2">
      <c r="A919">
        <v>135</v>
      </c>
      <c r="B919">
        <v>144</v>
      </c>
    </row>
    <row r="920" spans="1:2">
      <c r="A920">
        <v>1243</v>
      </c>
      <c r="B920">
        <v>79</v>
      </c>
    </row>
    <row r="921" spans="1:2">
      <c r="A921">
        <v>72</v>
      </c>
      <c r="B921">
        <v>89</v>
      </c>
    </row>
    <row r="922" spans="1:2">
      <c r="A922">
        <v>334</v>
      </c>
      <c r="B922">
        <v>109</v>
      </c>
    </row>
    <row r="923" spans="1:2">
      <c r="A923">
        <v>1223</v>
      </c>
      <c r="B923">
        <v>99</v>
      </c>
    </row>
    <row r="924" spans="1:2">
      <c r="A924">
        <v>1753</v>
      </c>
      <c r="B924">
        <v>125</v>
      </c>
    </row>
    <row r="925" spans="1:2">
      <c r="A925">
        <v>1201</v>
      </c>
      <c r="B925">
        <v>111</v>
      </c>
    </row>
    <row r="926" spans="1:2">
      <c r="A926">
        <v>1144</v>
      </c>
      <c r="B926">
        <v>126</v>
      </c>
    </row>
    <row r="927" spans="1:2">
      <c r="A927">
        <v>62</v>
      </c>
      <c r="B927">
        <v>228</v>
      </c>
    </row>
    <row r="928" spans="1:2">
      <c r="A928">
        <v>310</v>
      </c>
      <c r="B928">
        <v>120</v>
      </c>
    </row>
    <row r="929" spans="1:2">
      <c r="A929">
        <v>154</v>
      </c>
      <c r="B929">
        <v>105</v>
      </c>
    </row>
    <row r="930" spans="1:2">
      <c r="A930">
        <v>753</v>
      </c>
      <c r="B930">
        <v>145</v>
      </c>
    </row>
    <row r="931" spans="1:2">
      <c r="A931">
        <v>945</v>
      </c>
      <c r="B931">
        <v>97</v>
      </c>
    </row>
    <row r="932" spans="1:2">
      <c r="A932">
        <v>1242</v>
      </c>
      <c r="B932">
        <v>399</v>
      </c>
    </row>
    <row r="933" spans="1:2">
      <c r="A933">
        <v>912</v>
      </c>
      <c r="B933">
        <v>163</v>
      </c>
    </row>
    <row r="934" spans="1:2">
      <c r="A934">
        <v>615</v>
      </c>
      <c r="B934">
        <v>132</v>
      </c>
    </row>
    <row r="935" spans="1:2">
      <c r="A935">
        <v>1763</v>
      </c>
      <c r="B935">
        <v>144</v>
      </c>
    </row>
    <row r="936" spans="1:2">
      <c r="A936">
        <v>1728</v>
      </c>
      <c r="B936">
        <v>124</v>
      </c>
    </row>
    <row r="937" spans="1:2">
      <c r="A937">
        <v>402</v>
      </c>
      <c r="B937">
        <v>86</v>
      </c>
    </row>
    <row r="938" spans="1:2">
      <c r="A938">
        <v>351</v>
      </c>
      <c r="B938">
        <v>136</v>
      </c>
    </row>
    <row r="939" spans="1:2">
      <c r="A939">
        <v>1167</v>
      </c>
      <c r="B939">
        <v>137</v>
      </c>
    </row>
    <row r="940" spans="1:2">
      <c r="A940">
        <v>1735</v>
      </c>
      <c r="B940">
        <v>153</v>
      </c>
    </row>
    <row r="941" spans="1:2">
      <c r="A941">
        <v>1717</v>
      </c>
      <c r="B941">
        <v>94</v>
      </c>
    </row>
    <row r="942" spans="1:2">
      <c r="A942">
        <v>1612</v>
      </c>
      <c r="B942">
        <v>134</v>
      </c>
    </row>
    <row r="943" spans="1:2">
      <c r="A943">
        <v>1338</v>
      </c>
      <c r="B943">
        <v>89</v>
      </c>
    </row>
    <row r="944" spans="1:2">
      <c r="A944">
        <v>322</v>
      </c>
      <c r="B944">
        <v>88</v>
      </c>
    </row>
    <row r="945" spans="1:2">
      <c r="A945">
        <v>1125</v>
      </c>
      <c r="B945">
        <v>100</v>
      </c>
    </row>
    <row r="946" spans="1:2">
      <c r="A946">
        <v>346</v>
      </c>
      <c r="B946">
        <v>100</v>
      </c>
    </row>
    <row r="947" spans="1:2">
      <c r="A947">
        <v>362</v>
      </c>
      <c r="B947">
        <v>103</v>
      </c>
    </row>
    <row r="948" spans="1:2">
      <c r="A948">
        <v>526</v>
      </c>
      <c r="B948">
        <v>104</v>
      </c>
    </row>
    <row r="949" spans="1:2">
      <c r="A949">
        <v>525</v>
      </c>
      <c r="B949">
        <v>115</v>
      </c>
    </row>
    <row r="950" spans="1:2">
      <c r="A950">
        <v>784</v>
      </c>
      <c r="B950">
        <v>94</v>
      </c>
    </row>
    <row r="951" spans="1:2">
      <c r="A951">
        <v>776</v>
      </c>
      <c r="B951">
        <v>65</v>
      </c>
    </row>
    <row r="952" spans="1:2">
      <c r="A952">
        <v>720</v>
      </c>
      <c r="B952">
        <v>106</v>
      </c>
    </row>
    <row r="953" spans="1:2">
      <c r="A953">
        <v>1061</v>
      </c>
      <c r="B953">
        <v>77</v>
      </c>
    </row>
    <row r="954" spans="1:2">
      <c r="A954">
        <v>788</v>
      </c>
      <c r="B954">
        <v>77</v>
      </c>
    </row>
    <row r="955" spans="1:2">
      <c r="A955">
        <v>838</v>
      </c>
      <c r="B955">
        <v>156</v>
      </c>
    </row>
    <row r="956" spans="1:2">
      <c r="A956">
        <v>555</v>
      </c>
      <c r="B956">
        <v>130</v>
      </c>
    </row>
    <row r="957" spans="1:2">
      <c r="A957">
        <v>1640</v>
      </c>
      <c r="B957">
        <v>111</v>
      </c>
    </row>
    <row r="958" spans="1:2">
      <c r="A958">
        <v>1823</v>
      </c>
      <c r="B958">
        <v>125</v>
      </c>
    </row>
    <row r="959" spans="1:2">
      <c r="A959">
        <v>762</v>
      </c>
      <c r="B959">
        <v>120</v>
      </c>
    </row>
    <row r="960" spans="1:2">
      <c r="A960">
        <v>827</v>
      </c>
      <c r="B960">
        <v>109</v>
      </c>
    </row>
    <row r="961" spans="1:2">
      <c r="A961">
        <v>771</v>
      </c>
      <c r="B961">
        <v>74</v>
      </c>
    </row>
    <row r="962" spans="1:2">
      <c r="A962">
        <v>976</v>
      </c>
      <c r="B962">
        <v>88</v>
      </c>
    </row>
    <row r="963" spans="1:2">
      <c r="A963">
        <v>997</v>
      </c>
      <c r="B963">
        <v>93</v>
      </c>
    </row>
    <row r="964" spans="1:2">
      <c r="A964">
        <v>817</v>
      </c>
      <c r="B964">
        <v>91</v>
      </c>
    </row>
    <row r="965" spans="1:2">
      <c r="A965">
        <v>902</v>
      </c>
      <c r="B965">
        <v>90</v>
      </c>
    </row>
    <row r="966" spans="1:2">
      <c r="A966">
        <v>549</v>
      </c>
      <c r="B966">
        <v>135</v>
      </c>
    </row>
    <row r="967" spans="1:2">
      <c r="A967">
        <v>1722</v>
      </c>
      <c r="B967">
        <v>107</v>
      </c>
    </row>
    <row r="968" spans="1:2">
      <c r="A968">
        <v>1821</v>
      </c>
      <c r="B968">
        <v>155</v>
      </c>
    </row>
    <row r="969" spans="1:2">
      <c r="A969">
        <v>1782</v>
      </c>
      <c r="B969">
        <v>97</v>
      </c>
    </row>
    <row r="970" spans="1:2">
      <c r="A970">
        <v>1499</v>
      </c>
      <c r="B970">
        <v>94</v>
      </c>
    </row>
    <row r="971" spans="1:2">
      <c r="A971">
        <v>1791</v>
      </c>
      <c r="B971">
        <v>245</v>
      </c>
    </row>
    <row r="972" spans="1:2">
      <c r="A972">
        <v>1467</v>
      </c>
      <c r="B972">
        <v>73</v>
      </c>
    </row>
    <row r="973" spans="1:2">
      <c r="A973">
        <v>1608</v>
      </c>
      <c r="B973">
        <v>150</v>
      </c>
    </row>
    <row r="974" spans="1:2">
      <c r="A974">
        <v>812</v>
      </c>
      <c r="B974">
        <v>200</v>
      </c>
    </row>
    <row r="975" spans="1:2">
      <c r="A975">
        <v>979</v>
      </c>
      <c r="B975">
        <v>84</v>
      </c>
    </row>
    <row r="976" spans="1:2">
      <c r="A976">
        <v>857</v>
      </c>
      <c r="B976">
        <v>76</v>
      </c>
    </row>
    <row r="977" spans="1:2">
      <c r="A977">
        <v>1601</v>
      </c>
      <c r="B977">
        <v>83</v>
      </c>
    </row>
    <row r="978" spans="1:2">
      <c r="A978">
        <v>1073</v>
      </c>
      <c r="B978">
        <v>75</v>
      </c>
    </row>
    <row r="979" spans="1:2">
      <c r="A979">
        <v>196</v>
      </c>
      <c r="B979">
        <v>151</v>
      </c>
    </row>
    <row r="980" spans="1:2">
      <c r="A980">
        <v>188</v>
      </c>
      <c r="B980">
        <v>97</v>
      </c>
    </row>
    <row r="981" spans="1:2">
      <c r="A981">
        <v>76</v>
      </c>
      <c r="B981">
        <v>121</v>
      </c>
    </row>
    <row r="982" spans="1:2">
      <c r="A982">
        <v>1463</v>
      </c>
      <c r="B982">
        <v>199</v>
      </c>
    </row>
    <row r="983" spans="1:2">
      <c r="A983">
        <v>1479</v>
      </c>
      <c r="B983">
        <v>79</v>
      </c>
    </row>
    <row r="984" spans="1:2">
      <c r="A984">
        <v>631</v>
      </c>
      <c r="B984">
        <v>164</v>
      </c>
    </row>
    <row r="985" spans="1:2">
      <c r="A985">
        <v>1677</v>
      </c>
      <c r="B985">
        <v>71</v>
      </c>
    </row>
    <row r="986" spans="1:2">
      <c r="A986">
        <v>19</v>
      </c>
      <c r="B986">
        <v>253</v>
      </c>
    </row>
    <row r="987" spans="1:2">
      <c r="A987">
        <v>390</v>
      </c>
      <c r="B987">
        <v>113</v>
      </c>
    </row>
    <row r="988" spans="1:2">
      <c r="A988">
        <v>967</v>
      </c>
      <c r="B988">
        <v>81</v>
      </c>
    </row>
    <row r="989" spans="1:2">
      <c r="A989">
        <v>490</v>
      </c>
      <c r="B989">
        <v>82</v>
      </c>
    </row>
    <row r="990" spans="1:2">
      <c r="A990">
        <v>766</v>
      </c>
      <c r="B990">
        <v>83</v>
      </c>
    </row>
    <row r="991" spans="1:2">
      <c r="A991">
        <v>456</v>
      </c>
      <c r="B991">
        <v>94</v>
      </c>
    </row>
    <row r="992" spans="1:2">
      <c r="A992">
        <v>265</v>
      </c>
      <c r="B992">
        <v>66</v>
      </c>
    </row>
    <row r="993" spans="1:2">
      <c r="A993">
        <v>354</v>
      </c>
      <c r="B993">
        <v>91</v>
      </c>
    </row>
    <row r="994" spans="1:2">
      <c r="A994">
        <v>219</v>
      </c>
      <c r="B994">
        <v>90</v>
      </c>
    </row>
    <row r="995" spans="1:2">
      <c r="A995">
        <v>1253</v>
      </c>
      <c r="B995">
        <v>123</v>
      </c>
    </row>
    <row r="996" spans="1:2">
      <c r="A996">
        <v>752</v>
      </c>
      <c r="B996">
        <v>80</v>
      </c>
    </row>
    <row r="997" spans="1:2">
      <c r="A997">
        <v>1254</v>
      </c>
      <c r="B997">
        <v>333</v>
      </c>
    </row>
    <row r="998" spans="1:2">
      <c r="A998">
        <v>295</v>
      </c>
      <c r="B998">
        <v>110</v>
      </c>
    </row>
    <row r="999" spans="1:2">
      <c r="A999">
        <v>133</v>
      </c>
      <c r="B999">
        <v>84</v>
      </c>
    </row>
    <row r="1000" spans="1:2">
      <c r="A1000">
        <v>1470</v>
      </c>
      <c r="B1000">
        <v>99</v>
      </c>
    </row>
    <row r="1001" spans="1:2">
      <c r="A1001">
        <v>1582</v>
      </c>
      <c r="B1001">
        <v>130</v>
      </c>
    </row>
    <row r="1002" spans="1:2">
      <c r="A1002">
        <v>596</v>
      </c>
      <c r="B1002">
        <v>91</v>
      </c>
    </row>
    <row r="1003" spans="1:2">
      <c r="A1003">
        <v>18</v>
      </c>
      <c r="B1003">
        <v>232</v>
      </c>
    </row>
    <row r="1004" spans="1:2">
      <c r="A1004">
        <v>1294</v>
      </c>
      <c r="B1004">
        <v>91</v>
      </c>
    </row>
    <row r="1005" spans="1:2">
      <c r="A1005">
        <v>99</v>
      </c>
      <c r="B1005">
        <v>102</v>
      </c>
    </row>
    <row r="1006" spans="1:2">
      <c r="A1006">
        <v>790</v>
      </c>
      <c r="B1006">
        <v>106</v>
      </c>
    </row>
    <row r="1007" spans="1:2">
      <c r="A1007">
        <v>1296</v>
      </c>
      <c r="B1007">
        <v>112</v>
      </c>
    </row>
    <row r="1008" spans="1:2">
      <c r="A1008">
        <v>1356</v>
      </c>
      <c r="B1008">
        <v>80</v>
      </c>
    </row>
    <row r="1009" spans="1:2">
      <c r="A1009">
        <v>794</v>
      </c>
      <c r="B1009">
        <v>85</v>
      </c>
    </row>
    <row r="1010" spans="1:2">
      <c r="A1010">
        <v>891</v>
      </c>
      <c r="B1010">
        <v>117</v>
      </c>
    </row>
    <row r="1011" spans="1:2">
      <c r="A1011">
        <v>74</v>
      </c>
      <c r="B1011">
        <v>111</v>
      </c>
    </row>
    <row r="1012" spans="1:2">
      <c r="A1012">
        <v>1164</v>
      </c>
      <c r="B1012">
        <v>125</v>
      </c>
    </row>
    <row r="1013" spans="1:2">
      <c r="A1013">
        <v>392</v>
      </c>
      <c r="B1013">
        <v>116</v>
      </c>
    </row>
    <row r="1014" spans="1:2">
      <c r="A1014">
        <v>1519</v>
      </c>
      <c r="B1014">
        <v>83</v>
      </c>
    </row>
    <row r="1015" spans="1:2">
      <c r="A1015">
        <v>1754</v>
      </c>
      <c r="B1015">
        <v>98</v>
      </c>
    </row>
    <row r="1016" spans="1:2">
      <c r="A1016">
        <v>911</v>
      </c>
      <c r="B1016">
        <v>136</v>
      </c>
    </row>
    <row r="1017" spans="1:2">
      <c r="A1017">
        <v>868</v>
      </c>
      <c r="B1017">
        <v>130</v>
      </c>
    </row>
    <row r="1018" spans="1:2">
      <c r="A1018">
        <v>1749</v>
      </c>
      <c r="B1018">
        <v>106</v>
      </c>
    </row>
    <row r="1019" spans="1:2">
      <c r="A1019">
        <v>1342</v>
      </c>
      <c r="B1019">
        <v>118</v>
      </c>
    </row>
    <row r="1020" spans="1:2">
      <c r="A1020">
        <v>1402</v>
      </c>
      <c r="B1020">
        <v>214</v>
      </c>
    </row>
    <row r="1021" spans="1:2">
      <c r="A1021">
        <v>207</v>
      </c>
      <c r="B1021">
        <v>107</v>
      </c>
    </row>
    <row r="1022" spans="1:2">
      <c r="A1022">
        <v>115</v>
      </c>
      <c r="B1022">
        <v>83</v>
      </c>
    </row>
    <row r="1023" spans="1:2">
      <c r="A1023">
        <v>500</v>
      </c>
      <c r="B1023">
        <v>196</v>
      </c>
    </row>
    <row r="1024" spans="1:2">
      <c r="A1024">
        <v>616</v>
      </c>
      <c r="B1024">
        <v>100</v>
      </c>
    </row>
    <row r="1025" spans="1:2">
      <c r="A1025">
        <v>626</v>
      </c>
      <c r="B1025">
        <v>81</v>
      </c>
    </row>
    <row r="1026" spans="1:2">
      <c r="A1026">
        <v>768</v>
      </c>
      <c r="B1026">
        <v>129</v>
      </c>
    </row>
    <row r="1027" spans="1:2">
      <c r="A1027">
        <v>1434</v>
      </c>
      <c r="B1027">
        <v>135</v>
      </c>
    </row>
    <row r="1028" spans="1:2">
      <c r="A1028">
        <v>1034</v>
      </c>
      <c r="B1028">
        <v>146</v>
      </c>
    </row>
    <row r="1029" spans="1:2">
      <c r="A1029">
        <v>191</v>
      </c>
      <c r="B1029">
        <v>88</v>
      </c>
    </row>
    <row r="1030" spans="1:2">
      <c r="A1030">
        <v>236</v>
      </c>
      <c r="B1030">
        <v>95</v>
      </c>
    </row>
    <row r="1031" spans="1:2">
      <c r="A1031">
        <v>1382</v>
      </c>
      <c r="B1031">
        <v>105</v>
      </c>
    </row>
    <row r="1032" spans="1:2">
      <c r="A1032">
        <v>249</v>
      </c>
      <c r="B1032">
        <v>80</v>
      </c>
    </row>
    <row r="1033" spans="1:2">
      <c r="A1033">
        <v>1099</v>
      </c>
      <c r="B1033">
        <v>113</v>
      </c>
    </row>
    <row r="1034" spans="1:2">
      <c r="A1034">
        <v>1021</v>
      </c>
      <c r="B1034">
        <v>110</v>
      </c>
    </row>
    <row r="1035" spans="1:2">
      <c r="A1035">
        <v>756</v>
      </c>
      <c r="B1035">
        <v>202</v>
      </c>
    </row>
    <row r="1036" spans="1:2">
      <c r="A1036">
        <v>143</v>
      </c>
      <c r="B1036">
        <v>87</v>
      </c>
    </row>
    <row r="1037" spans="1:2">
      <c r="A1037">
        <v>1326</v>
      </c>
      <c r="B1037">
        <v>99</v>
      </c>
    </row>
    <row r="1038" spans="1:2">
      <c r="A1038">
        <v>1200</v>
      </c>
      <c r="B1038">
        <v>227</v>
      </c>
    </row>
    <row r="1039" spans="1:2">
      <c r="A1039">
        <v>1320</v>
      </c>
      <c r="B1039">
        <v>148</v>
      </c>
    </row>
    <row r="1040" spans="1:2">
      <c r="A1040">
        <v>1458</v>
      </c>
      <c r="B1040">
        <v>84</v>
      </c>
    </row>
    <row r="1041" spans="1:2">
      <c r="A1041">
        <v>940</v>
      </c>
      <c r="B1041">
        <v>103</v>
      </c>
    </row>
    <row r="1042" spans="1:2">
      <c r="A1042">
        <v>939</v>
      </c>
      <c r="B1042">
        <v>81</v>
      </c>
    </row>
    <row r="1043" spans="1:2">
      <c r="A1043">
        <v>1524</v>
      </c>
      <c r="B1043">
        <v>78</v>
      </c>
    </row>
    <row r="1044" spans="1:2">
      <c r="A1044">
        <v>1571</v>
      </c>
      <c r="B1044">
        <v>90</v>
      </c>
    </row>
    <row r="1045" spans="1:2">
      <c r="A1045">
        <v>512</v>
      </c>
      <c r="B1045">
        <v>88</v>
      </c>
    </row>
    <row r="1046" spans="1:2">
      <c r="A1046">
        <v>176</v>
      </c>
      <c r="B1046">
        <v>82</v>
      </c>
    </row>
    <row r="1047" spans="1:2">
      <c r="A1047">
        <v>862</v>
      </c>
      <c r="B1047">
        <v>152</v>
      </c>
    </row>
    <row r="1048" spans="1:2">
      <c r="A1048">
        <v>786</v>
      </c>
      <c r="B1048">
        <v>124</v>
      </c>
    </row>
    <row r="1049" spans="1:2">
      <c r="A1049">
        <v>588</v>
      </c>
      <c r="B1049">
        <v>96</v>
      </c>
    </row>
    <row r="1050" spans="1:2">
      <c r="A1050">
        <v>1507</v>
      </c>
      <c r="B1050">
        <v>103</v>
      </c>
    </row>
    <row r="1051" spans="1:2">
      <c r="A1051">
        <v>565</v>
      </c>
      <c r="B1051">
        <v>137</v>
      </c>
    </row>
    <row r="1052" spans="1:2">
      <c r="A1052">
        <v>483</v>
      </c>
      <c r="B1052">
        <v>100</v>
      </c>
    </row>
    <row r="1053" spans="1:2">
      <c r="A1053">
        <v>353</v>
      </c>
      <c r="B1053">
        <v>92</v>
      </c>
    </row>
    <row r="1054" spans="1:2">
      <c r="A1054">
        <v>783</v>
      </c>
      <c r="B1054">
        <v>78</v>
      </c>
    </row>
    <row r="1055" spans="1:2">
      <c r="A1055">
        <v>1198</v>
      </c>
      <c r="B1055">
        <v>159</v>
      </c>
    </row>
    <row r="1056" spans="1:2">
      <c r="A1056">
        <v>233</v>
      </c>
      <c r="B1056">
        <v>108</v>
      </c>
    </row>
    <row r="1057" spans="1:2">
      <c r="A1057">
        <v>1611</v>
      </c>
      <c r="B1057">
        <v>94</v>
      </c>
    </row>
    <row r="1058" spans="1:2">
      <c r="A1058">
        <v>959</v>
      </c>
      <c r="B1058">
        <v>81</v>
      </c>
    </row>
    <row r="1059" spans="1:2">
      <c r="A1059">
        <v>159</v>
      </c>
      <c r="B1059">
        <v>158</v>
      </c>
    </row>
    <row r="1060" spans="1:2">
      <c r="A1060">
        <v>1564</v>
      </c>
      <c r="B1060">
        <v>90</v>
      </c>
    </row>
    <row r="1061" spans="1:2">
      <c r="A1061">
        <v>936</v>
      </c>
      <c r="B1061">
        <v>98</v>
      </c>
    </row>
    <row r="1062" spans="1:2">
      <c r="A1062">
        <v>1315</v>
      </c>
      <c r="B1062">
        <v>96</v>
      </c>
    </row>
    <row r="1063" spans="1:2">
      <c r="A1063">
        <v>1060</v>
      </c>
      <c r="B1063">
        <v>123</v>
      </c>
    </row>
    <row r="1064" spans="1:2">
      <c r="A1064">
        <v>1278</v>
      </c>
      <c r="B1064">
        <v>116</v>
      </c>
    </row>
    <row r="1065" spans="1:2">
      <c r="A1065">
        <v>1576</v>
      </c>
      <c r="B1065">
        <v>74</v>
      </c>
    </row>
    <row r="1066" spans="1:2">
      <c r="A1066">
        <v>1362</v>
      </c>
      <c r="B1066">
        <v>84</v>
      </c>
    </row>
    <row r="1067" spans="1:2">
      <c r="A1067">
        <v>325</v>
      </c>
      <c r="B1067">
        <v>113</v>
      </c>
    </row>
    <row r="1068" spans="1:2">
      <c r="A1068">
        <v>578</v>
      </c>
      <c r="B1068">
        <v>90</v>
      </c>
    </row>
    <row r="1069" spans="1:2">
      <c r="A1069">
        <v>409</v>
      </c>
      <c r="B1069">
        <v>86</v>
      </c>
    </row>
    <row r="1070" spans="1:2">
      <c r="A1070">
        <v>247</v>
      </c>
      <c r="B1070">
        <v>82</v>
      </c>
    </row>
    <row r="1071" spans="1:2">
      <c r="A1071">
        <v>455</v>
      </c>
      <c r="B1071">
        <v>99</v>
      </c>
    </row>
    <row r="1072" spans="1:2">
      <c r="A1072">
        <v>106</v>
      </c>
      <c r="B1072">
        <v>90</v>
      </c>
    </row>
    <row r="1073" spans="1:2">
      <c r="A1073">
        <v>1219</v>
      </c>
      <c r="B1073">
        <v>117</v>
      </c>
    </row>
    <row r="1074" spans="1:2">
      <c r="A1074">
        <v>223</v>
      </c>
      <c r="B1074">
        <v>118</v>
      </c>
    </row>
    <row r="1075" spans="1:2">
      <c r="A1075">
        <v>897</v>
      </c>
      <c r="B1075">
        <v>84</v>
      </c>
    </row>
    <row r="1076" spans="1:2">
      <c r="A1076">
        <v>195</v>
      </c>
      <c r="B1076">
        <v>73</v>
      </c>
    </row>
    <row r="1077" spans="1:2">
      <c r="A1077">
        <v>1678</v>
      </c>
      <c r="B1077">
        <v>90</v>
      </c>
    </row>
    <row r="1078" spans="1:2">
      <c r="A1078">
        <v>1210</v>
      </c>
      <c r="B1078">
        <v>115</v>
      </c>
    </row>
    <row r="1079" spans="1:2">
      <c r="A1079">
        <v>741</v>
      </c>
      <c r="B1079">
        <v>106</v>
      </c>
    </row>
    <row r="1080" spans="1:2">
      <c r="A1080">
        <v>397</v>
      </c>
      <c r="B1080">
        <v>94</v>
      </c>
    </row>
    <row r="1081" spans="1:2">
      <c r="A1081">
        <v>686</v>
      </c>
      <c r="B1081">
        <v>128</v>
      </c>
    </row>
    <row r="1082" spans="1:2">
      <c r="A1082">
        <v>1520</v>
      </c>
      <c r="B1082">
        <v>128</v>
      </c>
    </row>
    <row r="1083" spans="1:2">
      <c r="A1083">
        <v>1709</v>
      </c>
      <c r="B1083">
        <v>94</v>
      </c>
    </row>
    <row r="1084" spans="1:2">
      <c r="A1084">
        <v>1447</v>
      </c>
      <c r="B1084">
        <v>115</v>
      </c>
    </row>
    <row r="1085" spans="1:2">
      <c r="A1085">
        <v>869</v>
      </c>
      <c r="B1085">
        <v>92</v>
      </c>
    </row>
    <row r="1086" spans="1:2">
      <c r="A1086">
        <v>1684</v>
      </c>
      <c r="B1086">
        <v>170</v>
      </c>
    </row>
    <row r="1087" spans="1:2">
      <c r="A1087">
        <v>791</v>
      </c>
      <c r="B1087">
        <v>72</v>
      </c>
    </row>
    <row r="1088" spans="1:2">
      <c r="A1088">
        <v>665</v>
      </c>
      <c r="B1088">
        <v>82</v>
      </c>
    </row>
    <row r="1089" spans="1:2">
      <c r="A1089">
        <v>404</v>
      </c>
      <c r="B1089">
        <v>124</v>
      </c>
    </row>
    <row r="1090" spans="1:2">
      <c r="A1090">
        <v>564</v>
      </c>
      <c r="B1090">
        <v>62</v>
      </c>
    </row>
    <row r="1091" spans="1:2">
      <c r="A1091">
        <v>1491</v>
      </c>
      <c r="B1091">
        <v>92</v>
      </c>
    </row>
    <row r="1092" spans="1:2">
      <c r="A1092">
        <v>732</v>
      </c>
      <c r="B1092">
        <v>101</v>
      </c>
    </row>
    <row r="1093" spans="1:2">
      <c r="A1093">
        <v>522</v>
      </c>
      <c r="B1093">
        <v>114</v>
      </c>
    </row>
    <row r="1094" spans="1:2">
      <c r="A1094">
        <v>361</v>
      </c>
      <c r="B1094">
        <v>75</v>
      </c>
    </row>
    <row r="1095" spans="1:2">
      <c r="A1095">
        <v>1453</v>
      </c>
      <c r="B1095">
        <v>109</v>
      </c>
    </row>
    <row r="1096" spans="1:2">
      <c r="A1096">
        <v>369</v>
      </c>
      <c r="B1096">
        <v>120</v>
      </c>
    </row>
    <row r="1097" spans="1:2">
      <c r="A1097">
        <v>792</v>
      </c>
      <c r="B1097">
        <v>150</v>
      </c>
    </row>
    <row r="1098" spans="1:2">
      <c r="A1098">
        <v>1729</v>
      </c>
      <c r="B1098">
        <v>173</v>
      </c>
    </row>
    <row r="1099" spans="1:2">
      <c r="A1099">
        <v>930</v>
      </c>
      <c r="B1099">
        <v>83</v>
      </c>
    </row>
    <row r="1100" spans="1:2">
      <c r="A1100">
        <v>1186</v>
      </c>
      <c r="B1100">
        <v>132</v>
      </c>
    </row>
    <row r="1101" spans="1:2">
      <c r="A1101">
        <v>980</v>
      </c>
      <c r="B1101">
        <v>60</v>
      </c>
    </row>
    <row r="1102" spans="1:2">
      <c r="A1102">
        <v>1323</v>
      </c>
      <c r="B1102">
        <v>115</v>
      </c>
    </row>
    <row r="1103" spans="1:2">
      <c r="A1103">
        <v>961</v>
      </c>
      <c r="B1103">
        <v>63</v>
      </c>
    </row>
    <row r="1104" spans="1:2">
      <c r="A1104">
        <v>1572</v>
      </c>
      <c r="B1104">
        <v>122</v>
      </c>
    </row>
    <row r="1105" spans="1:2">
      <c r="A1105">
        <v>1252</v>
      </c>
      <c r="B1105">
        <v>239</v>
      </c>
    </row>
    <row r="1106" spans="1:2">
      <c r="A1106">
        <v>701</v>
      </c>
      <c r="B1106">
        <v>95</v>
      </c>
    </row>
    <row r="1107" spans="1:2">
      <c r="A1107">
        <v>1328</v>
      </c>
      <c r="B1107">
        <v>120</v>
      </c>
    </row>
    <row r="1108" spans="1:2">
      <c r="A1108">
        <v>787</v>
      </c>
      <c r="B1108">
        <v>121</v>
      </c>
    </row>
    <row r="1109" spans="1:2">
      <c r="A1109">
        <v>1416</v>
      </c>
      <c r="B1109">
        <v>143</v>
      </c>
    </row>
    <row r="1110" spans="1:2">
      <c r="A1110">
        <v>1017</v>
      </c>
      <c r="B1110">
        <v>63</v>
      </c>
    </row>
    <row r="1111" spans="1:2">
      <c r="A1111">
        <v>1194</v>
      </c>
      <c r="B1111">
        <v>125</v>
      </c>
    </row>
    <row r="1112" spans="1:2">
      <c r="A1112">
        <v>518</v>
      </c>
      <c r="B1112">
        <v>96</v>
      </c>
    </row>
    <row r="1113" spans="1:2">
      <c r="A1113">
        <v>1330</v>
      </c>
      <c r="B1113">
        <v>94</v>
      </c>
    </row>
    <row r="1114" spans="1:2">
      <c r="A1114">
        <v>1020</v>
      </c>
      <c r="B1114">
        <v>87</v>
      </c>
    </row>
    <row r="1115" spans="1:2">
      <c r="A1115">
        <v>469</v>
      </c>
      <c r="B1115">
        <v>94</v>
      </c>
    </row>
    <row r="1116" spans="1:2">
      <c r="A1116">
        <v>132</v>
      </c>
      <c r="B1116">
        <v>115</v>
      </c>
    </row>
    <row r="1117" spans="1:2">
      <c r="A1117">
        <v>1578</v>
      </c>
      <c r="B1117">
        <v>124</v>
      </c>
    </row>
    <row r="1118" spans="1:2">
      <c r="A1118">
        <v>681</v>
      </c>
      <c r="B1118">
        <v>80</v>
      </c>
    </row>
    <row r="1119" spans="1:2">
      <c r="A1119">
        <v>533</v>
      </c>
      <c r="B1119">
        <v>118</v>
      </c>
    </row>
    <row r="1120" spans="1:2">
      <c r="A1120">
        <v>610</v>
      </c>
      <c r="B1120">
        <v>164</v>
      </c>
    </row>
    <row r="1121" spans="1:2">
      <c r="A1121">
        <v>927</v>
      </c>
      <c r="B1121">
        <v>121</v>
      </c>
    </row>
    <row r="1122" spans="1:2">
      <c r="A1122">
        <v>1094</v>
      </c>
      <c r="B1122">
        <v>108</v>
      </c>
    </row>
    <row r="1123" spans="1:2">
      <c r="A1123">
        <v>618</v>
      </c>
      <c r="B1123">
        <v>110</v>
      </c>
    </row>
    <row r="1124" spans="1:2">
      <c r="A1124">
        <v>585</v>
      </c>
      <c r="B1124">
        <v>152</v>
      </c>
    </row>
    <row r="1125" spans="1:2">
      <c r="A1125">
        <v>542</v>
      </c>
      <c r="B1125">
        <v>85</v>
      </c>
    </row>
    <row r="1126" spans="1:2">
      <c r="A1126">
        <v>537</v>
      </c>
      <c r="B1126">
        <v>112</v>
      </c>
    </row>
    <row r="1127" spans="1:2">
      <c r="A1127">
        <v>739</v>
      </c>
      <c r="B1127">
        <v>76</v>
      </c>
    </row>
    <row r="1128" spans="1:2">
      <c r="A1128">
        <v>124</v>
      </c>
      <c r="B1128">
        <v>3</v>
      </c>
    </row>
    <row r="1129" spans="1:2">
      <c r="A1129">
        <v>870</v>
      </c>
      <c r="B1129">
        <v>176</v>
      </c>
    </row>
    <row r="1130" spans="1:2">
      <c r="A1130">
        <v>264</v>
      </c>
      <c r="B1130">
        <v>80</v>
      </c>
    </row>
    <row r="1131" spans="1:2">
      <c r="A1131">
        <v>1226</v>
      </c>
      <c r="B1131">
        <v>85</v>
      </c>
    </row>
    <row r="1132" spans="1:2">
      <c r="A1132">
        <v>360</v>
      </c>
      <c r="B1132">
        <v>75</v>
      </c>
    </row>
    <row r="1133" spans="1:2">
      <c r="A1133">
        <v>1445</v>
      </c>
      <c r="B1133">
        <v>112</v>
      </c>
    </row>
    <row r="1134" spans="1:2">
      <c r="A1134">
        <v>1087</v>
      </c>
      <c r="B1134">
        <v>90</v>
      </c>
    </row>
    <row r="1135" spans="1:2">
      <c r="A1135">
        <v>1374</v>
      </c>
      <c r="B1135">
        <v>136</v>
      </c>
    </row>
    <row r="1136" spans="1:2">
      <c r="A1136">
        <v>780</v>
      </c>
      <c r="B1136">
        <v>86</v>
      </c>
    </row>
    <row r="1137" spans="1:2">
      <c r="A1137">
        <v>667</v>
      </c>
      <c r="B1137">
        <v>80</v>
      </c>
    </row>
    <row r="1138" spans="1:2">
      <c r="A1138">
        <v>569</v>
      </c>
      <c r="B1138">
        <v>125</v>
      </c>
    </row>
    <row r="1139" spans="1:2">
      <c r="A1139">
        <v>852</v>
      </c>
      <c r="B1139">
        <v>62</v>
      </c>
    </row>
    <row r="1140" spans="1:2">
      <c r="A1140">
        <v>1415</v>
      </c>
      <c r="B1140">
        <v>137</v>
      </c>
    </row>
    <row r="1141" spans="1:2">
      <c r="A1141">
        <v>875</v>
      </c>
      <c r="B1141">
        <v>145</v>
      </c>
    </row>
    <row r="1142" spans="1:2">
      <c r="A1142">
        <v>1559</v>
      </c>
      <c r="B1142">
        <v>130</v>
      </c>
    </row>
    <row r="1143" spans="1:2">
      <c r="A1143">
        <v>905</v>
      </c>
      <c r="B1143">
        <v>120</v>
      </c>
    </row>
    <row r="1144" spans="1:2">
      <c r="A1144">
        <v>830</v>
      </c>
      <c r="B1144">
        <v>106</v>
      </c>
    </row>
    <row r="1145" spans="1:2">
      <c r="A1145">
        <v>738</v>
      </c>
      <c r="B1145">
        <v>90</v>
      </c>
    </row>
    <row r="1146" spans="1:2">
      <c r="A1146">
        <v>1686</v>
      </c>
      <c r="B1146">
        <v>118</v>
      </c>
    </row>
    <row r="1147" spans="1:2">
      <c r="A1147">
        <v>1193</v>
      </c>
      <c r="B1147">
        <v>103</v>
      </c>
    </row>
    <row r="1148" spans="1:2">
      <c r="A1148">
        <v>1173</v>
      </c>
      <c r="B1148">
        <v>284</v>
      </c>
    </row>
    <row r="1149" spans="1:2">
      <c r="A1149">
        <v>966</v>
      </c>
      <c r="B1149">
        <v>81</v>
      </c>
    </row>
    <row r="1150" spans="1:2">
      <c r="A1150">
        <v>1455</v>
      </c>
      <c r="B1150">
        <v>93</v>
      </c>
    </row>
    <row r="1151" spans="1:2">
      <c r="A1151">
        <v>708</v>
      </c>
      <c r="B1151">
        <v>172</v>
      </c>
    </row>
    <row r="1152" spans="1:2">
      <c r="A1152">
        <v>152</v>
      </c>
      <c r="B1152">
        <v>84</v>
      </c>
    </row>
    <row r="1153" spans="1:2">
      <c r="A1153">
        <v>419</v>
      </c>
      <c r="B1153">
        <v>76</v>
      </c>
    </row>
    <row r="1154" spans="1:2">
      <c r="A1154">
        <v>1384</v>
      </c>
      <c r="B1154">
        <v>122</v>
      </c>
    </row>
    <row r="1155" spans="1:2">
      <c r="A1155">
        <v>1725</v>
      </c>
      <c r="B1155">
        <v>76</v>
      </c>
    </row>
    <row r="1156" spans="1:2">
      <c r="A1156">
        <v>650</v>
      </c>
      <c r="B1156">
        <v>116</v>
      </c>
    </row>
    <row r="1157" spans="1:2">
      <c r="A1157">
        <v>1736</v>
      </c>
      <c r="B1157">
        <v>131</v>
      </c>
    </row>
    <row r="1158" spans="1:2">
      <c r="A1158">
        <v>1148</v>
      </c>
      <c r="B1158">
        <v>107</v>
      </c>
    </row>
    <row r="1159" spans="1:2">
      <c r="A1159">
        <v>502</v>
      </c>
      <c r="B1159">
        <v>113</v>
      </c>
    </row>
    <row r="1160" spans="1:2">
      <c r="A1160">
        <v>767</v>
      </c>
      <c r="B1160">
        <v>107</v>
      </c>
    </row>
    <row r="1161" spans="1:2">
      <c r="A1161">
        <v>828</v>
      </c>
      <c r="B1161">
        <v>102</v>
      </c>
    </row>
    <row r="1162" spans="1:2">
      <c r="A1162">
        <v>1260</v>
      </c>
      <c r="B1162">
        <v>150</v>
      </c>
    </row>
    <row r="1163" spans="1:2">
      <c r="A1163">
        <v>614</v>
      </c>
      <c r="B1163">
        <v>120</v>
      </c>
    </row>
    <row r="1164" spans="1:2">
      <c r="A1164">
        <v>1008</v>
      </c>
      <c r="B1164">
        <v>76</v>
      </c>
    </row>
    <row r="1165" spans="1:2">
      <c r="A1165">
        <v>1048</v>
      </c>
      <c r="B1165">
        <v>87</v>
      </c>
    </row>
    <row r="1166" spans="1:2">
      <c r="A1166">
        <v>1359</v>
      </c>
      <c r="B1166">
        <v>129</v>
      </c>
    </row>
    <row r="1167" spans="1:2">
      <c r="A1167">
        <v>1256</v>
      </c>
      <c r="B1167">
        <v>127</v>
      </c>
    </row>
    <row r="1168" spans="1:2">
      <c r="A1168">
        <v>1206</v>
      </c>
      <c r="B1168">
        <v>140</v>
      </c>
    </row>
    <row r="1169" spans="1:2">
      <c r="A1169">
        <v>495</v>
      </c>
      <c r="B1169">
        <v>113</v>
      </c>
    </row>
    <row r="1170" spans="1:2">
      <c r="A1170">
        <v>1325</v>
      </c>
      <c r="B1170">
        <v>118</v>
      </c>
    </row>
    <row r="1171" spans="1:2">
      <c r="A1171">
        <v>357</v>
      </c>
      <c r="B1171">
        <v>126</v>
      </c>
    </row>
    <row r="1172" spans="1:2">
      <c r="A1172">
        <v>563</v>
      </c>
      <c r="B1172">
        <v>120</v>
      </c>
    </row>
    <row r="1173" spans="1:2">
      <c r="A1173">
        <v>700</v>
      </c>
      <c r="B1173">
        <v>126</v>
      </c>
    </row>
    <row r="1174" spans="1:2">
      <c r="A1174">
        <v>922</v>
      </c>
      <c r="B1174">
        <v>78</v>
      </c>
    </row>
    <row r="1175" spans="1:2">
      <c r="A1175">
        <v>443</v>
      </c>
      <c r="B1175">
        <v>100</v>
      </c>
    </row>
    <row r="1176" spans="1:2">
      <c r="A1176">
        <v>208</v>
      </c>
      <c r="B1176">
        <v>230</v>
      </c>
    </row>
    <row r="1177" spans="1:2">
      <c r="A1177">
        <v>821</v>
      </c>
      <c r="B1177">
        <v>102</v>
      </c>
    </row>
    <row r="1178" spans="1:2">
      <c r="A1178">
        <v>1209</v>
      </c>
      <c r="B1178">
        <v>165</v>
      </c>
    </row>
    <row r="1179" spans="1:2">
      <c r="A1179">
        <v>1637</v>
      </c>
      <c r="B1179">
        <v>144</v>
      </c>
    </row>
    <row r="1180" spans="1:2">
      <c r="A1180">
        <v>744</v>
      </c>
      <c r="B1180">
        <v>124</v>
      </c>
    </row>
    <row r="1181" spans="1:2">
      <c r="A1181">
        <v>1131</v>
      </c>
      <c r="B1181">
        <v>83</v>
      </c>
    </row>
    <row r="1182" spans="1:2">
      <c r="A1182">
        <v>150</v>
      </c>
      <c r="B1182">
        <v>107</v>
      </c>
    </row>
    <row r="1183" spans="1:2">
      <c r="A1183">
        <v>330</v>
      </c>
      <c r="B1183">
        <v>78</v>
      </c>
    </row>
    <row r="1184" spans="1:2">
      <c r="A1184">
        <v>710</v>
      </c>
      <c r="B1184">
        <v>119</v>
      </c>
    </row>
    <row r="1185" spans="1:2">
      <c r="A1185">
        <v>1016</v>
      </c>
      <c r="B1185">
        <v>232</v>
      </c>
    </row>
    <row r="1186" spans="1:2">
      <c r="A1186">
        <v>1036</v>
      </c>
      <c r="B1186">
        <v>110</v>
      </c>
    </row>
    <row r="1187" spans="1:2">
      <c r="A1187">
        <v>778</v>
      </c>
      <c r="B1187">
        <v>91</v>
      </c>
    </row>
    <row r="1188" spans="1:2">
      <c r="A1188">
        <v>1205</v>
      </c>
      <c r="B1188">
        <v>149</v>
      </c>
    </row>
    <row r="1189" spans="1:2">
      <c r="A1189">
        <v>1783</v>
      </c>
      <c r="B1189">
        <v>124</v>
      </c>
    </row>
    <row r="1190" spans="1:2">
      <c r="A1190">
        <v>251</v>
      </c>
      <c r="B1190">
        <v>142</v>
      </c>
    </row>
    <row r="1191" spans="1:2">
      <c r="A1191">
        <v>994</v>
      </c>
      <c r="B1191">
        <v>74</v>
      </c>
    </row>
    <row r="1192" spans="1:2">
      <c r="A1192">
        <v>796</v>
      </c>
      <c r="B1192">
        <v>103</v>
      </c>
    </row>
    <row r="1193" spans="1:2">
      <c r="A1193">
        <v>575</v>
      </c>
      <c r="B1193">
        <v>109</v>
      </c>
    </row>
    <row r="1194" spans="1:2">
      <c r="A1194">
        <v>656</v>
      </c>
      <c r="B1194">
        <v>120</v>
      </c>
    </row>
    <row r="1195" spans="1:2">
      <c r="A1195">
        <v>1784</v>
      </c>
      <c r="B1195">
        <v>130</v>
      </c>
    </row>
    <row r="1196" spans="1:2">
      <c r="A1196">
        <v>1247</v>
      </c>
      <c r="B1196">
        <v>162</v>
      </c>
    </row>
    <row r="1197" spans="1:2">
      <c r="A1197">
        <v>1152</v>
      </c>
      <c r="B1197">
        <v>88</v>
      </c>
    </row>
    <row r="1198" spans="1:2">
      <c r="A1198">
        <v>1752</v>
      </c>
      <c r="B1198">
        <v>54</v>
      </c>
    </row>
    <row r="1199" spans="1:2">
      <c r="A1199">
        <v>317</v>
      </c>
      <c r="B1199">
        <v>97</v>
      </c>
    </row>
    <row r="1200" spans="1:2">
      <c r="A1200">
        <v>1301</v>
      </c>
      <c r="B1200">
        <v>252</v>
      </c>
    </row>
    <row r="1201" spans="1:2">
      <c r="A1201">
        <v>1153</v>
      </c>
      <c r="B1201">
        <v>168</v>
      </c>
    </row>
    <row r="1202" spans="1:2">
      <c r="A1202">
        <v>1295</v>
      </c>
      <c r="B1202">
        <v>102</v>
      </c>
    </row>
    <row r="1203" spans="1:2">
      <c r="A1203">
        <v>382</v>
      </c>
      <c r="B1203">
        <v>100</v>
      </c>
    </row>
    <row r="1204" spans="1:2">
      <c r="A1204">
        <v>309</v>
      </c>
      <c r="B1204">
        <v>78</v>
      </c>
    </row>
    <row r="1205" spans="1:2">
      <c r="A1205">
        <v>348</v>
      </c>
      <c r="B1205">
        <v>103</v>
      </c>
    </row>
    <row r="1206" spans="1:2">
      <c r="A1206">
        <v>1291</v>
      </c>
      <c r="B1206">
        <v>132</v>
      </c>
    </row>
    <row r="1207" spans="1:2">
      <c r="A1207">
        <v>1347</v>
      </c>
      <c r="B1207">
        <v>81</v>
      </c>
    </row>
    <row r="1208" spans="1:2">
      <c r="A1208">
        <v>1766</v>
      </c>
      <c r="B1208">
        <v>90</v>
      </c>
    </row>
    <row r="1209" spans="1:2">
      <c r="A1209">
        <v>1202</v>
      </c>
      <c r="B1209">
        <v>89</v>
      </c>
    </row>
    <row r="1210" spans="1:2">
      <c r="A1210">
        <v>1409</v>
      </c>
      <c r="B1210">
        <v>156</v>
      </c>
    </row>
    <row r="1211" spans="1:2">
      <c r="A1211">
        <v>302</v>
      </c>
      <c r="B1211">
        <v>80</v>
      </c>
    </row>
    <row r="1212" spans="1:2">
      <c r="A1212">
        <v>160</v>
      </c>
      <c r="B1212">
        <v>82</v>
      </c>
    </row>
    <row r="1213" spans="1:2">
      <c r="A1213">
        <v>462</v>
      </c>
      <c r="B1213">
        <v>97</v>
      </c>
    </row>
    <row r="1214" spans="1:2">
      <c r="A1214">
        <v>1037</v>
      </c>
      <c r="B1214">
        <v>81</v>
      </c>
    </row>
    <row r="1215" spans="1:2">
      <c r="A1215">
        <v>867</v>
      </c>
      <c r="B1215">
        <v>127</v>
      </c>
    </row>
    <row r="1216" spans="1:2">
      <c r="A1216">
        <v>185</v>
      </c>
      <c r="B1216">
        <v>91</v>
      </c>
    </row>
    <row r="1217" spans="1:2">
      <c r="A1217">
        <v>169</v>
      </c>
      <c r="B1217">
        <v>92</v>
      </c>
    </row>
    <row r="1218" spans="1:2">
      <c r="A1218">
        <v>1473</v>
      </c>
      <c r="B1218">
        <v>88</v>
      </c>
    </row>
    <row r="1219" spans="1:2">
      <c r="A1219">
        <v>1543</v>
      </c>
      <c r="B1219">
        <v>122</v>
      </c>
    </row>
    <row r="1220" spans="1:2">
      <c r="A1220">
        <v>688</v>
      </c>
      <c r="B1220">
        <v>103</v>
      </c>
    </row>
    <row r="1221" spans="1:2">
      <c r="A1221">
        <v>1147</v>
      </c>
      <c r="B1221">
        <v>187</v>
      </c>
    </row>
    <row r="1222" spans="1:2">
      <c r="A1222">
        <v>504</v>
      </c>
      <c r="B1222">
        <v>135</v>
      </c>
    </row>
    <row r="1223" spans="1:2">
      <c r="A1223">
        <v>165</v>
      </c>
      <c r="B1223">
        <v>104</v>
      </c>
    </row>
    <row r="1224" spans="1:2">
      <c r="A1224">
        <v>620</v>
      </c>
      <c r="B1224">
        <v>98</v>
      </c>
    </row>
    <row r="1225" spans="1:2">
      <c r="A1225">
        <v>1407</v>
      </c>
      <c r="B1225">
        <v>122</v>
      </c>
    </row>
    <row r="1226" spans="1:2">
      <c r="A1226">
        <v>1541</v>
      </c>
      <c r="B1226">
        <v>86</v>
      </c>
    </row>
    <row r="1227" spans="1:2">
      <c r="A1227">
        <v>1679</v>
      </c>
      <c r="B1227">
        <v>93</v>
      </c>
    </row>
    <row r="1228" spans="1:2">
      <c r="A1228">
        <v>515</v>
      </c>
      <c r="B1228">
        <v>142</v>
      </c>
    </row>
    <row r="1229" spans="1:2">
      <c r="A1229">
        <v>1812</v>
      </c>
      <c r="B1229">
        <v>97</v>
      </c>
    </row>
    <row r="1230" spans="1:2">
      <c r="A1230">
        <v>1057</v>
      </c>
      <c r="B1230">
        <v>98</v>
      </c>
    </row>
    <row r="1231" spans="1:2">
      <c r="A1231">
        <v>595</v>
      </c>
      <c r="B1231">
        <v>250</v>
      </c>
    </row>
    <row r="1232" spans="1:2">
      <c r="A1232">
        <v>1289</v>
      </c>
      <c r="B1232">
        <v>105</v>
      </c>
    </row>
    <row r="1233" spans="1:2">
      <c r="A1233">
        <v>606</v>
      </c>
      <c r="B1233">
        <v>81</v>
      </c>
    </row>
    <row r="1234" spans="1:2">
      <c r="A1234">
        <v>1698</v>
      </c>
      <c r="B1234">
        <v>99</v>
      </c>
    </row>
    <row r="1235" spans="1:2">
      <c r="A1235">
        <v>299</v>
      </c>
      <c r="B1235">
        <v>157</v>
      </c>
    </row>
    <row r="1236" spans="1:2">
      <c r="A1236">
        <v>1521</v>
      </c>
      <c r="B1236">
        <v>90</v>
      </c>
    </row>
    <row r="1237" spans="1:2">
      <c r="A1237">
        <v>435</v>
      </c>
      <c r="B1237">
        <v>130</v>
      </c>
    </row>
    <row r="1238" spans="1:2">
      <c r="A1238">
        <v>1404</v>
      </c>
      <c r="B1238">
        <v>108</v>
      </c>
    </row>
    <row r="1239" spans="1:2">
      <c r="A1239">
        <v>131</v>
      </c>
      <c r="B1239">
        <v>5</v>
      </c>
    </row>
    <row r="1240" spans="1:2">
      <c r="A1240">
        <v>687</v>
      </c>
      <c r="B1240">
        <v>88</v>
      </c>
    </row>
    <row r="1241" spans="1:2">
      <c r="A1241">
        <v>1111</v>
      </c>
      <c r="B1241">
        <v>115</v>
      </c>
    </row>
    <row r="1242" spans="1:2">
      <c r="A1242">
        <v>263</v>
      </c>
      <c r="B1242">
        <v>85</v>
      </c>
    </row>
    <row r="1243" spans="1:2">
      <c r="A1243">
        <v>612</v>
      </c>
      <c r="B1243">
        <v>100</v>
      </c>
    </row>
    <row r="1244" spans="1:2">
      <c r="A1244">
        <v>1277</v>
      </c>
      <c r="B1244">
        <v>128</v>
      </c>
    </row>
    <row r="1245" spans="1:2">
      <c r="A1245">
        <v>647</v>
      </c>
      <c r="B1245">
        <v>96</v>
      </c>
    </row>
    <row r="1246" spans="1:2">
      <c r="A1246">
        <v>644</v>
      </c>
      <c r="B1246">
        <v>99</v>
      </c>
    </row>
    <row r="1247" spans="1:2">
      <c r="A1247">
        <v>660</v>
      </c>
      <c r="B1247">
        <v>125</v>
      </c>
    </row>
    <row r="1248" spans="1:2">
      <c r="A1248">
        <v>327</v>
      </c>
      <c r="B1248">
        <v>82</v>
      </c>
    </row>
    <row r="1249" spans="1:2">
      <c r="A1249">
        <v>1269</v>
      </c>
      <c r="B1249">
        <v>80</v>
      </c>
    </row>
    <row r="1250" spans="1:2">
      <c r="A1250">
        <v>1517</v>
      </c>
      <c r="B1250">
        <v>82</v>
      </c>
    </row>
    <row r="1251" spans="1:2">
      <c r="A1251">
        <v>1129</v>
      </c>
      <c r="B1251">
        <v>133</v>
      </c>
    </row>
    <row r="1252" spans="1:2">
      <c r="A1252">
        <v>860</v>
      </c>
      <c r="B1252">
        <v>82</v>
      </c>
    </row>
    <row r="1253" spans="1:2">
      <c r="A1253">
        <v>816</v>
      </c>
      <c r="B1253">
        <v>110</v>
      </c>
    </row>
    <row r="1254" spans="1:2">
      <c r="A1254">
        <v>1049</v>
      </c>
      <c r="B1254">
        <v>82</v>
      </c>
    </row>
    <row r="1255" spans="1:2">
      <c r="A1255">
        <v>276</v>
      </c>
      <c r="B1255">
        <v>64</v>
      </c>
    </row>
    <row r="1256" spans="1:2">
      <c r="A1256">
        <v>245</v>
      </c>
      <c r="B1256">
        <v>77</v>
      </c>
    </row>
    <row r="1257" spans="1:2">
      <c r="A1257">
        <v>30</v>
      </c>
      <c r="B1257">
        <v>14</v>
      </c>
    </row>
    <row r="1258" spans="1:2">
      <c r="A1258">
        <v>1802</v>
      </c>
      <c r="B1258">
        <v>93</v>
      </c>
    </row>
    <row r="1259" spans="1:2">
      <c r="A1259">
        <v>977</v>
      </c>
      <c r="B1259">
        <v>198</v>
      </c>
    </row>
    <row r="1260" spans="1:2">
      <c r="A1260">
        <v>209</v>
      </c>
      <c r="B1260">
        <v>184</v>
      </c>
    </row>
    <row r="1261" spans="1:2">
      <c r="A1261">
        <v>336</v>
      </c>
      <c r="B1261">
        <v>114</v>
      </c>
    </row>
    <row r="1262" spans="1:2">
      <c r="A1262">
        <v>1095</v>
      </c>
      <c r="B1262">
        <v>126</v>
      </c>
    </row>
    <row r="1263" spans="1:2">
      <c r="A1263">
        <v>1132</v>
      </c>
      <c r="B1263">
        <v>130</v>
      </c>
    </row>
    <row r="1264" spans="1:2">
      <c r="A1264">
        <v>306</v>
      </c>
      <c r="B1264">
        <v>88</v>
      </c>
    </row>
    <row r="1265" spans="1:2">
      <c r="A1265">
        <v>506</v>
      </c>
      <c r="B1265">
        <v>120</v>
      </c>
    </row>
    <row r="1266" spans="1:2">
      <c r="A1266">
        <v>464</v>
      </c>
      <c r="B1266">
        <v>116</v>
      </c>
    </row>
    <row r="1267" spans="1:2">
      <c r="A1267">
        <v>513</v>
      </c>
      <c r="B1267">
        <v>100</v>
      </c>
    </row>
    <row r="1268" spans="1:2">
      <c r="A1268">
        <v>1074</v>
      </c>
      <c r="B1268">
        <v>80</v>
      </c>
    </row>
    <row r="1269" spans="1:2">
      <c r="A1269">
        <v>530</v>
      </c>
      <c r="B1269">
        <v>88</v>
      </c>
    </row>
    <row r="1270" spans="1:2">
      <c r="A1270">
        <v>999</v>
      </c>
      <c r="B1270">
        <v>189</v>
      </c>
    </row>
    <row r="1271" spans="1:2">
      <c r="A1271">
        <v>100</v>
      </c>
      <c r="B1271">
        <v>125</v>
      </c>
    </row>
    <row r="1272" spans="1:2">
      <c r="A1272">
        <v>1279</v>
      </c>
      <c r="B1272">
        <v>132</v>
      </c>
    </row>
    <row r="1273" spans="1:2">
      <c r="A1273">
        <v>190</v>
      </c>
      <c r="B1273">
        <v>90</v>
      </c>
    </row>
    <row r="1274" spans="1:2">
      <c r="A1274">
        <v>1284</v>
      </c>
      <c r="B1274">
        <v>84</v>
      </c>
    </row>
    <row r="1275" spans="1:2">
      <c r="A1275">
        <v>416</v>
      </c>
      <c r="B1275">
        <v>101</v>
      </c>
    </row>
    <row r="1276" spans="1:2">
      <c r="A1276">
        <v>1477</v>
      </c>
      <c r="B1276">
        <v>205</v>
      </c>
    </row>
    <row r="1277" spans="1:2">
      <c r="A1277">
        <v>765</v>
      </c>
      <c r="B1277">
        <v>172</v>
      </c>
    </row>
    <row r="1278" spans="1:2">
      <c r="A1278">
        <v>31</v>
      </c>
      <c r="B1278">
        <v>8</v>
      </c>
    </row>
    <row r="1279" spans="1:2">
      <c r="A1279">
        <v>484</v>
      </c>
      <c r="B1279">
        <v>88</v>
      </c>
    </row>
    <row r="1280" spans="1:2">
      <c r="A1280">
        <v>706</v>
      </c>
      <c r="B1280">
        <v>92</v>
      </c>
    </row>
    <row r="1281" spans="1:2">
      <c r="A1281">
        <v>1565</v>
      </c>
      <c r="B1281">
        <v>92</v>
      </c>
    </row>
    <row r="1282" spans="1:2">
      <c r="A1282">
        <v>259</v>
      </c>
      <c r="B1282">
        <v>78</v>
      </c>
    </row>
    <row r="1283" spans="1:2">
      <c r="A1283">
        <v>682</v>
      </c>
      <c r="B1283">
        <v>126</v>
      </c>
    </row>
    <row r="1284" spans="1:2">
      <c r="A1284">
        <v>1224</v>
      </c>
      <c r="B1284">
        <v>104</v>
      </c>
    </row>
    <row r="1285" spans="1:2">
      <c r="A1285">
        <v>1304</v>
      </c>
      <c r="B1285">
        <v>121</v>
      </c>
    </row>
    <row r="1286" spans="1:2">
      <c r="A1286">
        <v>1634</v>
      </c>
      <c r="B1286">
        <v>128</v>
      </c>
    </row>
    <row r="1287" spans="1:2">
      <c r="A1287">
        <v>1079</v>
      </c>
      <c r="B1287">
        <v>90</v>
      </c>
    </row>
    <row r="1288" spans="1:2">
      <c r="A1288">
        <v>457</v>
      </c>
      <c r="B1288">
        <v>127</v>
      </c>
    </row>
    <row r="1289" spans="1:2">
      <c r="A1289">
        <v>268</v>
      </c>
      <c r="B1289">
        <v>83</v>
      </c>
    </row>
    <row r="1290" spans="1:2">
      <c r="A1290">
        <v>671</v>
      </c>
      <c r="B1290">
        <v>81</v>
      </c>
    </row>
    <row r="1291" spans="1:2">
      <c r="A1291">
        <v>1528</v>
      </c>
      <c r="B1291">
        <v>78</v>
      </c>
    </row>
    <row r="1292" spans="1:2">
      <c r="A1292">
        <v>1189</v>
      </c>
      <c r="B1292">
        <v>129</v>
      </c>
    </row>
    <row r="1293" spans="1:2">
      <c r="A1293">
        <v>285</v>
      </c>
      <c r="B1293">
        <v>92</v>
      </c>
    </row>
    <row r="1294" spans="1:2">
      <c r="A1294">
        <v>405</v>
      </c>
      <c r="B1294">
        <v>96</v>
      </c>
    </row>
    <row r="1295" spans="1:2">
      <c r="A1295">
        <v>560</v>
      </c>
      <c r="B1295">
        <v>125</v>
      </c>
    </row>
    <row r="1296" spans="1:2">
      <c r="A1296">
        <v>412</v>
      </c>
      <c r="B1296">
        <v>104</v>
      </c>
    </row>
    <row r="1297" spans="1:2">
      <c r="A1297">
        <v>1075</v>
      </c>
      <c r="B1297">
        <v>151</v>
      </c>
    </row>
    <row r="1298" spans="1:2">
      <c r="A1298">
        <v>1743</v>
      </c>
      <c r="B1298">
        <v>81</v>
      </c>
    </row>
    <row r="1299" spans="1:2">
      <c r="A1299">
        <v>1286</v>
      </c>
      <c r="B1299">
        <v>144</v>
      </c>
    </row>
    <row r="1300" spans="1:2">
      <c r="A1300">
        <v>591</v>
      </c>
      <c r="B1300">
        <v>78</v>
      </c>
    </row>
    <row r="1301" spans="1:2">
      <c r="A1301">
        <v>941</v>
      </c>
      <c r="B1301">
        <v>103</v>
      </c>
    </row>
    <row r="1302" spans="1:2">
      <c r="A1302">
        <v>1636</v>
      </c>
      <c r="B1302">
        <v>135</v>
      </c>
    </row>
    <row r="1303" spans="1:2">
      <c r="A1303">
        <v>926</v>
      </c>
      <c r="B1303">
        <v>146</v>
      </c>
    </row>
    <row r="1304" spans="1:2">
      <c r="A1304">
        <v>1422</v>
      </c>
      <c r="B1304">
        <v>98</v>
      </c>
    </row>
    <row r="1305" spans="1:2">
      <c r="A1305">
        <v>622</v>
      </c>
      <c r="B1305">
        <v>131</v>
      </c>
    </row>
    <row r="1306" spans="1:2">
      <c r="A1306">
        <v>611</v>
      </c>
      <c r="B1306">
        <v>84</v>
      </c>
    </row>
    <row r="1307" spans="1:2">
      <c r="A1307">
        <v>332</v>
      </c>
      <c r="B1307">
        <v>85</v>
      </c>
    </row>
    <row r="1308" spans="1:2">
      <c r="A1308">
        <v>200</v>
      </c>
      <c r="B1308">
        <v>99</v>
      </c>
    </row>
    <row r="1309" spans="1:2">
      <c r="A1309">
        <v>1386</v>
      </c>
      <c r="B1309">
        <v>145</v>
      </c>
    </row>
    <row r="1310" spans="1:2">
      <c r="A1310">
        <v>773</v>
      </c>
      <c r="B1310">
        <v>113</v>
      </c>
    </row>
    <row r="1311" spans="1:2">
      <c r="A1311">
        <v>601</v>
      </c>
      <c r="B1311">
        <v>166</v>
      </c>
    </row>
    <row r="1312" spans="1:2">
      <c r="A1312">
        <v>1693</v>
      </c>
      <c r="B1312">
        <v>119</v>
      </c>
    </row>
    <row r="1313" spans="1:2">
      <c r="A1313">
        <v>1263</v>
      </c>
      <c r="B1313">
        <v>351</v>
      </c>
    </row>
    <row r="1314" spans="1:2">
      <c r="A1314">
        <v>1216</v>
      </c>
      <c r="B1314">
        <v>286</v>
      </c>
    </row>
    <row r="1315" spans="1:2">
      <c r="A1315">
        <v>988</v>
      </c>
      <c r="B1315">
        <v>113</v>
      </c>
    </row>
    <row r="1316" spans="1:2">
      <c r="A1316">
        <v>540</v>
      </c>
      <c r="B1316">
        <v>80</v>
      </c>
    </row>
    <row r="1317" spans="1:2">
      <c r="A1317">
        <v>155</v>
      </c>
      <c r="B1317">
        <v>92</v>
      </c>
    </row>
    <row r="1318" spans="1:2">
      <c r="A1318">
        <v>1523</v>
      </c>
      <c r="B1318">
        <v>150</v>
      </c>
    </row>
    <row r="1319" spans="1:2">
      <c r="A1319">
        <v>1083</v>
      </c>
      <c r="B1319">
        <v>91</v>
      </c>
    </row>
    <row r="1320" spans="1:2">
      <c r="A1320">
        <v>1113</v>
      </c>
      <c r="B1320">
        <v>90</v>
      </c>
    </row>
    <row r="1321" spans="1:2">
      <c r="A1321">
        <v>156</v>
      </c>
      <c r="B1321">
        <v>117</v>
      </c>
    </row>
    <row r="1322" spans="1:2">
      <c r="A1322">
        <v>1432</v>
      </c>
      <c r="B1322">
        <v>101</v>
      </c>
    </row>
    <row r="1323" spans="1:2">
      <c r="A1323">
        <v>1233</v>
      </c>
      <c r="B1323">
        <v>290</v>
      </c>
    </row>
    <row r="1324" spans="1:2">
      <c r="A1324">
        <v>371</v>
      </c>
      <c r="B1324">
        <v>72</v>
      </c>
    </row>
    <row r="1325" spans="1:2">
      <c r="A1325">
        <v>1444</v>
      </c>
      <c r="B1325">
        <v>83</v>
      </c>
    </row>
    <row r="1326" spans="1:2">
      <c r="A1326">
        <v>1584</v>
      </c>
      <c r="B1326">
        <v>146</v>
      </c>
    </row>
    <row r="1327" spans="1:2">
      <c r="A1327">
        <v>252</v>
      </c>
      <c r="B1327">
        <v>127</v>
      </c>
    </row>
    <row r="1328" spans="1:2">
      <c r="A1328">
        <v>1490</v>
      </c>
      <c r="B1328">
        <v>103</v>
      </c>
    </row>
    <row r="1329" spans="1:2">
      <c r="A1329">
        <v>643</v>
      </c>
      <c r="B1329">
        <v>136</v>
      </c>
    </row>
    <row r="1330" spans="1:2">
      <c r="A1330">
        <v>1248</v>
      </c>
      <c r="B1330">
        <v>100</v>
      </c>
    </row>
    <row r="1331" spans="1:2">
      <c r="A1331">
        <v>813</v>
      </c>
      <c r="B1331">
        <v>140</v>
      </c>
    </row>
    <row r="1332" spans="1:2">
      <c r="A1332">
        <v>1486</v>
      </c>
      <c r="B1332">
        <v>95</v>
      </c>
    </row>
    <row r="1333" spans="1:2">
      <c r="A1333">
        <v>850</v>
      </c>
      <c r="B1333">
        <v>114</v>
      </c>
    </row>
    <row r="1334" spans="1:2">
      <c r="A1334">
        <v>1124</v>
      </c>
      <c r="B1334">
        <v>101</v>
      </c>
    </row>
    <row r="1335" spans="1:2">
      <c r="A1335">
        <v>835</v>
      </c>
      <c r="B1335">
        <v>124</v>
      </c>
    </row>
    <row r="1336" spans="1:2">
      <c r="A1336">
        <v>1419</v>
      </c>
      <c r="B1336">
        <v>190</v>
      </c>
    </row>
    <row r="1337" spans="1:2">
      <c r="A1337">
        <v>1343</v>
      </c>
      <c r="B1337">
        <v>96</v>
      </c>
    </row>
    <row r="1338" spans="1:2">
      <c r="A1338">
        <v>1770</v>
      </c>
      <c r="B1338">
        <v>65</v>
      </c>
    </row>
    <row r="1339" spans="1:2">
      <c r="A1339">
        <v>1395</v>
      </c>
      <c r="B1339">
        <v>194</v>
      </c>
    </row>
    <row r="1340" spans="1:2">
      <c r="A1340">
        <v>1322</v>
      </c>
      <c r="B1340">
        <v>120</v>
      </c>
    </row>
    <row r="1341" spans="1:2">
      <c r="A1341">
        <v>1022</v>
      </c>
      <c r="B1341">
        <v>108</v>
      </c>
    </row>
    <row r="1342" spans="1:2">
      <c r="A1342">
        <v>698</v>
      </c>
      <c r="B1342">
        <v>82</v>
      </c>
    </row>
    <row r="1343" spans="1:2">
      <c r="A1343">
        <v>479</v>
      </c>
      <c r="B1343">
        <v>90</v>
      </c>
    </row>
    <row r="1344" spans="1:2">
      <c r="A1344">
        <v>1364</v>
      </c>
      <c r="B1344">
        <v>105</v>
      </c>
    </row>
    <row r="1345" spans="1:2">
      <c r="A1345">
        <v>991</v>
      </c>
      <c r="B1345">
        <v>133</v>
      </c>
    </row>
    <row r="1346" spans="1:2">
      <c r="A1346">
        <v>1482</v>
      </c>
      <c r="B1346">
        <v>110</v>
      </c>
    </row>
    <row r="1347" spans="1:2">
      <c r="A1347">
        <v>519</v>
      </c>
      <c r="B1347">
        <v>125</v>
      </c>
    </row>
    <row r="1348" spans="1:2">
      <c r="A1348">
        <v>1405</v>
      </c>
      <c r="B1348">
        <v>180</v>
      </c>
    </row>
    <row r="1349" spans="1:2">
      <c r="A1349">
        <v>1505</v>
      </c>
      <c r="B1349">
        <v>114</v>
      </c>
    </row>
    <row r="1350" spans="1:2">
      <c r="A1350">
        <v>797</v>
      </c>
      <c r="B1350">
        <v>94</v>
      </c>
    </row>
    <row r="1351" spans="1:2">
      <c r="A1351">
        <v>381</v>
      </c>
      <c r="B1351">
        <v>132</v>
      </c>
    </row>
    <row r="1352" spans="1:2">
      <c r="A1352">
        <v>148</v>
      </c>
      <c r="B1352">
        <v>153</v>
      </c>
    </row>
    <row r="1353" spans="1:2">
      <c r="A1353">
        <v>386</v>
      </c>
      <c r="B1353">
        <v>120</v>
      </c>
    </row>
    <row r="1354" spans="1:2">
      <c r="A1354">
        <v>717</v>
      </c>
      <c r="B1354">
        <v>612</v>
      </c>
    </row>
    <row r="1355" spans="1:2">
      <c r="A1355">
        <v>925</v>
      </c>
      <c r="B1355">
        <v>100</v>
      </c>
    </row>
    <row r="1356" spans="1:2">
      <c r="A1356">
        <v>1133</v>
      </c>
      <c r="B1356">
        <v>89</v>
      </c>
    </row>
    <row r="1357" spans="1:2">
      <c r="A1357">
        <v>1548</v>
      </c>
      <c r="B1357">
        <v>95</v>
      </c>
    </row>
    <row r="1358" spans="1:2">
      <c r="A1358">
        <v>503</v>
      </c>
      <c r="B1358">
        <v>145</v>
      </c>
    </row>
    <row r="1359" spans="1:2">
      <c r="A1359">
        <v>477</v>
      </c>
      <c r="B1359">
        <v>113</v>
      </c>
    </row>
    <row r="1360" spans="1:2">
      <c r="A1360">
        <v>1764</v>
      </c>
      <c r="B1360">
        <v>86</v>
      </c>
    </row>
    <row r="1361" spans="1:2">
      <c r="A1361">
        <v>950</v>
      </c>
      <c r="B1361">
        <v>98</v>
      </c>
    </row>
    <row r="1362" spans="1:2">
      <c r="A1362">
        <v>1006</v>
      </c>
      <c r="B1362">
        <v>90</v>
      </c>
    </row>
    <row r="1363" spans="1:2">
      <c r="A1363">
        <v>1005</v>
      </c>
      <c r="B1363">
        <v>109</v>
      </c>
    </row>
    <row r="1364" spans="1:2">
      <c r="A1364">
        <v>1515</v>
      </c>
      <c r="B1364">
        <v>128</v>
      </c>
    </row>
    <row r="1365" spans="1:2">
      <c r="A1365">
        <v>718</v>
      </c>
      <c r="B1365">
        <v>224</v>
      </c>
    </row>
    <row r="1366" spans="1:2">
      <c r="A1366">
        <v>467</v>
      </c>
      <c r="B1366">
        <v>76</v>
      </c>
    </row>
    <row r="1367" spans="1:2">
      <c r="A1367">
        <v>441</v>
      </c>
      <c r="B1367">
        <v>87</v>
      </c>
    </row>
    <row r="1368" spans="1:2">
      <c r="A1368">
        <v>751</v>
      </c>
      <c r="B1368">
        <v>110</v>
      </c>
    </row>
    <row r="1369" spans="1:2">
      <c r="A1369">
        <v>1218</v>
      </c>
      <c r="B1369">
        <v>102</v>
      </c>
    </row>
    <row r="1370" spans="1:2">
      <c r="A1370">
        <v>906</v>
      </c>
      <c r="B1370">
        <v>121</v>
      </c>
    </row>
    <row r="1371" spans="1:2">
      <c r="A1371">
        <v>1785</v>
      </c>
      <c r="B1371">
        <v>109</v>
      </c>
    </row>
    <row r="1372" spans="1:2">
      <c r="A1372">
        <v>17</v>
      </c>
      <c r="B1372">
        <v>231</v>
      </c>
    </row>
    <row r="1373" spans="1:2">
      <c r="A1373">
        <v>1264</v>
      </c>
      <c r="B1373">
        <v>135</v>
      </c>
    </row>
    <row r="1374" spans="1:2">
      <c r="A1374">
        <v>1822</v>
      </c>
      <c r="B1374">
        <v>172</v>
      </c>
    </row>
    <row r="1375" spans="1:2">
      <c r="A1375">
        <v>1747</v>
      </c>
      <c r="B1375">
        <v>188</v>
      </c>
    </row>
    <row r="1376" spans="1:2">
      <c r="A1376">
        <v>1365</v>
      </c>
      <c r="B1376">
        <v>104</v>
      </c>
    </row>
    <row r="1377" spans="1:2">
      <c r="A1377">
        <v>1451</v>
      </c>
      <c r="B1377">
        <v>170</v>
      </c>
    </row>
    <row r="1378" spans="1:2">
      <c r="A1378">
        <v>772</v>
      </c>
      <c r="B1378">
        <v>90</v>
      </c>
    </row>
    <row r="1379" spans="1:2">
      <c r="A1379">
        <v>1424</v>
      </c>
      <c r="B1379">
        <v>266</v>
      </c>
    </row>
    <row r="1380" spans="1:2">
      <c r="A1380">
        <v>885</v>
      </c>
      <c r="B1380">
        <v>85</v>
      </c>
    </row>
    <row r="1381" spans="1:2">
      <c r="A1381">
        <v>836</v>
      </c>
      <c r="B1381">
        <v>85</v>
      </c>
    </row>
    <row r="1382" spans="1:2">
      <c r="A1382">
        <v>1043</v>
      </c>
      <c r="B1382">
        <v>120</v>
      </c>
    </row>
    <row r="1383" spans="1:2">
      <c r="A1383">
        <v>1417</v>
      </c>
      <c r="B1383">
        <v>134</v>
      </c>
    </row>
    <row r="1384" spans="1:2">
      <c r="A1384">
        <v>879</v>
      </c>
      <c r="B1384">
        <v>70</v>
      </c>
    </row>
    <row r="1385" spans="1:2">
      <c r="A1385">
        <v>896</v>
      </c>
      <c r="B1385">
        <v>139</v>
      </c>
    </row>
    <row r="1386" spans="1:2">
      <c r="A1386">
        <v>877</v>
      </c>
      <c r="B1386">
        <v>109</v>
      </c>
    </row>
    <row r="1387" spans="1:2">
      <c r="A1387">
        <v>1680</v>
      </c>
      <c r="B1387">
        <v>127</v>
      </c>
    </row>
    <row r="1388" spans="1:2">
      <c r="A1388">
        <v>707</v>
      </c>
      <c r="B1388">
        <v>89</v>
      </c>
    </row>
    <row r="1389" spans="1:2">
      <c r="A1389">
        <v>365</v>
      </c>
      <c r="B1389">
        <v>81</v>
      </c>
    </row>
    <row r="1390" spans="1:2">
      <c r="A1390">
        <v>1015</v>
      </c>
      <c r="B1390">
        <v>122</v>
      </c>
    </row>
    <row r="1391" spans="1:2">
      <c r="A1391">
        <v>1750</v>
      </c>
      <c r="B1391">
        <v>160</v>
      </c>
    </row>
    <row r="1392" spans="1:2">
      <c r="A1392">
        <v>1824</v>
      </c>
      <c r="B1392">
        <v>127</v>
      </c>
    </row>
    <row r="1393" spans="1:2">
      <c r="A1393">
        <v>1039</v>
      </c>
      <c r="B1393">
        <v>86</v>
      </c>
    </row>
    <row r="1394" spans="1:2">
      <c r="A1394">
        <v>253</v>
      </c>
      <c r="B1394">
        <v>111</v>
      </c>
    </row>
    <row r="1395" spans="1:2">
      <c r="A1395">
        <v>144</v>
      </c>
      <c r="B1395">
        <v>158</v>
      </c>
    </row>
    <row r="1396" spans="1:2">
      <c r="A1396">
        <v>105</v>
      </c>
      <c r="B1396">
        <v>91</v>
      </c>
    </row>
    <row r="1397" spans="1:2">
      <c r="A1397">
        <v>1265</v>
      </c>
      <c r="B1397">
        <v>132</v>
      </c>
    </row>
    <row r="1398" spans="1:2">
      <c r="A1398">
        <v>225</v>
      </c>
      <c r="B1398">
        <v>78</v>
      </c>
    </row>
    <row r="1399" spans="1:2">
      <c r="A1399">
        <v>987</v>
      </c>
      <c r="B1399">
        <v>83</v>
      </c>
    </row>
    <row r="1400" spans="1:2">
      <c r="A1400">
        <v>1276</v>
      </c>
      <c r="B1400">
        <v>91</v>
      </c>
    </row>
    <row r="1401" spans="1:2">
      <c r="A1401">
        <v>1333</v>
      </c>
      <c r="B1401">
        <v>197</v>
      </c>
    </row>
    <row r="1402" spans="1:2">
      <c r="A1402">
        <v>1377</v>
      </c>
      <c r="B1402">
        <v>166</v>
      </c>
    </row>
    <row r="1403" spans="1:2">
      <c r="A1403">
        <v>1162</v>
      </c>
      <c r="B1403">
        <v>119</v>
      </c>
    </row>
    <row r="1404" spans="1:2">
      <c r="A1404">
        <v>964</v>
      </c>
      <c r="B1404">
        <v>90</v>
      </c>
    </row>
    <row r="1405" spans="1:2">
      <c r="A1405">
        <v>60</v>
      </c>
      <c r="B1405">
        <v>126</v>
      </c>
    </row>
    <row r="1406" spans="1:2">
      <c r="A1406">
        <v>1544</v>
      </c>
      <c r="B1406">
        <v>107</v>
      </c>
    </row>
    <row r="1407" spans="1:2">
      <c r="A1407">
        <v>229</v>
      </c>
      <c r="B1407">
        <v>100</v>
      </c>
    </row>
    <row r="1408" spans="1:2">
      <c r="A1408">
        <v>881</v>
      </c>
      <c r="B1408">
        <v>91</v>
      </c>
    </row>
    <row r="1409" spans="1:2">
      <c r="A1409">
        <v>1598</v>
      </c>
      <c r="B1409">
        <v>166</v>
      </c>
    </row>
    <row r="1410" spans="1:2">
      <c r="A1410">
        <v>1494</v>
      </c>
      <c r="B1410">
        <v>62</v>
      </c>
    </row>
    <row r="1411" spans="1:2">
      <c r="A1411">
        <v>84</v>
      </c>
      <c r="B1411">
        <v>87</v>
      </c>
    </row>
    <row r="1412" spans="1:2">
      <c r="A1412">
        <v>364</v>
      </c>
      <c r="B1412">
        <v>98</v>
      </c>
    </row>
    <row r="1413" spans="1:2">
      <c r="A1413">
        <v>1794</v>
      </c>
      <c r="B1413">
        <v>100</v>
      </c>
    </row>
    <row r="1414" spans="1:2">
      <c r="A1414">
        <v>996</v>
      </c>
      <c r="B1414">
        <v>103</v>
      </c>
    </row>
    <row r="1415" spans="1:2">
      <c r="A1415">
        <v>1663</v>
      </c>
      <c r="B1415">
        <v>159</v>
      </c>
    </row>
    <row r="1416" spans="1:2">
      <c r="A1416">
        <v>1786</v>
      </c>
      <c r="B1416">
        <v>99</v>
      </c>
    </row>
    <row r="1417" spans="1:2">
      <c r="A1417">
        <v>1394</v>
      </c>
      <c r="B1417">
        <v>140</v>
      </c>
    </row>
    <row r="1418" spans="1:2">
      <c r="A1418">
        <v>1258</v>
      </c>
      <c r="B1418">
        <v>120</v>
      </c>
    </row>
    <row r="1419" spans="1:2">
      <c r="A1419">
        <v>907</v>
      </c>
      <c r="B1419">
        <v>180</v>
      </c>
    </row>
    <row r="1420" spans="1:2">
      <c r="A1420">
        <v>889</v>
      </c>
      <c r="B1420">
        <v>78</v>
      </c>
    </row>
    <row r="1421" spans="1:2">
      <c r="A1421">
        <v>355</v>
      </c>
      <c r="B1421">
        <v>130</v>
      </c>
    </row>
    <row r="1422" spans="1:2">
      <c r="A1422">
        <v>337</v>
      </c>
      <c r="B1422">
        <v>80</v>
      </c>
    </row>
    <row r="1423" spans="1:2">
      <c r="A1423">
        <v>692</v>
      </c>
      <c r="B1423">
        <v>73</v>
      </c>
    </row>
    <row r="1424" spans="1:2">
      <c r="A1424">
        <v>557</v>
      </c>
      <c r="B1424">
        <v>112</v>
      </c>
    </row>
    <row r="1425" spans="1:2">
      <c r="A1425">
        <v>323</v>
      </c>
      <c r="B1425">
        <v>97</v>
      </c>
    </row>
    <row r="1426" spans="1:2">
      <c r="A1426">
        <v>136</v>
      </c>
      <c r="B1426">
        <v>95</v>
      </c>
    </row>
    <row r="1427" spans="1:2">
      <c r="A1427">
        <v>637</v>
      </c>
      <c r="B1427">
        <v>120</v>
      </c>
    </row>
    <row r="1428" spans="1:2">
      <c r="A1428">
        <v>653</v>
      </c>
      <c r="B1428">
        <v>148</v>
      </c>
    </row>
    <row r="1429" spans="1:2">
      <c r="A1429">
        <v>546</v>
      </c>
      <c r="B1429">
        <v>67</v>
      </c>
    </row>
    <row r="1430" spans="1:2">
      <c r="A1430">
        <v>809</v>
      </c>
      <c r="B1430">
        <v>200</v>
      </c>
    </row>
    <row r="1431" spans="1:2">
      <c r="A1431">
        <v>719</v>
      </c>
      <c r="B1431">
        <v>95</v>
      </c>
    </row>
    <row r="1432" spans="1:2">
      <c r="A1432">
        <v>646</v>
      </c>
      <c r="B1432">
        <v>87</v>
      </c>
    </row>
    <row r="1433" spans="1:2">
      <c r="A1433">
        <v>602</v>
      </c>
      <c r="B1433">
        <v>105</v>
      </c>
    </row>
    <row r="1434" spans="1:2">
      <c r="A1434">
        <v>1262</v>
      </c>
      <c r="B1434">
        <v>145</v>
      </c>
    </row>
    <row r="1435" spans="1:2">
      <c r="A1435">
        <v>1471</v>
      </c>
      <c r="B1435">
        <v>116</v>
      </c>
    </row>
    <row r="1436" spans="1:2">
      <c r="A1436">
        <v>1348</v>
      </c>
      <c r="B1436">
        <v>120</v>
      </c>
    </row>
    <row r="1437" spans="1:2">
      <c r="A1437">
        <v>1100</v>
      </c>
      <c r="B1437">
        <v>78</v>
      </c>
    </row>
    <row r="1438" spans="1:2">
      <c r="A1438">
        <v>1487</v>
      </c>
      <c r="B1438">
        <v>87</v>
      </c>
    </row>
    <row r="1439" spans="1:2">
      <c r="A1439">
        <v>742</v>
      </c>
      <c r="B1439">
        <v>80</v>
      </c>
    </row>
    <row r="1440" spans="1:2">
      <c r="A1440">
        <v>1756</v>
      </c>
      <c r="B1440">
        <v>154</v>
      </c>
    </row>
    <row r="1441" spans="1:2">
      <c r="A1441">
        <v>271</v>
      </c>
      <c r="B1441">
        <v>81</v>
      </c>
    </row>
    <row r="1442" spans="1:2">
      <c r="A1442">
        <v>819</v>
      </c>
      <c r="B1442">
        <v>133</v>
      </c>
    </row>
    <row r="1443" spans="1:2">
      <c r="A1443">
        <v>810</v>
      </c>
      <c r="B1443">
        <v>81</v>
      </c>
    </row>
    <row r="1444" spans="1:2">
      <c r="A1444">
        <v>1151</v>
      </c>
      <c r="B1444">
        <v>221</v>
      </c>
    </row>
    <row r="1445" spans="1:2">
      <c r="A1445">
        <v>1035</v>
      </c>
      <c r="B1445">
        <v>95</v>
      </c>
    </row>
    <row r="1446" spans="1:2">
      <c r="A1446">
        <v>1270</v>
      </c>
      <c r="B1446">
        <v>98</v>
      </c>
    </row>
    <row r="1447" spans="1:2">
      <c r="A1447">
        <v>1642</v>
      </c>
      <c r="B1447">
        <v>160</v>
      </c>
    </row>
    <row r="1448" spans="1:2">
      <c r="A1448">
        <v>475</v>
      </c>
      <c r="B1448">
        <v>94</v>
      </c>
    </row>
    <row r="1449" spans="1:2">
      <c r="A1449">
        <v>1760</v>
      </c>
      <c r="B1449">
        <v>123</v>
      </c>
    </row>
    <row r="1450" spans="1:2">
      <c r="A1450">
        <v>887</v>
      </c>
      <c r="B1450">
        <v>81</v>
      </c>
    </row>
    <row r="1451" spans="1:2">
      <c r="A1451">
        <v>1540</v>
      </c>
      <c r="B1451">
        <v>65</v>
      </c>
    </row>
    <row r="1452" spans="1:2">
      <c r="A1452">
        <v>1808</v>
      </c>
      <c r="B1452">
        <v>172</v>
      </c>
    </row>
    <row r="1453" spans="1:2">
      <c r="A1453">
        <v>944</v>
      </c>
      <c r="B1453">
        <v>103</v>
      </c>
    </row>
    <row r="1454" spans="1:2">
      <c r="A1454">
        <v>550</v>
      </c>
      <c r="B1454">
        <v>81</v>
      </c>
    </row>
    <row r="1455" spans="1:2">
      <c r="A1455">
        <v>1731</v>
      </c>
      <c r="B1455">
        <v>91</v>
      </c>
    </row>
    <row r="1456" spans="1:2">
      <c r="A1456">
        <v>1367</v>
      </c>
      <c r="B1456">
        <v>110</v>
      </c>
    </row>
    <row r="1457" spans="1:2">
      <c r="A1457">
        <v>1826</v>
      </c>
      <c r="B1457">
        <v>72</v>
      </c>
    </row>
    <row r="1458" spans="1:2">
      <c r="A1458">
        <v>757</v>
      </c>
      <c r="B1458">
        <v>100</v>
      </c>
    </row>
    <row r="1459" spans="1:2">
      <c r="A1459">
        <v>730</v>
      </c>
      <c r="B1459">
        <v>74</v>
      </c>
    </row>
    <row r="1460" spans="1:2">
      <c r="A1460">
        <v>1809</v>
      </c>
      <c r="B1460">
        <v>120</v>
      </c>
    </row>
    <row r="1461" spans="1:2">
      <c r="A1461">
        <v>1098</v>
      </c>
      <c r="B1461">
        <v>78</v>
      </c>
    </row>
    <row r="1462" spans="1:2">
      <c r="A1462">
        <v>458</v>
      </c>
      <c r="B1462">
        <v>111</v>
      </c>
    </row>
    <row r="1463" spans="1:2">
      <c r="A1463">
        <v>662</v>
      </c>
      <c r="B1463">
        <v>120</v>
      </c>
    </row>
    <row r="1464" spans="1:2">
      <c r="A1464">
        <v>531</v>
      </c>
      <c r="B1464">
        <v>108</v>
      </c>
    </row>
    <row r="1465" spans="1:2">
      <c r="A1465">
        <v>1694</v>
      </c>
      <c r="B1465">
        <v>246</v>
      </c>
    </row>
    <row r="1466" spans="1:2">
      <c r="A1466">
        <v>1108</v>
      </c>
      <c r="B1466">
        <v>78</v>
      </c>
    </row>
    <row r="1467" spans="1:2">
      <c r="A1467">
        <v>1166</v>
      </c>
      <c r="B1467">
        <v>96</v>
      </c>
    </row>
    <row r="1468" spans="1:2">
      <c r="A1468">
        <v>446</v>
      </c>
      <c r="B1468">
        <v>76</v>
      </c>
    </row>
    <row r="1469" spans="1:2">
      <c r="A1469">
        <v>820</v>
      </c>
      <c r="B1469">
        <v>233</v>
      </c>
    </row>
    <row r="1470" spans="1:2">
      <c r="A1470">
        <v>277</v>
      </c>
      <c r="B1470">
        <v>94</v>
      </c>
    </row>
    <row r="1471" spans="1:2">
      <c r="A1471">
        <v>1691</v>
      </c>
      <c r="B1471">
        <v>134</v>
      </c>
    </row>
    <row r="1472" spans="1:2">
      <c r="A1472">
        <v>1038</v>
      </c>
      <c r="B1472">
        <v>225</v>
      </c>
    </row>
    <row r="1473" spans="1:2">
      <c r="A1473">
        <v>1816</v>
      </c>
      <c r="B1473">
        <v>64</v>
      </c>
    </row>
    <row r="1474" spans="1:2">
      <c r="A1474">
        <v>1106</v>
      </c>
      <c r="B1474">
        <v>116</v>
      </c>
    </row>
    <row r="1475" spans="1:2">
      <c r="A1475">
        <v>1071</v>
      </c>
      <c r="B1475">
        <v>67</v>
      </c>
    </row>
    <row r="1476" spans="1:2">
      <c r="A1476">
        <v>1664</v>
      </c>
      <c r="B1476">
        <v>104</v>
      </c>
    </row>
    <row r="1477" spans="1:2">
      <c r="A1477">
        <v>1360</v>
      </c>
      <c r="B1477">
        <v>82</v>
      </c>
    </row>
    <row r="1478" spans="1:2">
      <c r="A1478">
        <v>1159</v>
      </c>
      <c r="B1478">
        <v>125</v>
      </c>
    </row>
    <row r="1479" spans="1:2">
      <c r="A1479">
        <v>1067</v>
      </c>
      <c r="B1479">
        <v>107</v>
      </c>
    </row>
    <row r="1480" spans="1:2">
      <c r="A1480">
        <v>893</v>
      </c>
      <c r="B1480">
        <v>122</v>
      </c>
    </row>
    <row r="1481" spans="1:2">
      <c r="A1481">
        <v>1156</v>
      </c>
      <c r="B1481">
        <v>176</v>
      </c>
    </row>
    <row r="1482" spans="1:2">
      <c r="A1482">
        <v>1001</v>
      </c>
      <c r="B1482">
        <v>73</v>
      </c>
    </row>
    <row r="1483" spans="1:2">
      <c r="A1483">
        <v>928</v>
      </c>
      <c r="B1483">
        <v>123</v>
      </c>
    </row>
    <row r="1484" spans="1:2">
      <c r="A1484">
        <v>856</v>
      </c>
      <c r="B1484">
        <v>115</v>
      </c>
    </row>
    <row r="1485" spans="1:2">
      <c r="A1485">
        <v>211</v>
      </c>
      <c r="B1485">
        <v>86</v>
      </c>
    </row>
    <row r="1486" spans="1:2">
      <c r="A1486">
        <v>472</v>
      </c>
      <c r="B1486">
        <v>107</v>
      </c>
    </row>
    <row r="1487" spans="1:2">
      <c r="A1487">
        <v>173</v>
      </c>
      <c r="B1487">
        <v>111</v>
      </c>
    </row>
    <row r="1488" spans="1:2">
      <c r="A1488">
        <v>1118</v>
      </c>
      <c r="B1488">
        <v>83</v>
      </c>
    </row>
    <row r="1489" spans="1:2">
      <c r="A1489">
        <v>544</v>
      </c>
      <c r="B1489">
        <v>99</v>
      </c>
    </row>
    <row r="1490" spans="1:2">
      <c r="A1490">
        <v>463</v>
      </c>
      <c r="B1490">
        <v>79</v>
      </c>
    </row>
    <row r="1491" spans="1:2">
      <c r="A1491">
        <v>510</v>
      </c>
      <c r="B1491">
        <v>202</v>
      </c>
    </row>
    <row r="1492" spans="1:2">
      <c r="A1492">
        <v>466</v>
      </c>
      <c r="B1492">
        <v>88</v>
      </c>
    </row>
    <row r="1493" spans="1:2">
      <c r="A1493">
        <v>1077</v>
      </c>
      <c r="B1493">
        <v>79</v>
      </c>
    </row>
    <row r="1494" spans="1:2">
      <c r="A1494">
        <v>308</v>
      </c>
      <c r="B1494">
        <v>85</v>
      </c>
    </row>
    <row r="1495" spans="1:2">
      <c r="A1495">
        <v>754</v>
      </c>
      <c r="B1495">
        <v>72</v>
      </c>
    </row>
    <row r="1496" spans="1:2">
      <c r="A1496">
        <v>539</v>
      </c>
      <c r="B1496">
        <v>90</v>
      </c>
    </row>
    <row r="1497" spans="1:2">
      <c r="A1497">
        <v>1091</v>
      </c>
      <c r="B1497">
        <v>126</v>
      </c>
    </row>
    <row r="1498" spans="1:2">
      <c r="A1498">
        <v>1072</v>
      </c>
      <c r="B1498">
        <v>104</v>
      </c>
    </row>
    <row r="1499" spans="1:2">
      <c r="A1499">
        <v>431</v>
      </c>
      <c r="B1499">
        <v>81</v>
      </c>
    </row>
    <row r="1500" spans="1:2">
      <c r="A1500">
        <v>1421</v>
      </c>
      <c r="B1500">
        <v>86</v>
      </c>
    </row>
    <row r="1501" spans="1:2">
      <c r="A1501">
        <v>270</v>
      </c>
      <c r="B1501">
        <v>195</v>
      </c>
    </row>
    <row r="1502" spans="1:2">
      <c r="A1502">
        <v>1481</v>
      </c>
      <c r="B1502">
        <v>134</v>
      </c>
    </row>
    <row r="1503" spans="1:2">
      <c r="A1503">
        <v>947</v>
      </c>
      <c r="B1503">
        <v>156</v>
      </c>
    </row>
    <row r="1504" spans="1:2">
      <c r="A1504">
        <v>721</v>
      </c>
      <c r="B1504">
        <v>79</v>
      </c>
    </row>
    <row r="1505" spans="1:2">
      <c r="A1505">
        <v>189</v>
      </c>
      <c r="B1505">
        <v>128</v>
      </c>
    </row>
    <row r="1506" spans="1:2">
      <c r="A1506">
        <v>450</v>
      </c>
      <c r="B1506">
        <v>96</v>
      </c>
    </row>
    <row r="1507" spans="1:2">
      <c r="A1507">
        <v>356</v>
      </c>
      <c r="B1507">
        <v>115</v>
      </c>
    </row>
    <row r="1508" spans="1:2">
      <c r="A1508">
        <v>442</v>
      </c>
      <c r="B1508">
        <v>88</v>
      </c>
    </row>
    <row r="1509" spans="1:2">
      <c r="A1509">
        <v>1820</v>
      </c>
      <c r="B1509">
        <v>114</v>
      </c>
    </row>
    <row r="1510" spans="1:2">
      <c r="A1510">
        <v>1465</v>
      </c>
      <c r="B1510">
        <v>105</v>
      </c>
    </row>
    <row r="1511" spans="1:2">
      <c r="A1511">
        <v>1082</v>
      </c>
      <c r="B1511">
        <v>105</v>
      </c>
    </row>
    <row r="1512" spans="1:2">
      <c r="A1512">
        <v>1670</v>
      </c>
      <c r="B1512">
        <v>80</v>
      </c>
    </row>
    <row r="1513" spans="1:2">
      <c r="A1513">
        <v>1443</v>
      </c>
      <c r="B1513">
        <v>89</v>
      </c>
    </row>
    <row r="1514" spans="1:2">
      <c r="A1514">
        <v>501</v>
      </c>
      <c r="B1514">
        <v>90</v>
      </c>
    </row>
    <row r="1515" spans="1:2">
      <c r="A1515">
        <v>1659</v>
      </c>
      <c r="B1515">
        <v>54</v>
      </c>
    </row>
    <row r="1516" spans="1:2">
      <c r="A1516">
        <v>1379</v>
      </c>
      <c r="B1516">
        <v>77</v>
      </c>
    </row>
    <row r="1517" spans="1:2">
      <c r="A1517">
        <v>1086</v>
      </c>
      <c r="B1517">
        <v>85</v>
      </c>
    </row>
    <row r="1518" spans="1:2">
      <c r="A1518">
        <v>368</v>
      </c>
      <c r="B1518">
        <v>139</v>
      </c>
    </row>
    <row r="1519" spans="1:2">
      <c r="A1519">
        <v>1137</v>
      </c>
      <c r="B1519">
        <v>94</v>
      </c>
    </row>
    <row r="1520" spans="1:2">
      <c r="A1520">
        <v>1337</v>
      </c>
      <c r="B1520">
        <v>119</v>
      </c>
    </row>
    <row r="1521" spans="1:2">
      <c r="A1521">
        <v>1246</v>
      </c>
      <c r="B1521">
        <v>196</v>
      </c>
    </row>
    <row r="1522" spans="1:2">
      <c r="A1522">
        <v>579</v>
      </c>
      <c r="B1522">
        <v>128</v>
      </c>
    </row>
    <row r="1523" spans="1:2">
      <c r="A1523">
        <v>1122</v>
      </c>
      <c r="B1523">
        <v>126</v>
      </c>
    </row>
    <row r="1524" spans="1:2">
      <c r="A1524">
        <v>480</v>
      </c>
      <c r="B1524">
        <v>138</v>
      </c>
    </row>
    <row r="1525" spans="1:2">
      <c r="A1525">
        <v>1696</v>
      </c>
      <c r="B1525">
        <v>116</v>
      </c>
    </row>
    <row r="1526" spans="1:2">
      <c r="A1526">
        <v>1787</v>
      </c>
      <c r="B1526">
        <v>110</v>
      </c>
    </row>
    <row r="1527" spans="1:2">
      <c r="A1527">
        <v>734</v>
      </c>
      <c r="B1527">
        <v>170</v>
      </c>
    </row>
    <row r="1528" spans="1:2">
      <c r="A1528">
        <v>1092</v>
      </c>
      <c r="B1528">
        <v>94</v>
      </c>
    </row>
    <row r="1529" spans="1:2">
      <c r="A1529">
        <v>1810</v>
      </c>
      <c r="B1529">
        <v>109</v>
      </c>
    </row>
    <row r="1530" spans="1:2">
      <c r="A1530">
        <v>758</v>
      </c>
      <c r="B1530">
        <v>100</v>
      </c>
    </row>
    <row r="1531" spans="1:2">
      <c r="A1531">
        <v>1007</v>
      </c>
      <c r="B1531">
        <v>96</v>
      </c>
    </row>
    <row r="1532" spans="1:2">
      <c r="A1532">
        <v>807</v>
      </c>
      <c r="B1532">
        <v>71</v>
      </c>
    </row>
    <row r="1533" spans="1:2">
      <c r="A1533">
        <v>1040</v>
      </c>
      <c r="B1533">
        <v>103</v>
      </c>
    </row>
    <row r="1534" spans="1:2">
      <c r="A1534">
        <v>75</v>
      </c>
      <c r="B1534">
        <v>125</v>
      </c>
    </row>
    <row r="1535" spans="1:2">
      <c r="A1535">
        <v>1695</v>
      </c>
      <c r="B1535">
        <v>106</v>
      </c>
    </row>
    <row r="1536" spans="1:2">
      <c r="A1536">
        <v>1104</v>
      </c>
      <c r="B1536">
        <v>117</v>
      </c>
    </row>
    <row r="1537" spans="1:2">
      <c r="A1537">
        <v>800</v>
      </c>
      <c r="B1537">
        <v>84</v>
      </c>
    </row>
    <row r="1538" spans="1:2">
      <c r="A1538">
        <v>749</v>
      </c>
      <c r="B1538">
        <v>78</v>
      </c>
    </row>
    <row r="1539" spans="1:2">
      <c r="A1539">
        <v>303</v>
      </c>
      <c r="B1539">
        <v>103</v>
      </c>
    </row>
    <row r="1540" spans="1:2">
      <c r="A1540">
        <v>179</v>
      </c>
      <c r="B1540">
        <v>120</v>
      </c>
    </row>
    <row r="1541" spans="1:2">
      <c r="A1541">
        <v>1273</v>
      </c>
      <c r="B1541">
        <v>109</v>
      </c>
    </row>
    <row r="1542" spans="1:2">
      <c r="A1542">
        <v>1511</v>
      </c>
      <c r="B1542">
        <v>140</v>
      </c>
    </row>
    <row r="1543" spans="1:2">
      <c r="A1543">
        <v>1484</v>
      </c>
      <c r="B1543">
        <v>60</v>
      </c>
    </row>
    <row r="1544" spans="1:2">
      <c r="A1544">
        <v>1197</v>
      </c>
      <c r="B1544">
        <v>110</v>
      </c>
    </row>
    <row r="1545" spans="1:2">
      <c r="A1545">
        <v>1456</v>
      </c>
      <c r="B1545">
        <v>82</v>
      </c>
    </row>
    <row r="1546" spans="1:2">
      <c r="A1546">
        <v>795</v>
      </c>
      <c r="B1546">
        <v>96</v>
      </c>
    </row>
    <row r="1547" spans="1:2">
      <c r="A1547">
        <v>1271</v>
      </c>
      <c r="B1547">
        <v>105</v>
      </c>
    </row>
    <row r="1548" spans="1:2">
      <c r="A1548">
        <v>1053</v>
      </c>
      <c r="B1548">
        <v>76</v>
      </c>
    </row>
    <row r="1549" spans="1:2">
      <c r="A1549">
        <v>237</v>
      </c>
      <c r="B1549">
        <v>106</v>
      </c>
    </row>
    <row r="1550" spans="1:2">
      <c r="A1550">
        <v>385</v>
      </c>
      <c r="B1550">
        <v>90</v>
      </c>
    </row>
    <row r="1551" spans="1:2">
      <c r="A1551">
        <v>269</v>
      </c>
      <c r="B1551">
        <v>96</v>
      </c>
    </row>
    <row r="1552" spans="1:2">
      <c r="A1552">
        <v>1358</v>
      </c>
      <c r="B1552">
        <v>61</v>
      </c>
    </row>
    <row r="1553" spans="1:2">
      <c r="A1553">
        <v>1211</v>
      </c>
      <c r="B1553">
        <v>119</v>
      </c>
    </row>
    <row r="1554" spans="1:2">
      <c r="A1554">
        <v>1184</v>
      </c>
      <c r="B1554">
        <v>78</v>
      </c>
    </row>
    <row r="1555" spans="1:2">
      <c r="A1555">
        <v>1797</v>
      </c>
      <c r="B1555">
        <v>74</v>
      </c>
    </row>
    <row r="1556" spans="1:2">
      <c r="A1556">
        <v>1633</v>
      </c>
      <c r="B1556">
        <v>157</v>
      </c>
    </row>
    <row r="1557" spans="1:2">
      <c r="A1557">
        <v>951</v>
      </c>
      <c r="B1557">
        <v>145</v>
      </c>
    </row>
    <row r="1558" spans="1:2">
      <c r="A1558">
        <v>1615</v>
      </c>
      <c r="B1558">
        <v>80</v>
      </c>
    </row>
    <row r="1559" spans="1:2">
      <c r="A1559">
        <v>1701</v>
      </c>
      <c r="B1559">
        <v>86</v>
      </c>
    </row>
    <row r="1560" spans="1:2">
      <c r="A1560">
        <v>58</v>
      </c>
      <c r="B1560">
        <v>132</v>
      </c>
    </row>
    <row r="1561" spans="1:2">
      <c r="A1561">
        <v>452</v>
      </c>
      <c r="B1561">
        <v>70</v>
      </c>
    </row>
    <row r="1562" spans="1:2">
      <c r="A1562">
        <v>978</v>
      </c>
      <c r="B1562">
        <v>111</v>
      </c>
    </row>
    <row r="1563" spans="1:2">
      <c r="A1563">
        <v>146</v>
      </c>
      <c r="B1563">
        <v>102</v>
      </c>
    </row>
    <row r="1564" spans="1:2">
      <c r="A1564">
        <v>674</v>
      </c>
      <c r="B1564">
        <v>125</v>
      </c>
    </row>
    <row r="1565" spans="1:2">
      <c r="A1565">
        <v>1130</v>
      </c>
      <c r="B1565">
        <v>60</v>
      </c>
    </row>
    <row r="1566" spans="1:2">
      <c r="A1566">
        <v>1807</v>
      </c>
      <c r="B1566">
        <v>321</v>
      </c>
    </row>
    <row r="1567" spans="1:2">
      <c r="A1567">
        <v>1827</v>
      </c>
      <c r="B1567">
        <v>127</v>
      </c>
    </row>
    <row r="1568" spans="1:2">
      <c r="A1568">
        <v>493</v>
      </c>
      <c r="B1568">
        <v>116</v>
      </c>
    </row>
    <row r="1569" spans="1:2">
      <c r="A1569">
        <v>70</v>
      </c>
      <c r="B1569">
        <v>1</v>
      </c>
    </row>
    <row r="1570" spans="1:2">
      <c r="A1570">
        <v>878</v>
      </c>
      <c r="B1570">
        <v>90</v>
      </c>
    </row>
    <row r="1571" spans="1:2">
      <c r="A1571">
        <v>1546</v>
      </c>
      <c r="B1571">
        <v>122</v>
      </c>
    </row>
    <row r="1572" spans="1:2">
      <c r="A1572">
        <v>1261</v>
      </c>
      <c r="B1572">
        <v>170</v>
      </c>
    </row>
    <row r="1573" spans="1:2">
      <c r="A1573">
        <v>619</v>
      </c>
      <c r="B1573">
        <v>92</v>
      </c>
    </row>
    <row r="1574" spans="1:2">
      <c r="A1574">
        <v>367</v>
      </c>
      <c r="B1574">
        <v>136</v>
      </c>
    </row>
    <row r="1575" spans="1:2">
      <c r="A1575">
        <v>1298</v>
      </c>
      <c r="B1575">
        <v>95</v>
      </c>
    </row>
    <row r="1576" spans="1:2">
      <c r="A1576">
        <v>1475</v>
      </c>
      <c r="B1576">
        <v>59</v>
      </c>
    </row>
    <row r="1577" spans="1:2">
      <c r="A1577">
        <v>1522</v>
      </c>
      <c r="B1577">
        <v>98</v>
      </c>
    </row>
    <row r="1578" spans="1:2">
      <c r="A1578">
        <v>465</v>
      </c>
      <c r="B1578">
        <v>75</v>
      </c>
    </row>
    <row r="1579" spans="1:2">
      <c r="A1579">
        <v>78</v>
      </c>
      <c r="B1579">
        <v>60</v>
      </c>
    </row>
    <row r="1580" spans="1:2">
      <c r="A1580">
        <v>1069</v>
      </c>
      <c r="B1580">
        <v>95</v>
      </c>
    </row>
    <row r="1581" spans="1:2">
      <c r="A1581">
        <v>1259</v>
      </c>
      <c r="B1581">
        <v>123</v>
      </c>
    </row>
    <row r="1582" spans="1:2">
      <c r="A1582">
        <v>1462</v>
      </c>
      <c r="B1582">
        <v>98</v>
      </c>
    </row>
    <row r="1583" spans="1:2">
      <c r="A1583">
        <v>1488</v>
      </c>
      <c r="B1583">
        <v>91</v>
      </c>
    </row>
    <row r="1584" spans="1:2">
      <c r="A1584">
        <v>1282</v>
      </c>
      <c r="B1584">
        <v>100</v>
      </c>
    </row>
    <row r="1585" spans="1:2">
      <c r="A1585">
        <v>1554</v>
      </c>
      <c r="B1585">
        <v>79</v>
      </c>
    </row>
    <row r="1586" spans="1:2">
      <c r="A1586">
        <v>693</v>
      </c>
      <c r="B1586">
        <v>82</v>
      </c>
    </row>
    <row r="1587" spans="1:2">
      <c r="A1587">
        <v>556</v>
      </c>
      <c r="B1587">
        <v>61</v>
      </c>
    </row>
    <row r="1588" spans="1:2">
      <c r="A1588">
        <v>1398</v>
      </c>
      <c r="B1588">
        <v>150</v>
      </c>
    </row>
    <row r="1589" spans="1:2">
      <c r="A1589">
        <v>811</v>
      </c>
      <c r="B1589">
        <v>130</v>
      </c>
    </row>
    <row r="1590" spans="1:2">
      <c r="A1590">
        <v>1110</v>
      </c>
      <c r="B1590">
        <v>98</v>
      </c>
    </row>
    <row r="1591" spans="1:2">
      <c r="A1591">
        <v>1426</v>
      </c>
      <c r="B1591">
        <v>70</v>
      </c>
    </row>
    <row r="1592" spans="1:2">
      <c r="A1592">
        <v>1711</v>
      </c>
      <c r="B1592">
        <v>128</v>
      </c>
    </row>
    <row r="1593" spans="1:2">
      <c r="A1593">
        <v>1084</v>
      </c>
      <c r="B1593">
        <v>90</v>
      </c>
    </row>
    <row r="1594" spans="1:2">
      <c r="A1594">
        <v>1737</v>
      </c>
      <c r="B1594">
        <v>96</v>
      </c>
    </row>
    <row r="1595" spans="1:2">
      <c r="A1595">
        <v>224</v>
      </c>
      <c r="B1595">
        <v>104</v>
      </c>
    </row>
    <row r="1596" spans="1:2">
      <c r="A1596">
        <v>1758</v>
      </c>
      <c r="B1596">
        <v>135</v>
      </c>
    </row>
    <row r="1597" spans="1:2">
      <c r="A1597">
        <v>689</v>
      </c>
      <c r="B1597">
        <v>118</v>
      </c>
    </row>
    <row r="1598" spans="1:2">
      <c r="A1598">
        <v>1595</v>
      </c>
      <c r="B1598">
        <v>135</v>
      </c>
    </row>
    <row r="1599" spans="1:2">
      <c r="A1599">
        <v>883</v>
      </c>
      <c r="B1599">
        <v>102</v>
      </c>
    </row>
    <row r="1600" spans="1:2">
      <c r="A1600">
        <v>1096</v>
      </c>
      <c r="B1600">
        <v>60</v>
      </c>
    </row>
    <row r="1601" spans="1:2">
      <c r="A1601">
        <v>632</v>
      </c>
      <c r="B1601">
        <v>87</v>
      </c>
    </row>
    <row r="1602" spans="1:2">
      <c r="A1602">
        <v>449</v>
      </c>
      <c r="B1602">
        <v>91</v>
      </c>
    </row>
    <row r="1603" spans="1:2">
      <c r="A1603">
        <v>396</v>
      </c>
      <c r="B1603">
        <v>57</v>
      </c>
    </row>
    <row r="1604" spans="1:2">
      <c r="A1604">
        <v>1228</v>
      </c>
      <c r="B1604">
        <v>133</v>
      </c>
    </row>
    <row r="1605" spans="1:2">
      <c r="A1605">
        <v>438</v>
      </c>
      <c r="B1605">
        <v>140</v>
      </c>
    </row>
    <row r="1606" spans="1:2">
      <c r="A1606">
        <v>1054</v>
      </c>
      <c r="B1606">
        <v>121</v>
      </c>
    </row>
    <row r="1607" spans="1:2">
      <c r="A1607">
        <v>748</v>
      </c>
      <c r="B1607">
        <v>150</v>
      </c>
    </row>
    <row r="1608" spans="1:2">
      <c r="A1608">
        <v>1171</v>
      </c>
      <c r="B1608">
        <v>134</v>
      </c>
    </row>
    <row r="1609" spans="1:2">
      <c r="A1609">
        <v>91</v>
      </c>
      <c r="B1609">
        <v>81</v>
      </c>
    </row>
    <row r="1610" spans="1:2">
      <c r="A1610">
        <v>1240</v>
      </c>
      <c r="B1610">
        <v>103</v>
      </c>
    </row>
    <row r="1611" spans="1:2">
      <c r="A1611">
        <v>1204</v>
      </c>
      <c r="B1611">
        <v>155</v>
      </c>
    </row>
    <row r="1612" spans="1:2">
      <c r="A1612">
        <v>1244</v>
      </c>
      <c r="B1612">
        <v>122</v>
      </c>
    </row>
    <row r="1613" spans="1:2">
      <c r="A1613">
        <v>205</v>
      </c>
      <c r="B1613">
        <v>104</v>
      </c>
    </row>
    <row r="1614" spans="1:2">
      <c r="A1614">
        <v>1673</v>
      </c>
      <c r="B1614">
        <v>95</v>
      </c>
    </row>
    <row r="1615" spans="1:2">
      <c r="A1615">
        <v>822</v>
      </c>
      <c r="B1615">
        <v>123</v>
      </c>
    </row>
    <row r="1616" spans="1:2">
      <c r="A1616">
        <v>981</v>
      </c>
      <c r="B1616">
        <v>103</v>
      </c>
    </row>
    <row r="1617" spans="1:2">
      <c r="A1617">
        <v>184</v>
      </c>
      <c r="B1617">
        <v>92</v>
      </c>
    </row>
    <row r="1618" spans="1:2">
      <c r="A1618">
        <v>509</v>
      </c>
      <c r="B1618">
        <v>173</v>
      </c>
    </row>
    <row r="1619" spans="1:2">
      <c r="A1619">
        <v>471</v>
      </c>
      <c r="B1619">
        <v>100</v>
      </c>
    </row>
    <row r="1620" spans="1:2">
      <c r="A1620">
        <v>1607</v>
      </c>
      <c r="B1620">
        <v>70</v>
      </c>
    </row>
    <row r="1621" spans="1:2">
      <c r="A1621">
        <v>1318</v>
      </c>
      <c r="B1621">
        <v>121</v>
      </c>
    </row>
    <row r="1622" spans="1:2">
      <c r="A1622">
        <v>379</v>
      </c>
      <c r="B1622">
        <v>83</v>
      </c>
    </row>
    <row r="1623" spans="1:2">
      <c r="A1623">
        <v>1468</v>
      </c>
      <c r="B1623">
        <v>139</v>
      </c>
    </row>
    <row r="1624" spans="1:2">
      <c r="A1624">
        <v>1476</v>
      </c>
      <c r="B1624">
        <v>120</v>
      </c>
    </row>
    <row r="1625" spans="1:2">
      <c r="A1625">
        <v>1573</v>
      </c>
      <c r="B1625">
        <v>90</v>
      </c>
    </row>
    <row r="1626" spans="1:2">
      <c r="A1626">
        <v>358</v>
      </c>
      <c r="B1626">
        <v>120</v>
      </c>
    </row>
    <row r="1627" spans="1:2">
      <c r="A1627">
        <v>199</v>
      </c>
      <c r="B1627">
        <v>131</v>
      </c>
    </row>
    <row r="1628" spans="1:2">
      <c r="A1628">
        <v>1579</v>
      </c>
      <c r="B1628">
        <v>106</v>
      </c>
    </row>
    <row r="1629" spans="1:2">
      <c r="A1629">
        <v>849</v>
      </c>
      <c r="B1629">
        <v>101</v>
      </c>
    </row>
    <row r="1630" spans="1:2">
      <c r="A1630">
        <v>1191</v>
      </c>
      <c r="B1630">
        <v>98</v>
      </c>
    </row>
    <row r="1631" spans="1:2">
      <c r="A1631">
        <v>1103</v>
      </c>
      <c r="B1631">
        <v>108</v>
      </c>
    </row>
    <row r="1632" spans="1:2">
      <c r="A1632">
        <v>1708</v>
      </c>
      <c r="B1632">
        <v>120</v>
      </c>
    </row>
    <row r="1633" spans="1:2">
      <c r="A1633">
        <v>307</v>
      </c>
      <c r="B1633">
        <v>102</v>
      </c>
    </row>
    <row r="1634" spans="1:2">
      <c r="A1634">
        <v>378</v>
      </c>
      <c r="B1634">
        <v>103</v>
      </c>
    </row>
    <row r="1635" spans="1:2">
      <c r="A1635">
        <v>1714</v>
      </c>
      <c r="B1635">
        <v>120</v>
      </c>
    </row>
    <row r="1636" spans="1:2">
      <c r="A1636">
        <v>1592</v>
      </c>
      <c r="B1636">
        <v>120</v>
      </c>
    </row>
    <row r="1637" spans="1:2">
      <c r="A1637">
        <v>1192</v>
      </c>
      <c r="B1637">
        <v>98</v>
      </c>
    </row>
    <row r="1638" spans="1:2">
      <c r="A1638">
        <v>716</v>
      </c>
      <c r="B1638">
        <v>83</v>
      </c>
    </row>
    <row r="1639" spans="1:2">
      <c r="A1639">
        <v>1682</v>
      </c>
      <c r="B1639">
        <v>97</v>
      </c>
    </row>
    <row r="1640" spans="1:2">
      <c r="A1640">
        <v>714</v>
      </c>
      <c r="B1640">
        <v>115</v>
      </c>
    </row>
    <row r="1641" spans="1:2">
      <c r="A1641">
        <v>1599</v>
      </c>
      <c r="B1641">
        <v>91</v>
      </c>
    </row>
    <row r="1642" spans="1:2">
      <c r="A1642">
        <v>635</v>
      </c>
      <c r="B1642">
        <v>95</v>
      </c>
    </row>
    <row r="1643" spans="1:2">
      <c r="A1643">
        <v>1509</v>
      </c>
      <c r="B1643">
        <v>81</v>
      </c>
    </row>
    <row r="1644" spans="1:2">
      <c r="A1644">
        <v>1389</v>
      </c>
      <c r="B1644">
        <v>159</v>
      </c>
    </row>
    <row r="1645" spans="1:2">
      <c r="A1645">
        <v>1796</v>
      </c>
      <c r="B1645">
        <v>72</v>
      </c>
    </row>
    <row r="1646" spans="1:2">
      <c r="A1646">
        <v>1449</v>
      </c>
      <c r="B1646">
        <v>84</v>
      </c>
    </row>
    <row r="1647" spans="1:2">
      <c r="A1647">
        <v>548</v>
      </c>
      <c r="B1647">
        <v>116</v>
      </c>
    </row>
    <row r="1648" spans="1:2">
      <c r="A1648">
        <v>1181</v>
      </c>
      <c r="B1648">
        <v>224</v>
      </c>
    </row>
    <row r="1649" spans="1:2">
      <c r="A1649">
        <v>846</v>
      </c>
      <c r="B1649">
        <v>87</v>
      </c>
    </row>
    <row r="1650" spans="1:2">
      <c r="A1650">
        <v>1428</v>
      </c>
      <c r="B1650">
        <v>200</v>
      </c>
    </row>
    <row r="1651" spans="1:2">
      <c r="A1651">
        <v>407</v>
      </c>
      <c r="B1651">
        <v>137</v>
      </c>
    </row>
    <row r="1652" spans="1:2">
      <c r="A1652">
        <v>294</v>
      </c>
      <c r="B1652">
        <v>84</v>
      </c>
    </row>
    <row r="1653" spans="1:2">
      <c r="A1653">
        <v>1561</v>
      </c>
      <c r="B1653">
        <v>97</v>
      </c>
    </row>
    <row r="1654" spans="1:2">
      <c r="A1654">
        <v>256</v>
      </c>
      <c r="B1654">
        <v>116</v>
      </c>
    </row>
    <row r="1655" spans="1:2">
      <c r="A1655">
        <v>1799</v>
      </c>
      <c r="B1655">
        <v>80</v>
      </c>
    </row>
    <row r="1656" spans="1:2">
      <c r="A1656">
        <v>1030</v>
      </c>
      <c r="B1656">
        <v>89</v>
      </c>
    </row>
    <row r="1657" spans="1:2">
      <c r="A1657">
        <v>1302</v>
      </c>
      <c r="B1657">
        <v>75</v>
      </c>
    </row>
    <row r="1658" spans="1:2">
      <c r="A1658">
        <v>577</v>
      </c>
      <c r="B1658">
        <v>144</v>
      </c>
    </row>
    <row r="1659" spans="1:2">
      <c r="A1659">
        <v>424</v>
      </c>
      <c r="B1659">
        <v>84</v>
      </c>
    </row>
    <row r="1660" spans="1:2">
      <c r="A1660">
        <v>222</v>
      </c>
      <c r="B1660">
        <v>77</v>
      </c>
    </row>
    <row r="1661" spans="1:2">
      <c r="A1661">
        <v>1155</v>
      </c>
      <c r="B1661">
        <v>157</v>
      </c>
    </row>
    <row r="1662" spans="1:2">
      <c r="A1662">
        <v>1029</v>
      </c>
      <c r="B1662">
        <v>79</v>
      </c>
    </row>
    <row r="1663" spans="1:2">
      <c r="A1663">
        <v>1014</v>
      </c>
      <c r="B1663">
        <v>90</v>
      </c>
    </row>
    <row r="1664" spans="1:2">
      <c r="A1664">
        <v>1249</v>
      </c>
      <c r="B1664">
        <v>94</v>
      </c>
    </row>
    <row r="1665" spans="1:2">
      <c r="A1665">
        <v>1710</v>
      </c>
      <c r="B1665">
        <v>125</v>
      </c>
    </row>
    <row r="1666" spans="1:2">
      <c r="A1666">
        <v>1093</v>
      </c>
      <c r="B1666">
        <v>103</v>
      </c>
    </row>
    <row r="1667" spans="1:2">
      <c r="A1667">
        <v>1529</v>
      </c>
      <c r="B1667">
        <v>150</v>
      </c>
    </row>
    <row r="1668" spans="1:2">
      <c r="A1668">
        <v>859</v>
      </c>
      <c r="B1668">
        <v>87</v>
      </c>
    </row>
    <row r="1669" spans="1:2">
      <c r="A1669">
        <v>373</v>
      </c>
      <c r="B1669">
        <v>106</v>
      </c>
    </row>
    <row r="1670" spans="1:2">
      <c r="A1670">
        <v>747</v>
      </c>
      <c r="B1670">
        <v>79</v>
      </c>
    </row>
    <row r="1671" spans="1:2">
      <c r="A1671">
        <v>963</v>
      </c>
      <c r="B1671">
        <v>88</v>
      </c>
    </row>
    <row r="1672" spans="1:2">
      <c r="A1672">
        <v>114</v>
      </c>
      <c r="B1672">
        <v>120</v>
      </c>
    </row>
    <row r="1673" spans="1:2">
      <c r="A1673">
        <v>1460</v>
      </c>
      <c r="B1673">
        <v>79</v>
      </c>
    </row>
    <row r="1674" spans="1:2">
      <c r="A1674">
        <v>1525</v>
      </c>
      <c r="B1674">
        <v>137</v>
      </c>
    </row>
    <row r="1675" spans="1:2">
      <c r="A1675">
        <v>726</v>
      </c>
      <c r="B1675">
        <v>127</v>
      </c>
    </row>
    <row r="1676" spans="1:2">
      <c r="A1676">
        <v>1828</v>
      </c>
      <c r="B1676">
        <v>126</v>
      </c>
    </row>
    <row r="1677" spans="1:2">
      <c r="A1677">
        <v>514</v>
      </c>
      <c r="B1677">
        <v>150</v>
      </c>
    </row>
    <row r="1678" spans="1:2">
      <c r="A1678">
        <v>1430</v>
      </c>
      <c r="B1678">
        <v>111</v>
      </c>
    </row>
    <row r="1679" spans="1:2">
      <c r="A1679">
        <v>1818</v>
      </c>
      <c r="B1679">
        <v>245</v>
      </c>
    </row>
    <row r="1680" spans="1:2">
      <c r="A1680">
        <v>1568</v>
      </c>
      <c r="B1680">
        <v>100</v>
      </c>
    </row>
    <row r="1681" spans="1:2">
      <c r="A1681">
        <v>745</v>
      </c>
      <c r="B1681">
        <v>99</v>
      </c>
    </row>
    <row r="1682" spans="1:2">
      <c r="A1682">
        <v>1551</v>
      </c>
      <c r="B1682">
        <v>108</v>
      </c>
    </row>
    <row r="1683" spans="1:2">
      <c r="A1683">
        <v>1730</v>
      </c>
      <c r="B1683">
        <v>83</v>
      </c>
    </row>
    <row r="1684" spans="1:2">
      <c r="A1684">
        <v>1190</v>
      </c>
      <c r="B1684">
        <v>109</v>
      </c>
    </row>
    <row r="1685" spans="1:2">
      <c r="A1685">
        <v>876</v>
      </c>
      <c r="B1685">
        <v>92</v>
      </c>
    </row>
    <row r="1686" spans="1:2">
      <c r="A1686">
        <v>1063</v>
      </c>
      <c r="B1686">
        <v>132</v>
      </c>
    </row>
    <row r="1687" spans="1:2">
      <c r="A1687">
        <v>1026</v>
      </c>
      <c r="B1687">
        <v>107</v>
      </c>
    </row>
    <row r="1688" spans="1:2">
      <c r="A1688">
        <v>938</v>
      </c>
      <c r="B1688">
        <v>100</v>
      </c>
    </row>
    <row r="1689" spans="1:2">
      <c r="A1689">
        <v>1514</v>
      </c>
      <c r="B1689">
        <v>105</v>
      </c>
    </row>
    <row r="1690" spans="1:2">
      <c r="A1690">
        <v>899</v>
      </c>
      <c r="B1690">
        <v>93</v>
      </c>
    </row>
    <row r="1691" spans="1:2">
      <c r="A1691">
        <v>953</v>
      </c>
      <c r="B1691">
        <v>90</v>
      </c>
    </row>
    <row r="1692" spans="1:2">
      <c r="A1692">
        <v>1771</v>
      </c>
      <c r="B1692">
        <v>97</v>
      </c>
    </row>
    <row r="1693" spans="1:2">
      <c r="A1693">
        <v>1266</v>
      </c>
      <c r="B1693">
        <v>100</v>
      </c>
    </row>
    <row r="1694" spans="1:2">
      <c r="A1694">
        <v>1801</v>
      </c>
      <c r="B1694">
        <v>100</v>
      </c>
    </row>
    <row r="1695" spans="1:2">
      <c r="A1695">
        <v>900</v>
      </c>
      <c r="B1695">
        <v>63</v>
      </c>
    </row>
    <row r="1696" spans="1:2">
      <c r="A1696">
        <v>793</v>
      </c>
      <c r="B1696">
        <v>130</v>
      </c>
    </row>
    <row r="1697" spans="1:2">
      <c r="A1697">
        <v>831</v>
      </c>
      <c r="B1697">
        <v>105</v>
      </c>
    </row>
    <row r="1698" spans="1:2">
      <c r="A1698">
        <v>655</v>
      </c>
      <c r="B1698">
        <v>84</v>
      </c>
    </row>
    <row r="1699" spans="1:2">
      <c r="A1699">
        <v>679</v>
      </c>
      <c r="B1699">
        <v>90</v>
      </c>
    </row>
    <row r="1700" spans="1:2">
      <c r="A1700">
        <v>473</v>
      </c>
      <c r="B1700">
        <v>109</v>
      </c>
    </row>
    <row r="1701" spans="1:2">
      <c r="A1701">
        <v>652</v>
      </c>
      <c r="B1701">
        <v>114</v>
      </c>
    </row>
    <row r="1702" spans="1:2">
      <c r="A1702">
        <v>496</v>
      </c>
      <c r="B1702">
        <v>110</v>
      </c>
    </row>
    <row r="1703" spans="1:2">
      <c r="A1703">
        <v>573</v>
      </c>
      <c r="B1703">
        <v>90</v>
      </c>
    </row>
    <row r="1704" spans="1:2">
      <c r="A1704">
        <v>1639</v>
      </c>
      <c r="B1704">
        <v>80</v>
      </c>
    </row>
    <row r="1705" spans="1:2">
      <c r="A1705">
        <v>258</v>
      </c>
      <c r="B1705">
        <v>117</v>
      </c>
    </row>
    <row r="1706" spans="1:2">
      <c r="A1706">
        <v>1662</v>
      </c>
      <c r="B1706">
        <v>96</v>
      </c>
    </row>
    <row r="1707" spans="1:2">
      <c r="A1707">
        <v>1645</v>
      </c>
      <c r="B1707">
        <v>89</v>
      </c>
    </row>
    <row r="1708" spans="1:2">
      <c r="A1708">
        <v>1769</v>
      </c>
      <c r="B1708">
        <v>125</v>
      </c>
    </row>
    <row r="1709" spans="1:2">
      <c r="A1709">
        <v>1806</v>
      </c>
      <c r="B1709">
        <v>106</v>
      </c>
    </row>
    <row r="1710" spans="1:2">
      <c r="A1710">
        <v>769</v>
      </c>
      <c r="B1710">
        <v>87</v>
      </c>
    </row>
    <row r="1711" spans="1:2">
      <c r="A1711">
        <v>56</v>
      </c>
      <c r="B1711">
        <v>2</v>
      </c>
    </row>
    <row r="1712" spans="1:2">
      <c r="A1712">
        <v>79</v>
      </c>
      <c r="B1712">
        <v>143</v>
      </c>
    </row>
    <row r="1713" spans="1:2">
      <c r="A1713">
        <v>1702</v>
      </c>
      <c r="B1713">
        <v>106</v>
      </c>
    </row>
    <row r="1714" spans="1:2">
      <c r="A1714">
        <v>1203</v>
      </c>
      <c r="B1714">
        <v>115</v>
      </c>
    </row>
    <row r="1715" spans="1:2">
      <c r="A1715">
        <v>1570</v>
      </c>
      <c r="B1715">
        <v>206</v>
      </c>
    </row>
    <row r="1716" spans="1:2">
      <c r="A1716">
        <v>1581</v>
      </c>
      <c r="B1716">
        <v>80</v>
      </c>
    </row>
    <row r="1717" spans="1:2">
      <c r="A1717">
        <v>1332</v>
      </c>
      <c r="B1717">
        <v>111</v>
      </c>
    </row>
    <row r="1718" spans="1:2">
      <c r="A1718">
        <v>432</v>
      </c>
      <c r="B1718">
        <v>112</v>
      </c>
    </row>
    <row r="1719" spans="1:2">
      <c r="A1719">
        <v>743</v>
      </c>
      <c r="B1719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Kutub,Hussain</dc:creator>
  <cp:keywords/>
  <dc:description/>
  <cp:lastModifiedBy>Prabhu, Harish</cp:lastModifiedBy>
  <cp:revision/>
  <dcterms:created xsi:type="dcterms:W3CDTF">2025-09-18T06:37:36Z</dcterms:created>
  <dcterms:modified xsi:type="dcterms:W3CDTF">2026-05-11T22:11:06Z</dcterms:modified>
  <cp:category/>
  <cp:contentStatus/>
</cp:coreProperties>
</file>